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Proyectos/"/>
    </mc:Choice>
  </mc:AlternateContent>
  <xr:revisionPtr revIDLastSave="69" documentId="11_C027D363B901AF65D94FC13C36333C815A25773C" xr6:coauthVersionLast="47" xr6:coauthVersionMax="47" xr10:uidLastSave="{DCE55333-73E1-4C31-911D-E9BD8FE979DD}"/>
  <bookViews>
    <workbookView xWindow="9510" yWindow="-90" windowWidth="19380" windowHeight="10260" xr2:uid="{00000000-000D-0000-FFFF-FFFF00000000}"/>
  </bookViews>
  <sheets>
    <sheet name="centroDeProyec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<sst xmlns="http://schemas.openxmlformats.org/spreadsheetml/2006/main" count="884" uniqueCount="511">
  <si>
    <t>Nombre del proyecto</t>
  </si>
  <si>
    <t>0. Estado del proyecto</t>
  </si>
  <si>
    <t>ILUMNO</t>
  </si>
  <si>
    <t>% completado</t>
  </si>
  <si>
    <t>% Esperado centro de proyectos</t>
  </si>
  <si>
    <t>Ind. cumplimiento PWA</t>
  </si>
  <si>
    <t>Propietario</t>
  </si>
  <si>
    <t>0. Sponsor</t>
  </si>
  <si>
    <t>4. Líneas estratégicas</t>
  </si>
  <si>
    <t>2. Vicerrectoría</t>
  </si>
  <si>
    <t>3. Area</t>
  </si>
  <si>
    <t>5. Orden interna OPEX</t>
  </si>
  <si>
    <t>5.1. Presupuesto OPEX</t>
  </si>
  <si>
    <t>5.2. Presupuesto OPEX ejecutado</t>
  </si>
  <si>
    <t>6.1. presupuesto CAPEX</t>
  </si>
  <si>
    <t>6.2. Presupuesto CAPEX ejecutado</t>
  </si>
  <si>
    <t>6. Orden inversión CAPEX</t>
  </si>
  <si>
    <t>7. Fecha de seguimiento</t>
  </si>
  <si>
    <t>Comienzo</t>
  </si>
  <si>
    <t>Fin</t>
  </si>
  <si>
    <t>Avance</t>
  </si>
  <si>
    <t>Siguientes Tareas</t>
  </si>
  <si>
    <t>Riesgos</t>
  </si>
  <si>
    <t>Impactos Generados</t>
  </si>
  <si>
    <t>Entregables</t>
  </si>
  <si>
    <t>Objetivo del proyecto</t>
  </si>
  <si>
    <t>Fortalecimiento de planta docente</t>
  </si>
  <si>
    <t>Cierre</t>
  </si>
  <si>
    <t>NO</t>
  </si>
  <si>
    <t>99%</t>
  </si>
  <si>
    <t>Lina Marcela Giraldo Salazar</t>
  </si>
  <si>
    <t>Sara Araujo</t>
  </si>
  <si>
    <t>Calidad</t>
  </si>
  <si>
    <t>Vicerrectoría Academica</t>
  </si>
  <si>
    <t>Direccion de Docencia</t>
  </si>
  <si>
    <t>5.943.777.982</t>
  </si>
  <si>
    <t>30/11/2026</t>
  </si>
  <si>
    <t>Relación estudiante-docente TCE mejoró de 103 (2021) a 68,4 (2025): reducción del 33,6%.
Profesores hora cátedra disminuyeron un 80,8% (de 500 en 2021 a 96 en 2025).
Categorización de 61 docentes en el escalafón entre 2023 y 2025.
Cobertura de evaluación docente alcanzó el 97,6% en 2025-II.
Más de 9.000 asistencias a programas formativos docentes al cierre de 2025.</t>
  </si>
  <si>
    <t>• Modelo de gestión de nómina docente documentado e implementado
• Proceso de categorización y escalafón docente operativo
• Lineamiento de Evaluación Integral de Desempeño Profesor 360°
• Plan de formación docente con más de 9.000 asistencias registradas
• Documentación del proceso de administración, gestión y solicitud de nómina docente</t>
  </si>
  <si>
    <t>Fortalecer y consolidar la planta docente institucional mejorando la calidad, estabilidad y cualificación del cuerpo profesoral para garantizar una formación de alta calidad.</t>
  </si>
  <si>
    <t>ADN POLI</t>
  </si>
  <si>
    <t>Ejecución</t>
  </si>
  <si>
    <t>80%</t>
  </si>
  <si>
    <t>85%</t>
  </si>
  <si>
    <t>Dayana Rojas Duarte</t>
  </si>
  <si>
    <t>Transformación Organizacional</t>
  </si>
  <si>
    <t>Rectoría</t>
  </si>
  <si>
    <t>Gerencia de Talento Humano</t>
  </si>
  <si>
    <t>12/08/2026</t>
  </si>
  <si>
    <t>Plataforma de inducción: Pruebas avanzan en los distintos niveles del interactivo ya desplegado en ambiente productivo de Canvas.
Modelo de Employee Experience: Se construyó el modelo institucional con base en el diagnóstico realizado.</t>
  </si>
  <si>
    <t>Validar los niveles del interactivo con cada una de las áreas responsables.
Elaborar el plan de trabajo para implementar el modelo y cerrar las brechas identificadas en el diagnóstico.</t>
  </si>
  <si>
    <t>Baja adopción cultural del modelo de Employee Experience.
Posible desalineación o necesidad de actualización del contenido de la inducción frente al nuevo Plan de Desarrollo</t>
  </si>
  <si>
    <t>Modelo de Experiencia del Colaborador diseñado y alineado con valores institucionales.
237 impactos de sensibilización en beneficios institucionales y riesgos laborales (ene-nov 2025).
Plataforma de inducción interactiva en Canvas (niveles 1 a 6) en fase de validación.</t>
  </si>
  <si>
    <t>• Declaración del ADN POLI (identidad del colaborador)
• Modelo de Experiencia del Colaborador
• Plataforma de inducción interactiva en Canvas (niveles 1 al 6)
• Estrategia de comunicación 2026 del modelo
• Campaña de sensibilización de beneficios institucionales</t>
  </si>
  <si>
    <t>Diseñar e implementar el Modelo de Experiencia del Colaborador ADN POLI, articulando la identidad institucional con la gestión del talento humano para fortalecer la cultura organizacional.</t>
  </si>
  <si>
    <t>Fortalecimiento de la investigación, la innovación y la creación</t>
  </si>
  <si>
    <t>92%</t>
  </si>
  <si>
    <t>94%</t>
  </si>
  <si>
    <t>Jenny Fabiola Hernandez Nino</t>
  </si>
  <si>
    <t>Martha Lucía Bahamon</t>
  </si>
  <si>
    <t>Dirección Investigacion Innovación y Creación</t>
  </si>
  <si>
    <t>1/04/2026</t>
  </si>
  <si>
    <t>Se realizaron 12 Hablemos de Investigación, 9 Aulas Abiertas (400+ asistentes) y se ejecutó el MOOC con 773 estudiantes; continúan 8 jóvenes investigadores y se publicaron 3 artículos.
La ruta de formación está implementada en el 89% de los programas, se construyó el Manual de Semilleros y fueron aprobados 26 proyectos regionales.</t>
  </si>
  <si>
    <t>Acompañar la ejecución de proyectos DTI y validar productos.
Finalizar la matriz de planes y continuar asesoría para artículos científicos.
Actualizar el plan de trabajo para implementación 2026.</t>
  </si>
  <si>
    <t>Pérdida de categorización de grupos por baja producción académica.
Baja participación estudiantil en actividades de formación e investigación</t>
  </si>
  <si>
    <t>Promedio de 162 proyectos de investigación por año (2022-2025).
Promedio anual de 596 productos de investigación.
6,78% de la población estudiantil en actividades investigativas en 2025-II (récord histórico).
26 proyectos aprobados en convocatorias (16 cofinanciados + 10 semilleros).
75 procesos de innovación certificados, beneficiando principalmente a pymes.
Grupos OPINA y E-TIC mejoraron su categorización ante Minciencias.</t>
  </si>
  <si>
    <t>• Ecosistema de Centros de Investigación, Ciencia, Tecnología e Innovación
• Ruta de formación investigativa implementada en 89% de los programas
• Manual de semilleros de investigación
• Estrategia de divulgación científica Paradigma
• Inventario de producción intelectual (464 productos consolidados)
• Plan de mejoramiento implementado en 16 grupos (100%)</t>
  </si>
  <si>
    <t>Continuar fortaleciendo los procesos de investigación, desarrollo tecnológico, innovación y creación, impulsando la participación de docentes y estudiantes en actividades investigativas.</t>
  </si>
  <si>
    <t>Fortalecimiento del proceso de visibilidad nacional e internacional</t>
  </si>
  <si>
    <t>58%</t>
  </si>
  <si>
    <t>60%</t>
  </si>
  <si>
    <t>Raquel Breton de Schultze-Kraft</t>
  </si>
  <si>
    <t>Martha Lucía Bahamón</t>
  </si>
  <si>
    <t>Dirección Oficina Relaciones Internacionales e Interinstitucionales</t>
  </si>
  <si>
    <t>3/11/2025</t>
  </si>
  <si>
    <t>15/05/2026</t>
  </si>
  <si>
    <t>Contratación con Universia realizada.
Revisión de reportes entregados por la plataforma y comparativo con reportes SNIES actuales.</t>
  </si>
  <si>
    <t>Parametrizar la herramienta, ejecutar pruebas y preparar capacitación y lanzamiento.</t>
  </si>
  <si>
    <t>Retrasos o fallas en la implementación por parte del proveedor</t>
  </si>
  <si>
    <t>61 convenios nacionales e internacionales firmados en 2025.
Designación del Poli como coordinador de investigación de ALACAURP 2025-2027.
136 docentes en movilidad saliente y 85 expertos entrantes en 2025-II.
Alianzas con Cornell University, Universidad Politécnica de Madrid y Universidad de Panamá.</t>
  </si>
  <si>
    <t>• Plataforma InterU de Universia para gestión de información ORII
• 61 convenios nacionales e internacionales firmados en 2025
• Programa de movilidad docente entrante y saliente
• Sistema de recolección, sistematización y seguimiento de internacionalización
• Designación como coordinador ALACAURP 2025-2027</t>
  </si>
  <si>
    <t>Mejorar el proceso de visibilidad nacional e internacional integrando un sistema de información que permita la recolección, sistematización, seguimiento y reportes de la gestión de internacionalización.</t>
  </si>
  <si>
    <t>Gobierno de datos</t>
  </si>
  <si>
    <t>5%</t>
  </si>
  <si>
    <t>Juan Uriel Mejia Teran</t>
  </si>
  <si>
    <t>Wilson Mantilla</t>
  </si>
  <si>
    <t>Vicerrectoría del Estudiante</t>
  </si>
  <si>
    <t>Gerencia de Tecnologia E Innovacion Digital</t>
  </si>
  <si>
    <t>31/12/2026</t>
  </si>
  <si>
    <t>Diagnóstico institucional de gestión de datos realizado.
Propuesta de funcionamiento del Comité de Gobierno de Datos construida.
Identificación de fuentes oficiales institucionales completada</t>
  </si>
  <si>
    <t>Formalizar el funcionamiento del Gobierno de Datos.
Finalizar el levantamiento de datos utilizados en cada proceso</t>
  </si>
  <si>
    <t>Desarticulación con políticas de protección de datos personales y habeas data.
Bajo uso o uso inadecuado de las fuentes oficiales institucionales.</t>
  </si>
  <si>
    <t>Fase de redefinición y alineación estratégica del proyecto completada.
Plan ajustado de gobierno de datos institucional estructurado.</t>
  </si>
  <si>
    <t>• Marco de gobierno de datos (en proceso)
• Plan ajustado de gobierno de datos
• Lineamientos de calidad, seguridad y accesibilidad de datos</t>
  </si>
  <si>
    <t>Implementar el marco de gobierno de datos que asegure la calidad, seguridad y accesibilidad de los datos institucionales para mejorar la toma de decisiones y cumplir con regulaciones de privacidad.</t>
  </si>
  <si>
    <t>Herramientas de Gestión para el mejoramiento continuo</t>
  </si>
  <si>
    <t>57%</t>
  </si>
  <si>
    <t>Camilo Arturo Coronel Rico</t>
  </si>
  <si>
    <t>Liliana Consuelo Bernal Higuera</t>
  </si>
  <si>
    <t>Gerencia de Planeación y Gestión institucional</t>
  </si>
  <si>
    <t>17/04/2026</t>
  </si>
  <si>
    <t>Actualización del nuevo modelo de mejoramiento.
Actualización de la política POLISIGS.
Priorización de herramientas para el micrositio y elaboración de los primeros bocetos</t>
  </si>
  <si>
    <t>Construir el micrositio de mejoramiento y publicar herramientas y fuentes</t>
  </si>
  <si>
    <t>Baja adopción y comprensión del nuevo modelo.
Dificultad para que los equipos funcionales apropien y utilicen correctamente las herramientas</t>
  </si>
  <si>
    <t>Modelo de mejoramiento continuo y política POLISIGS actualizados.
Sesiones 'Repensemos POLISIGS' realizadas en Bogotá, Medellín y Rectoría con participación transversal.</t>
  </si>
  <si>
    <t>• Modelo de mejoramiento continuo actualizado
• Política POLISIGS revisada y actualizada
• Micrositio de herramientas de mejoramiento continuo (en diseño)
• Inventario de fuentes y herramientas de mejoramiento consolidado</t>
  </si>
  <si>
    <t>Fortalecer y evolucionar las herramientas de gestión para el mejoramiento continuo institucional en el marco del POLISIGS.</t>
  </si>
  <si>
    <t>Implementación de Hubspot Eduvida</t>
  </si>
  <si>
    <t>SI</t>
  </si>
  <si>
    <t>67%</t>
  </si>
  <si>
    <t>72%</t>
  </si>
  <si>
    <t>Sandra Jeanet Davila Suarez</t>
  </si>
  <si>
    <t>Lucía Solano</t>
  </si>
  <si>
    <t>Expansión</t>
  </si>
  <si>
    <t>Vicerrectoria de Crecimiento</t>
  </si>
  <si>
    <t>Gerencia de Matriculas</t>
  </si>
  <si>
    <t>20/04/2026</t>
  </si>
  <si>
    <t>Estructura de datos para migración al CRM definida.
Workflows del proceso de mercadeo definidos.</t>
  </si>
  <si>
    <t>Parametrizar CRM, implementar workflows, crear piezas, realizar pruebas del MVP.</t>
  </si>
  <si>
    <t>Baja calidad de datos para la migración.
Incumplimiento de la Ley 2300 por ausencia de controles de contactabilidad en HubSpo</t>
  </si>
  <si>
    <t>Workflows de acompañamiento a ingresantes configurados en HubSpot.
Estructura de datos para migración al CRM definida e implementada.</t>
  </si>
  <si>
    <t>• HubSpot Eduvida implementado para estrategia ingresantes
• Herramienta Chattigo de atención por WhatsApp operativa
• Integración con flujos de acompañamiento a estudiantes nuevos</t>
  </si>
  <si>
    <t>Implementar HubSpot como plataforma CRM para la estrategia de acompañamiento a ingresantes, integrando canales digitales para mejorar la conversión y permanencia de estudiantes nuevos.</t>
  </si>
  <si>
    <t>Optimización SEO AEO Captación</t>
  </si>
  <si>
    <t>21%</t>
  </si>
  <si>
    <t>22%</t>
  </si>
  <si>
    <t>Nestor Ivan Moreno Jimenez</t>
  </si>
  <si>
    <t>Gerencia de Mercadeo</t>
  </si>
  <si>
    <t>83.509.440</t>
  </si>
  <si>
    <t>100.600.000.246</t>
  </si>
  <si>
    <t>26/05/2026</t>
  </si>
  <si>
    <t>Corrección de URLs con errores (40X, 50X).
Contratación con SEED para la implementación de mejoras SEO y Core Web Vitals.</t>
  </si>
  <si>
    <t>Iniciar sprints semanales para ejecutar el backlog priorizado.</t>
  </si>
  <si>
    <t>Fallas o retrasos en implementaciones por parte del proveedor.
Capacidad limitada del equipo institucional para ejecutar correcciones y mantenimiento SEO</t>
  </si>
  <si>
    <t>Consideración de marca creció 17 pp: de 23% (2024) a 40% (2025).
Deseo de marca aumentó 2,7 puntos: de 12,4 a 15,1 (2025).
Conocimiento espontáneo de la marca creció de 9% a 11%.
Altos estándares SEO y accesibilidad logrados en el portal web institucional.</t>
  </si>
  <si>
    <t>• Optimización SEO y accesibilidad del portal web
• Estrategia de captación digital segmentada (brand y performance)
• Medición periódica de brand equity e indicadores de marca
• Campaña 'Somos diferentes, somos Poli' y nueva fase 2025</t>
  </si>
  <si>
    <t>Optimizar el posicionamiento orgánico y la visibilidad digital del Poli en motores de búsqueda para fortalecer la estrategia de captación de nuevos estudiantes.</t>
  </si>
  <si>
    <t>Plataforma de gestión de información curricular Fase 1</t>
  </si>
  <si>
    <t>84%</t>
  </si>
  <si>
    <t>88%</t>
  </si>
  <si>
    <t>Maria Isabel Cortes Cortes</t>
  </si>
  <si>
    <t>Dirección de Currículo Presencial y Virtual</t>
  </si>
  <si>
    <t>12/08/2025</t>
  </si>
  <si>
    <t>8/04/2026</t>
  </si>
  <si>
    <t>Desarrollo de funcionalidades para el módulo profesores y administrador.</t>
  </si>
  <si>
    <t>Migrar la aplicación a infraestructura Poli para permitir escalamiento y soporte.</t>
  </si>
  <si>
    <t>Capacidad limitada del desarrollador para avanzar al ritmo requerido.
Baja adopción operativa dentro del proceso curricular.</t>
  </si>
  <si>
    <t>Vista de administración de la plataforma curricular desarrollada y entregada a Tecnología para integración.</t>
  </si>
  <si>
    <t>• Vista de administración de la plataforma curricular desarrollada
• Integración con sistemas institucionales (en progreso)
• Soporte tecnológico al proceso de reforma curricular meso curricular</t>
  </si>
  <si>
    <t>Desarrollar, integrar y dar soporte a una plataforma tecnológica de gestión de información curricular a nivel meso curricular para soportar el proceso de reforma curricular institucional.</t>
  </si>
  <si>
    <t>Redefinición de Modelo de seguimiento y acompañamiento al Graduado</t>
  </si>
  <si>
    <t>100%</t>
  </si>
  <si>
    <t>Cristina Forero Rodriguez</t>
  </si>
  <si>
    <t>Secretaría Academica y de Docencia</t>
  </si>
  <si>
    <t>200.269.340</t>
  </si>
  <si>
    <t>162.800.633</t>
  </si>
  <si>
    <t>100.600.000.217</t>
  </si>
  <si>
    <t>14/10/2025</t>
  </si>
  <si>
    <t>16/09/2024</t>
  </si>
  <si>
    <t>5/12/2025</t>
  </si>
  <si>
    <t>Validación de módulos funcionales.
Aplicación de encuestas M0 2026-1 con la nueva herramienta.</t>
  </si>
  <si>
    <t>Finalizar el módulo de reportería y validar indicadores de las encuestas</t>
  </si>
  <si>
    <t>Diferencias entre reportes generados por módulos y reportes institucionales esperados.</t>
  </si>
  <si>
    <t>Plataforma de seguimiento a graduados lanzada en octubre 2025 en el Encuentro Institucional de Graduados.
Más de 13.200 nuevos graduados incorporados en 2025.
Política Institucional de Graduados actualizada integrando el Modelo de Seguimiento.</t>
  </si>
  <si>
    <t>• Plataforma de seguimiento a graduados lanzada
• Política Institucional de Graduados actualizada
• Modelo integral de acompañamiento y empleabilidad</t>
  </si>
  <si>
    <t>Actualizar la política institucional de graduados e implementar una plataforma de seguimiento que fortalezca el acompañamiento, la empleabilidad y el relacionamiento con la comunidad de egresados.</t>
  </si>
  <si>
    <t>Remodelaciones bloque I y C</t>
  </si>
  <si>
    <t>63%</t>
  </si>
  <si>
    <t>64%</t>
  </si>
  <si>
    <t>Raul Ricardo Cortes Rincon</t>
  </si>
  <si>
    <t>Gustavo Mendieta</t>
  </si>
  <si>
    <t>Experiencia</t>
  </si>
  <si>
    <t>Vicerrectoria Financiera</t>
  </si>
  <si>
    <t>Dirección de infraestructura</t>
  </si>
  <si>
    <t>30/10/2026</t>
  </si>
  <si>
    <t>Demoliciones finalizadas; obra en fase de acabados y levantamiento de muros.
Traslado y baja de activos completados; donación coordinada con Huella.
Look &amp; feel del amoblamiento aprobado y en producción.
Plan de comunicaciones ejecutado; valla de Bloque C instalada.</t>
  </si>
  <si>
    <t>Refuerzo de información a docentes reubicados.
Instalación de branding en Bloque I.
Mayor comunicación en pantallas.
Instalación de torniquetes, cámaras de seguridad y Access Points TI</t>
  </si>
  <si>
    <t>Calidad de entregables y cumplimiento de tiempos por proveedores.
Gestión del cambio y comunicaciones insuficientes con docentes y usuarios reubicado</t>
  </si>
  <si>
    <t>Concepto favorable de CAR y SDA obtenido para el proyecto de refuerzo estructural.
20% de avance de obra en bloque C con fase de acabados y levantamiento de muros en curso.</t>
  </si>
  <si>
    <t>• Diseño arquitectónico y estructural bloque C aprobado
• Aprobación ambiental CAR y SDA obtenida
• Proceso constructivo bloque C en ejecución (20% avance)
• Remodelación de auditorios y salas adicionales (2025)</t>
  </si>
  <si>
    <t>Ejecutar el refuerzo estructural y remodelación de los bloques I y C del campus principal para mejorar la infraestructura física y la experiencia de la comunidad universitaria.</t>
  </si>
  <si>
    <t>Titulación Autogestionada</t>
  </si>
  <si>
    <t>66%</t>
  </si>
  <si>
    <t>Ivonne Del Pilar Marin Alarcon</t>
  </si>
  <si>
    <t>Gerencia de Operaciones Academicas</t>
  </si>
  <si>
    <t>28/04/2026</t>
  </si>
  <si>
    <t>Despliegue a producción del upgrade de DigiSign.
Integración funcional del portal del estudiante con servicios institucionales: edición de datos, visualización de requisitos, consumo de endpoints (pago, encuesta de graduandos, paz y salvos)</t>
  </si>
  <si>
    <t>Habilitar accesos y permisos para desplegar en ambientes Poli (QA).
Avanzar con pruebas, validaciones y ajustes con funcionales y QA.</t>
  </si>
  <si>
    <t>Fallas tecnológicas e integraciones entre sistemas.
Impactos en procesos conexos (inscripción a grados y calendarios) que requieren ajustes coordinados.</t>
  </si>
  <si>
    <t>Blueprint del proceso de titulación autogestionada finalizado.
Integración funcional del portal del estudiante con DigiSign en producción.</t>
  </si>
  <si>
    <t>• Blueprint del proceso de titulación autogestionada
• Product Backlog del proyecto
• Propuesta de solución con fases de implementación
• Estimación de esfuerzo y costos del proyecto</t>
  </si>
  <si>
    <t>Documentar la viabilidad y definir las fases para implementar un proceso de titulación autogestionada que permita a los estudiantes gestionar de manera autónoma su proceso de grado.</t>
  </si>
  <si>
    <t>Acreditación Institucional Fase II</t>
  </si>
  <si>
    <t>Finalizado</t>
  </si>
  <si>
    <t>Hector Andres Perez Enciso</t>
  </si>
  <si>
    <t>Dirección de Aseguramiento de la calidad</t>
  </si>
  <si>
    <t>11/09/2023</t>
  </si>
  <si>
    <t>3/01/2025</t>
  </si>
  <si>
    <t>Informe de autoevaluación institucional elaborado y radicado ante el CNA.
Poli habilitado para recibir la visita de pares académicos para la acreditación en alta calidad.</t>
  </si>
  <si>
    <t>• Instrumentos de percepción y cuantitativos validados
• Comités de autoevaluación formados
• Justificaciones y ponderaciones de características y factores
• Informe preliminar y final de autoevaluación
• Planes de mejora y consolidación
• Aprobación del informe ante órganos de gobierno institucional
• Radicación del informe final al CNA</t>
  </si>
  <si>
    <t>Realizar el proceso de autoevaluación con fines de acreditación y elaborar y radicar el informe de autoevaluación en alta calidad de la sede Bogotá con sus anexos ante el CNA.</t>
  </si>
  <si>
    <t>Acreditación Institucional fase III – Etapa de evaluación externa o evaluación por pares</t>
  </si>
  <si>
    <t>Director Aseguramiento de la Calidad</t>
  </si>
  <si>
    <t>24/01/2025</t>
  </si>
  <si>
    <t>15/12/2025</t>
  </si>
  <si>
    <t>Visita de pares académicos del CNA ejecutada (15-17 oct. 2025) con concepto altamente positivo.
Más de 600 estudiantes, 400 profesores, 200 egresados y 200 administrativos participaron.
Plan de Mejoramiento Institucional aprobado por el Consejo de Delegados.</t>
  </si>
  <si>
    <t>• Visita de pares académicos CNA ejecutada (oct. 2025)
• Presentaciones por factor ante los pares
• Informe de los pares académicos del CNA (concepto positivo)
• Plan de Mejoramiento Institucional elaborado, validado y aprobado
• Simulacros de evaluación por pares (dos realizados)</t>
  </si>
  <si>
    <t>Preparar y llevar a cabo la visita de pares académicos del CNA con fines de acreditación en alta calidad de la sede Bogotá del Politécnico Grancolombiano.</t>
  </si>
  <si>
    <t>Acreditación Institucional Sede Bogotá-Fase I</t>
  </si>
  <si>
    <t>26/01/2023</t>
  </si>
  <si>
    <t>Informe de condiciones iniciales elaborado y radicado ante el CNA en 2022.
Primer hito formal del proceso de acreditación institucional en alta calidad cumplido.</t>
  </si>
  <si>
    <t>• Plan de comunicaciones (primera versión aprobada por el Rector)
• Espacios de sensibilización y socialización con la comunidad académica
• Informe de condiciones iniciales elaborado conforme guías del CNA</t>
  </si>
  <si>
    <t>Elaborar y radicar la solicitud de condiciones iniciales ante el CNA para optar por la acreditación institucional en alta calidad de la sede Bogotá.</t>
  </si>
  <si>
    <t>Actualización de TRD y creación del Plan de Gestión documental</t>
  </si>
  <si>
    <t>Jineth Aleidy Verano Fernandez</t>
  </si>
  <si>
    <t>Jaime Sarmiento</t>
  </si>
  <si>
    <t>Secretaria General</t>
  </si>
  <si>
    <t>100.500.000.095</t>
  </si>
  <si>
    <t>100.000.000</t>
  </si>
  <si>
    <t>86.300.774</t>
  </si>
  <si>
    <t>17/12/2025</t>
  </si>
  <si>
    <t>Tablas de Retención Documental actualizadas e implementadas.
Automatización de formatos de control de servicios subcontratados en Kawak.</t>
  </si>
  <si>
    <t>• Tablas de Retención Documental (TRD) actualizadas
• Plan de Gestión Documental institucional
• Automatización de formatos de control en Kawak
• Archivo digital institucional</t>
  </si>
  <si>
    <t>Actualizar las Tablas de Retención Documental (TRD) y crear el Plan de Gestión Documental institucional para garantizar la adecuada administración de los archivos.</t>
  </si>
  <si>
    <t>Catálogo de recursos Virtuales</t>
  </si>
  <si>
    <t>Camilo Andres Ramirez Sanchez</t>
  </si>
  <si>
    <t>Gerencia de educación Virtual</t>
  </si>
  <si>
    <t>100.500.000.067</t>
  </si>
  <si>
    <t>49.983.934</t>
  </si>
  <si>
    <t>43.578.000</t>
  </si>
  <si>
    <t>6/05/2024</t>
  </si>
  <si>
    <t>10/01/2024</t>
  </si>
  <si>
    <t>900 recursos educativos digitales curados (18.220 elementos) disponibles para la comunidad.
Gestión del conocimiento pedagógico institucional habilitada en repositorio centralizado.</t>
  </si>
  <si>
    <t>• Catálogo Online micrositio con 900 recursos disponibles
• Manual de administración y uso del micrositio
• 18.220 elementos curados y cargados al repositorio</t>
  </si>
  <si>
    <t>Diseñar, estructurar y poner en funcionamiento el catálogo online de recursos digitales de los materiales virtuales del Politécnico Grancolombiano.</t>
  </si>
  <si>
    <t>Centro Gastronómico</t>
  </si>
  <si>
    <t>Deisy De La Rosa Daza</t>
  </si>
  <si>
    <t>Decanatura FNGS</t>
  </si>
  <si>
    <t>17.246.536</t>
  </si>
  <si>
    <t>900.000.000</t>
  </si>
  <si>
    <t>767.147.869</t>
  </si>
  <si>
    <t>100.600.000.213</t>
  </si>
  <si>
    <t>31/01/2025</t>
  </si>
  <si>
    <t>Costo anual de prácticas reducido un 80%: de $273.774.490 (2023) a $54.907.376 (2025), ahorro de $218.867.114.
Estudiantes en prácticas propias aumentaron un 55%: de 97 a más de 150.
Asignaturas con laboratorio propio crecieron de 4 a 7.
Dependencia de aliados externos eliminada con mayor control de calidad.</t>
  </si>
  <si>
    <t>• Infraestructura instalada y operativa (2 cocinas, comedores, vestier, economato, cuarto frío)
• Equipamiento de alta tecnología (horno combi, freidora industrial, Thermomix, etc.)
• Manuales y documentación operativa implementada
• Clases prácticas iniciadas con más de 150 estudiantes en 7 asignaturas</t>
  </si>
  <si>
    <t>Crear el Centro Gastronómico POLI como escenario práctico de formación para el programa de Administración de Hoteles y Gastronomía, eliminando la dependencia de aliados externos.</t>
  </si>
  <si>
    <t>Certificación SGA sede los Colores</t>
  </si>
  <si>
    <t>Edgar Camilo Chacon Matajudios</t>
  </si>
  <si>
    <t>Liliana Bernal</t>
  </si>
  <si>
    <t>Sostenibilidad</t>
  </si>
  <si>
    <t>Gerencia de estrategia</t>
  </si>
  <si>
    <t>100.500.000.062</t>
  </si>
  <si>
    <t>24.000.000</t>
  </si>
  <si>
    <t>22.325.855</t>
  </si>
  <si>
    <t>13/12/2023</t>
  </si>
  <si>
    <t>Certificación ISO 14001:2015 ampliada a la sede Los Colores Medellín.
84% de cumplimiento de requisitos legales ambientales (161 RL cumplidos).
Reducción del 18,93% en consumo de energía eléctrica y 26,03% en consumo per cápita de agua.
12,05% de aprovechamiento de residuos; 631,40 kg aprovechados.</t>
  </si>
  <si>
    <t>• Informe de auditoría interna SGA
• Planes de acción basados en auditoría interna
• Evidencia de implementación de planes de acción
• Informe de auditoría de tercera parte (certificación ISO 14001:2015 sede Los Colores)</t>
  </si>
  <si>
    <t>Ampliar el alcance de la certificación del Sistema de Gestión Ambiental ISO 14001:2015 a la sede Los Colores Medellín.</t>
  </si>
  <si>
    <t>CREA Centro de Recursos y Experiencias para el aprendizaje – Fase de Adecuación</t>
  </si>
  <si>
    <t>Sergio Oswaldo Hernandez Munoz</t>
  </si>
  <si>
    <t>Secretaria Academica y de Extension</t>
  </si>
  <si>
    <t>100.500.000.076</t>
  </si>
  <si>
    <t>129.000.000</t>
  </si>
  <si>
    <t>70.805.747</t>
  </si>
  <si>
    <t>31/12/2024</t>
  </si>
  <si>
    <t>20.666 usuarios consultaron la caja de herramientas del CREA en 2025.
270.001 usos de simuladores registrados en 2025.
7 nuevos desarrollos de software inmersivo implementados (simuladores de decisiones fiscales, mercado de capitales, operaciones aeronáuticas, entre otros).</t>
  </si>
  <si>
    <t>• Montaje del ecosistema digital CREA en Portal WEB
• Actualización contenidos SISNAB, Editorial, CMA y LEAI
• Nuevos productos aplicativos didácticos (Compilatio)
• Cápsulas de formación y lineamientos para creación de productos CREA
• Registros de formación en ABJ
• Compra de juegos educativos
• Plan para creación de la ludoteca física</t>
  </si>
  <si>
    <t>Consolidar un espacio dinámico de servicios académicos y experiencias de aprendizaje para la comunidad universitaria mediante el CREA (Centro de Recursos y Experiencias para el Aprendizaje).</t>
  </si>
  <si>
    <t>Cultura de una buena Docencia</t>
  </si>
  <si>
    <t>Carlos Augusto Garcia Lopez</t>
  </si>
  <si>
    <t>Facultad Sociedad Cultura y Creatividad</t>
  </si>
  <si>
    <t>4/12/2024</t>
  </si>
  <si>
    <t>1.080 profesores caracterizados con diagnóstico de perfil y competencias digitales.
Línea base de la Experiencia de Aprendizaje del Estudiante calculada.
Planes de formación docente 2024 y 2025 ejecutados atendiendo brechas identificadas.</t>
  </si>
  <si>
    <t>• Caracterización de 1.080 profesores
• Caracterización de competencias digitales docentes
• Identificación de causas de deserción (experiencia de aprendizaje)
• Informe de asignaturas con mayor pérdida y repitencia
• Plan de formación docente 2024 (creado y ejecutado)
• Plan de formación docente 2025
• Consolidado de experiencias de innovación educativa
• Soportes de campaña de comunicación</t>
  </si>
  <si>
    <t>Consolidar la comunidad de profesores del POLI en torno a la cultura de la Buena Docencia, caracterizando el cuerpo docente y desarrollando planes de formación que mejoren la experiencia de aprendizaje.</t>
  </si>
  <si>
    <t>Datalake</t>
  </si>
  <si>
    <t>Edgar Hernan Gutierrez Rodriguez</t>
  </si>
  <si>
    <t>Vicerrectoría del estudiante</t>
  </si>
  <si>
    <t>350.000.000</t>
  </si>
  <si>
    <t>100.600.000.186</t>
  </si>
  <si>
    <t>31/07/2023</t>
  </si>
  <si>
    <t>18/07/2024</t>
  </si>
  <si>
    <t>Más de 100 reglas de negocio optimizadas en el caso de uso de matrícula.
Datos de Banner y FDI centralizados en Azure bajo metodología Data Vault.
Base confiable para la gobernanza de datos y la toma de decisiones institucional establecida.
Eficiencia presupuestal: 62% del presupuesto ejecutado con 100% de entregables cumplidos.</t>
  </si>
  <si>
    <t>• Documentación de arquitectura e inventario del Data Lake
• Plataforma Data Lake habilitada en producción
• Conexión de fuentes de datos institucionales al Data Lake
• Documentación de historias de usuario
• Actas de cierre de sprints 1 al 7
• Acta de paso a producción</t>
  </si>
  <si>
    <t>Implementar el modelo Data Lake institucional para centralizar la integración de datos estratégicos y soportar la toma de decisiones basada en datos.</t>
  </si>
  <si>
    <t>Ecosistema E3</t>
  </si>
  <si>
    <t>100.500.000.077</t>
  </si>
  <si>
    <t>180.991.290</t>
  </si>
  <si>
    <t>10.753.132</t>
  </si>
  <si>
    <t>1/10/2025</t>
  </si>
  <si>
    <t>Plataforma de networking y relacionamiento para graduados lanzada en octubre 2025.
Espacio Coworking para graduados y emprendedores activado en el ecosistema digital.</t>
  </si>
  <si>
    <t>• Articulación con unidades y centros del Poli
• Plataforma de networking y relacionamiento del graduado
• Sitio del ecosistema E3 en el portal digital
• Activación del espacio Coworking</t>
  </si>
  <si>
    <t>Consolidar el Ecosistema de Empleabilidad y Emprendimiento E3 como plataforma de networking y relacionamiento para los graduados del Poli.</t>
  </si>
  <si>
    <t>Equidad de Género</t>
  </si>
  <si>
    <t>Carolina Jurado Bernal</t>
  </si>
  <si>
    <t>3.000.000</t>
  </si>
  <si>
    <t>12/03/2024</t>
  </si>
  <si>
    <t>Política institucional de equidad de género aprobada y publicada.
Indicadores de género con líneas base definidos en todas las vicerrectorías.
Transformación cultural institucional para atención de casos de violencias basadas en género.</t>
  </si>
  <si>
    <t>• Informe de indicadores por área con temporalidad definida
• Evidencias y soportes de implementación de planes de trabajo
• Política estrategia institucional para el fomento de la equidad de género y diversidad (aprobada y publicada)</t>
  </si>
  <si>
    <t>Diseñar e implementar la estrategia de equidad de género a nivel institucional articulando los objetivos estratégicos de las diferentes áreas en el marco del PDI 2022-2026.</t>
  </si>
  <si>
    <t>Experiencia Institucional fase I</t>
  </si>
  <si>
    <t>Adriana Lucia Angel Cuartas</t>
  </si>
  <si>
    <t>Gerencia de Operaciones</t>
  </si>
  <si>
    <t>14/02/2023</t>
  </si>
  <si>
    <t>Modelo de Experiencia POLI conceptualizado con orientaciones para su implementación en el PDI.
28 focus groups con más de 250 stakeholders en Bogotá, Medellín, Cali y Barranquilla realizados.</t>
  </si>
  <si>
    <t>• Documento con orientaciones del Modelo de Experiencia POLI
• Análisis del contexto institucional y sensibilización
• Resultados de 28 focus groups con stakeholders</t>
  </si>
  <si>
    <t>Diseñar el Modelo de Experiencia Poli a partir del diagnóstico de actores, la caracterización de niveles de madurez y la construcción de journey maps de la comunidad institucional.</t>
  </si>
  <si>
    <t>Experiencia Institucional Fase II</t>
  </si>
  <si>
    <t>Director de Experiencia</t>
  </si>
  <si>
    <t>98.169.000</t>
  </si>
  <si>
    <t>166.256.208</t>
  </si>
  <si>
    <t>2/07/2024</t>
  </si>
  <si>
    <t>Journey maps diseñados por 6 grupos de interés con participación de 85 personas.
Estrategia de gestión de cambio para adopción del modelo de experiencia POLI institucionalizada.</t>
  </si>
  <si>
    <t>• Modelo de Experiencia Institucional
• Modelo de Liderazgo POLI
• Informe de aplicación del plan de cultura organizacional
• Journey Maps: estudiantes, profesores, colaboradores, egresados, EPLV
• Informe de resultados de iniciativas de mejora por Journey Map</t>
  </si>
  <si>
    <t>Generar una estrategia de gestión de cambio para la apropiación y aplicación del modelo de experiencia POLI, que permita el fortalecimiento de la cultura basada en la experiencia y el servicio.</t>
  </si>
  <si>
    <t>Experiencia Institucional fase III - Hub de Experiencia y agilismo</t>
  </si>
  <si>
    <t>Director de Experiencia E Inclusion</t>
  </si>
  <si>
    <t>100.500.000.073</t>
  </si>
  <si>
    <t>144.458.600</t>
  </si>
  <si>
    <t>105.726.210</t>
  </si>
  <si>
    <t>14/06/2024</t>
  </si>
  <si>
    <t>NPS de estudiantes creció 25,4 puntos: de 32,2 (2022-II) a 58,6 (2025-II).
ANS de atención pasó de 83% (2021) a 96% (2025).
SSI (Índice de Satisfacción del Estudiante) alcanzó el 90%.
Red Latinoamericana de Experiencia en Educación Superior conformada.
39 embajadores de experiencia institucional formados.</t>
  </si>
  <si>
    <t>• HEYA (Hub de Experiencia y Agilismo) implementado
• Software de medición de experiencia (NPS, CES, CSAT)
• Más de 90 instrumentos de medición revisados y estructurados
• Red Latinoamericana de Experiencia en Educación Superior conformada
• 39 embajadores de experiencia institucional</t>
  </si>
  <si>
    <t>Implementar y consolidar el HEYA (Hub de Experiencia y Agilismo) como ecosistema innovador que pone las metodologías ágiles al servicio de la comunidad académica.</t>
  </si>
  <si>
    <t>Habilidades Poderosas</t>
  </si>
  <si>
    <t>Maria Gloria Gonzalez Molina</t>
  </si>
  <si>
    <t>Facultad Negocios Gestion y Sostenibilidad</t>
  </si>
  <si>
    <t>100.500.000.092</t>
  </si>
  <si>
    <t>24.985.000</t>
  </si>
  <si>
    <t>23/12/2024</t>
  </si>
  <si>
    <t>Valores POLI apropiados institucionalmente mediante campaña de implementación.
Caracterización de habilidades poderosas completada por perfil (estudiante, docente, colaborador).
Soft Skills Box 360 diseñado y aplicado a toda la comunidad.</t>
  </si>
  <si>
    <t>• Modelo de valores POLI implementado institucionalmente
• Caracterización de habilidades poderosas por perfil (estudiantes, docentes, colaboradores)
• Soft Skills Box 360 diseñado y aplicado
• Talleres de Habilidades Poderosas ejecutados</t>
  </si>
  <si>
    <t>Implementar la estrategia de Habilidades Poderosas para fortalecer la cultura institucional mediante la apropiación de los valores Poli y el desarrollo de competencias blandas en toda la comunidad.</t>
  </si>
  <si>
    <t>HUBSPOT CRM</t>
  </si>
  <si>
    <t>Ruben Dario Gelvez Gonzalez</t>
  </si>
  <si>
    <t>Gerencia de Servicio</t>
  </si>
  <si>
    <t>26/11/2024</t>
  </si>
  <si>
    <t>Ecosistema digital Banner-HubSpot-FDI completamente integrado y operativo.
69 momentos clave del plan de comunicación de permanencia estudiantil automatizados en la plataforma.
Migración histórica de datos CRM desde 2023-1 completada.</t>
  </si>
  <si>
    <t>• CRM HubSpot implementado y en producción
• Integración Banner-HubSpot y FDI-HubSpot operativa
• Migración histórica de datos CRM desde 2023-1
• 69 momentos clave del plan de comunicación automatizados
• Capacitación de usuarios y salida en vivo</t>
  </si>
  <si>
    <t>Implementar el CRM HubSpot e integrarlo con los sistemas institucionales (Banner y FDI) para optimizar la gestión de la relación con aspirantes y estudiantes.</t>
  </si>
  <si>
    <t>Innovación Curricular</t>
  </si>
  <si>
    <t>Direccion de Curriculo Presencial y Virtual</t>
  </si>
  <si>
    <t>100.500.000.068</t>
  </si>
  <si>
    <t>47.301.443</t>
  </si>
  <si>
    <t>0</t>
  </si>
  <si>
    <t>10/08/2023</t>
  </si>
  <si>
    <t>44 programas académicos con reforzamiento curricular.
98 mapeos curriculares elaborados (pertinencia-tendencias).
100% de programas con resultados de aprendizaje implementados.
Bloque institucional definido en articulación con competencias del Siglo XXI.</t>
  </si>
  <si>
    <t>• Modelo de Gestión, Evaluación e Innovación curricular (procesos y procedimientos)
• Fundamentación académica y organización por cada facultad
• Mapeos curriculares por programa académico
• Estrategia operativa del reforzamiento curricular
• Formatos (matriz) de resultados de aprendizaje de los programas
• Syllabus de asignaturas y módulos actualizados
• Informe de análisis de planes de mejoramiento por programa (Decreto 1330)</t>
  </si>
  <si>
    <t>Desarrollar procesos de gestión y evaluación curricular que garanticen la calidad y excelencia académica y conduzcan a innovaciones curriculares a nivel macro, meso y micro.</t>
  </si>
  <si>
    <t>Migración modelo de transporte rotativo</t>
  </si>
  <si>
    <t>Gustavo Espinel Beltran</t>
  </si>
  <si>
    <t>Dirección de servicios Administrativos</t>
  </si>
  <si>
    <t>14/05/2025</t>
  </si>
  <si>
    <t>8 nuevos vehículos en operación desde septiembre 2025 con imagen institucional renovada.
Mejora en la experiencia de movilidad de la comunidad universitaria.</t>
  </si>
  <si>
    <t>• 8 nuevos vehículos ensamblados, brandados y operativos
• Flota renovada en operación desde septiembre 2025
• Evento de lanzamiento ejecutado</t>
  </si>
  <si>
    <t>Renovar la flota de transporte rotativo institucional para mejorar la experiencia de movilidad de la comunidad universitaria.</t>
  </si>
  <si>
    <t>Monarca - Ecosistema Banner</t>
  </si>
  <si>
    <t>Vicente Antonio Villada Trejos</t>
  </si>
  <si>
    <t>100.600.000.020</t>
  </si>
  <si>
    <t>1.985.000.000</t>
  </si>
  <si>
    <t>1.719.376.386</t>
  </si>
  <si>
    <t>14/02/2024</t>
  </si>
  <si>
    <t>Sistema académico Banner migrado a versión 9.0 sobre Oracle Cloud con estabilidad operativa mejorada.
Integración Banner-Canvas y Banner-HubSpot operativas, reduciendo la complejidad tecnológica.
Calidad de datos académicos e institucionales mejorada.</t>
  </si>
  <si>
    <t>• Sistema académico Banner migrado a nueva versión sobre Oracle Cloud
• Integración Banner-Canvas (LMS) operativa
• Integración Banner-HubSpot (CRM) operativa
• Depuración y adaptación de desarrollos a nueva versión Banner 9.0
• Infraestructura en nube actualizada</t>
  </si>
  <si>
    <t>Actualizar el sistema académico Banner a su versión más reciente sobre Oracle Cloud, fortaleciendo la estabilidad operativa y la integración del ecosistema digital.</t>
  </si>
  <si>
    <t>Nuevo POLISIGS</t>
  </si>
  <si>
    <t>100.500.000.069</t>
  </si>
  <si>
    <t>20.500.000</t>
  </si>
  <si>
    <t>27/12/2023</t>
  </si>
  <si>
    <t>Certificación ISO 9001:2015 obtenida con auditoría de tercera parte ICONTEC (ampliación de alcance).
Kawak migrado exitosamente a la nube.
Mapa de procesos institucional actualizado y divulgado a toda la comunidad.</t>
  </si>
  <si>
    <t>• Mapa de procesos actualizado y divulgado
• Documentación herramientas de mejoramiento continuo (caracterización, indicadores, riesgos)
• Tablero de Política POLISIGS
• Lanzamiento y campaña de comunicación (ampliación alcance POLISIGS y migración kawak)
• Informe de auditoría tercera parte ICONTEC ISO 9001:2015</t>
  </si>
  <si>
    <t>Diseñar e implementar el POLISIGS institucional mediante un modelo de gestión soportado en políticas, procedimientos, indicadores y riesgos de toda la cadena de valor.</t>
  </si>
  <si>
    <t>Plan Talento</t>
  </si>
  <si>
    <t>Planeacion Estrategica</t>
  </si>
  <si>
    <t>100.500.000.071</t>
  </si>
  <si>
    <t>123.094.142</t>
  </si>
  <si>
    <t>120.232.276</t>
  </si>
  <si>
    <t>17/07/2023</t>
  </si>
  <si>
    <t>Trust Index® (GPTW) creció de 76 (2021) a 89 (2025): 172% de cumplimiento vs meta.
Índice de Ambiente Laboral: de 62 (2021) a 81 (2025), nivel sobresaliente.
eNPS aumentó 13 puntos: de 68 (2023) a 81 (2025).
94% de los colaboradores recomendarían al Poli como gran lugar para trabajar.</t>
  </si>
  <si>
    <t>• Modelo de desarrollo del liderazgo institucional
• Plan de carrera para colaboradores
• Evaluación de competencias 360°
• Plan de formación integral para el talento humano</t>
  </si>
  <si>
    <t>Fortalecer la gestión del talento humano y el ambiente laboral, mejorando el índice Great Place to Work® mediante estrategias de desarrollo del liderazgo, plan de carrera y evaluación 360°.</t>
  </si>
  <si>
    <t>Portal Web Universitario</t>
  </si>
  <si>
    <t>Edwin Ernesto Soto Guayara</t>
  </si>
  <si>
    <t>Gerencía de tecnología</t>
  </si>
  <si>
    <t>100.500.000.070</t>
  </si>
  <si>
    <t>628.766.964</t>
  </si>
  <si>
    <t>184.500.000</t>
  </si>
  <si>
    <t>100.600.000.189</t>
  </si>
  <si>
    <t>11/07/2024</t>
  </si>
  <si>
    <t>Portal web institucional renovado con mejora significativa en tiempo de respuesta del servidor (supera estándares esperados).
Altos estándares SEO y accesibilidad logrados en todas las secciones.
Más de 3.289 páginas migradas y actualizadas.</t>
  </si>
  <si>
    <t>• Portal Web Institucional desarrollado y desplegado en producción
• Informe comparativo de análisis de rendimiento del portal
• Manual de uso de herramienta de soporte y tickets
• Integración con Google My Business y sistema de publicidad
• Garantía de 6 meses y bolsa de 500 horas de soporte</t>
  </si>
  <si>
    <t>Diseñar e implementar el nuevo Portal Web Institucional con altos estándares de experiencia de usuario, SEO y accesibilidad.</t>
  </si>
  <si>
    <t>PRICING</t>
  </si>
  <si>
    <t>Paula Amado Kattah</t>
  </si>
  <si>
    <t>Lucia Solano Felizzola</t>
  </si>
  <si>
    <t>29/07/2022</t>
  </si>
  <si>
    <t>Elasticidad e inelasticidad de la demanda por precio establecida para cada programa académico.
Estrategia diferenciada de precios y descuentos implementada como base de la política comercial del PDI 2022-2026.</t>
  </si>
  <si>
    <t>• Análisis de competencia y percepción de valor por programa
• Modelo de elasticidad/inelasticidad de demanda por precio
• Estrategia diferenciada de precios y descuentos
• Marco de referencia de pricing institucional</t>
  </si>
  <si>
    <t>Construir una estrategia de precios sólida para el Poli, fundamentada en el análisis de la competencia y la percepción de valor de los potenciales estudiantes.</t>
  </si>
  <si>
    <t>PRIME</t>
  </si>
  <si>
    <t>Edgar Samudio Forero</t>
  </si>
  <si>
    <t>Facultad Registro y Control</t>
  </si>
  <si>
    <t>10/02/2023</t>
  </si>
  <si>
    <t>Operación académica y financiera del sistema Banner estabilizada.
11 procedimientos financieros de la Vicerrectoría diagnósticados, ajustados y documentados.
Arquitectura tecnológica del ecosistema Banner rediseñada con roadmap CP/MP/LP definido.
Journey to Cloud (aplicaciones, infraestructura y bases de datos) estructurado.</t>
  </si>
  <si>
    <t>• Documentos de diagnóstico y propuestas para 11 procedimientos de la Vicerrectoría Financiera
• Portafolio de proyectos de arquitectura de TI (datos, servicios, aplicaciones e infraestructura)
• Informe Journey to Cloud (aplicaciones, infraestructura y bases de datos)
• Informe de diagnóstico de datos a nivel financiero y académico
• Roadmap de proyectos (corto, mediano y largo plazo) para la plataforma POLI e ILUMNO</t>
  </si>
  <si>
    <t>Asegurar una operación académica y financiera estable mediante un servicio oportuno a toda la comunidad, a partir de la madurez y evolución de los procesos claves del sistema académico Banner.</t>
  </si>
  <si>
    <t>Proyecto de Permanencia institucional</t>
  </si>
  <si>
    <t>Wilson Manuel Mantilla Velasco</t>
  </si>
  <si>
    <t>Gerencia de Servicio y Permanencia</t>
  </si>
  <si>
    <t>30/09/2025</t>
  </si>
  <si>
    <t>Tasa de permanencia creció de 85,6% (2021) a 86,2% (2025).
Modelo KITUS piloto elevó la permanencia del grupo de Administración y Derecho al 87%.
12.600 estudiantes nuevos 2025-II acompañados con permanencia del 77,4% (+3 puntos sobre histórico).
ANS de atención del 92,9% en 2024.
Programa Sinapsis reconocido por el MEN: 29,4/30 en el modelo Telescopio.</t>
  </si>
  <si>
    <t>• Sistema ADVISER automatizado para gestión de riesgos estudiantiles
• Hoja de vida académica individual implementada
• Modelo KITUS de acompañamiento multicanal
• Plan de comunicación con 69 momentos clave integrados en HubSpot-ADVISER
• 3 rutas de autogestión diseñadas (Competencias Tecnológicas, Manejo del Tiempo, Gestión Emocional)</t>
  </si>
  <si>
    <t>Fortalecer la permanencia estudiantil institucional a través de la implementación de modelos de acompañamiento segmentado, analítica predictiva y gestión de riesgos académicos.</t>
  </si>
  <si>
    <t>Proyecto Silver</t>
  </si>
  <si>
    <t>124.000.000</t>
  </si>
  <si>
    <t>30/10/2024</t>
  </si>
  <si>
    <t>Propuesta de línea de negocio intergeneracional estructurada para el Poli.
Interés institucional sobre el cambio demográfico como oportunidad estratégica generado.
Enfoque intergeneracional posicionado como complemento a la estrategia del PDI.</t>
  </si>
  <si>
    <t>• Mapeo de situación actual universidades y sector empresarial
• Diagnóstico interno y sesión de co-creación
• Informe de intergeneracionalidad y resultados de co-creación
• Informe con hallazgos y oportunidades institucionales
• Propuesta de programas y servicios de intergeneracionalidad
• Informe final del proyecto</t>
  </si>
  <si>
    <t>Promover la incorporación del aprendizaje continuo para personas mayores de 50 años, estructurando una propuesta de línea de negocio para programas intergeneracionales.</t>
  </si>
  <si>
    <t>Proyectos Ilumno Self Service S&amp;P</t>
  </si>
  <si>
    <t>260.000.000</t>
  </si>
  <si>
    <t>262.258.286</t>
  </si>
  <si>
    <t>1.006.000.234</t>
  </si>
  <si>
    <t>24/11/2025</t>
  </si>
  <si>
    <t>Funcionalidades Self Service S&amp;P disponibles para usuarios de la red Ilumno.
Reducción de intermediación manual en procesos de gestión de la plataforma.</t>
  </si>
  <si>
    <t>• Módulos de Self Service S&amp;P implementados
• Integración con ecosistema Ilumno y plataformas institucionales
• Documentación y entrega formal del proyecto</t>
  </si>
  <si>
    <t>Implementar las funcionalidades de autoservicio en la plataforma Ilumno para los procesos de gestión S&amp;P.</t>
  </si>
  <si>
    <t>Reingenieria de aplicaciones</t>
  </si>
  <si>
    <t>290.000.000</t>
  </si>
  <si>
    <t>243.325.845</t>
  </si>
  <si>
    <t>1.006.000.226</t>
  </si>
  <si>
    <t>7/11/2025</t>
  </si>
  <si>
    <t>Marco de referencia de Arquitectura de Software implementado como estándar institucional.
Proyectos semilla en producción: idiomas, Poliacces (seguridad) y pruebas de psicología.</t>
  </si>
  <si>
    <t>• Marco de referencia de Arquitectura de Software
• Proyectos semilla implementados (idiomas, Poliacces, psicología)
• Diagnóstico de aplicaciones con identificación de redundancias y brechas
• Estándar de desarrollo frontend y backend institucional</t>
  </si>
  <si>
    <t>Construir el marco de referencia de Arquitectura de Software e iniciar la reingeniería de aplicaciones institucionales para evolucionar hacia un ecosistema estandarizado, eficiente y seguro.</t>
  </si>
  <si>
    <t>SER PRO</t>
  </si>
  <si>
    <t>Rafael Armando Garcia Gomez</t>
  </si>
  <si>
    <t>Facultad Ingenieria Diseno E Innovacion</t>
  </si>
  <si>
    <t>100.500.000.085</t>
  </si>
  <si>
    <t>21.072.667</t>
  </si>
  <si>
    <t>25/11/2024</t>
  </si>
  <si>
    <t>Modelo de medición del Índice de Valor Agregado (IVA) implementado y operativo.
Estrategias de alineación microcurricular con pruebas Saber Pro definidas por cada facultad.
100% de talleres SER PRO ejecutados en programas piloto.</t>
  </si>
  <si>
    <t>• Modelo de medición del Índice de Valor Agregado (IVA)
• Módulos y App de entrenamiento para pruebas Saber Pro
• Documento del sistema de pruebas SABER
• Plan de formación en competencias genéricas por programa</t>
  </si>
  <si>
    <t>Fortalecer la preparación de los estudiantes para las pruebas Saber Pro, alineando el proceso formativo con los resultados de aprendizaje y mejorando el Índice de Valor Agregado (IVA) institucional.</t>
  </si>
  <si>
    <t>SOPHIA Sistema de Optimización y Programación Horaria Institucional Académica  I Fase</t>
  </si>
  <si>
    <t>659.186.015</t>
  </si>
  <si>
    <t>628.523.708</t>
  </si>
  <si>
    <t>1.006.000.230</t>
  </si>
  <si>
    <t>31/10/2025</t>
  </si>
  <si>
    <t>Sistema SOPHIA operando en paralelo en ambiente productivo.
Verificación de confiabilidad vs sistema Darwin (legacy) iniciada.</t>
  </si>
  <si>
    <t>• Ambiente productivo SOPHIA operativo (en paralelo)
• Módulo de programación académica presencial Bogotá y Medellín
• Módulo de oferta y encuentros sincrónicos virtual</t>
  </si>
  <si>
    <t>Desarrollar e implementar SOPHIA (Sistema de Optimización y Programación Horaria Institucional Académica) para automatizar la planificación académica y la programación de grupos.</t>
  </si>
  <si>
    <t>Automatización y Optimización proceso contractual</t>
  </si>
  <si>
    <t>Planeación</t>
  </si>
  <si>
    <t>0%</t>
  </si>
  <si>
    <t>Jorge Armando Devia Rey</t>
  </si>
  <si>
    <t>Proyecto en fase de planeación. Enfoque en reducción de tiempos y mejora de trazabilidad del proceso contractual con integración a herramientas tecnológicas existentes.</t>
  </si>
  <si>
    <t>• Diagnóstico del proceso contractual actual
• Blueprint de automatización del proceso contractual
• Integración con herramientas tecnológicas institucionales</t>
  </si>
  <si>
    <t>Automatizar y optimizar el proceso contractual institucional para reducir tiempos, mejorar la trazabilidad y garantizar el cumplimiento de los lineamientos jurídicos.</t>
  </si>
  <si>
    <t>Homologaciones IA - ILUMNO</t>
  </si>
  <si>
    <t>1/01/2026</t>
  </si>
  <si>
    <t>Proyecto en fase de planeación. Objetivo de automatizar el proceso de homologaciones mediante IA en el contexto de la red Ilumno.</t>
  </si>
  <si>
    <t>• Modelo de IA para homologaciones (en diseño)
• Integración con sistemas Ilumno
• Protocolo de homologación estandarizado</t>
  </si>
  <si>
    <t>Implementar inteligencia artificial en el proceso de homologaciones académicas en la red Ilumno para agilizar y estandarizar la evaluación de equivalencias entre instituciones.</t>
  </si>
  <si>
    <t>Implementación reforma Curricular</t>
  </si>
  <si>
    <t>Propuestas de reforma cargadas para programas del cronograma 2025-1 y 2025-2. En fase de revisión curricular, elaboración de sílabos y actualización de material.</t>
  </si>
  <si>
    <t>• Plan de reforma curricular por programa
• Propuestas de reforma cargadas (cronograma 2025-1 y 2025-2)
• Nuevos sílabos y material actualizado por programa</t>
  </si>
  <si>
    <t>Implementar el proceso de reforma curricular en los programas académicos de la institución, alineando los diseños curriculares con el modelo pedagógico y los lineamientos del PDI 2022-2026.</t>
  </si>
  <si>
    <t>Modelo Predictivo de deserción basado en Scoring</t>
  </si>
  <si>
    <t>Julian Andres Troncoso Arenas</t>
  </si>
  <si>
    <t>16/03/2026</t>
  </si>
  <si>
    <t>Proyecto en fase de planeación. Articulación prevista con el sistema ADVISER y la analítica institucional existente.</t>
  </si>
  <si>
    <t>• Modelo predictivo de scoring de deserción estudiantil
• Integración con ADVISER y analítica de datos
• Dashboard de riesgo estudiantil en tiempo real</t>
  </si>
  <si>
    <t>Implementar un modelo predictivo de deserción estudiantil basado en scoring para mejorar la precisión en la identificación temprana de estudiantes en riesgo.</t>
  </si>
  <si>
    <t>Sistema de medición de resultados de aprendizaje</t>
  </si>
  <si>
    <t>Juan Fernando Montañez</t>
  </si>
  <si>
    <t>24/09/2025</t>
  </si>
  <si>
    <t>Proyecto en fase de planeación. Articulación prevista con la plataforma de gestión curricular y el modelo de reforma curricular.</t>
  </si>
  <si>
    <t>• Sistema de medición de resultados de aprendizaje
• Integración con plataforma de gestión curricular
• Piloto de rutas de investigación formativa microcurricular</t>
  </si>
  <si>
    <t>Implementar un sistema institucional de medición y seguimiento de los resultados de aprendizaje de los programas académicos.</t>
  </si>
  <si>
    <t>Voice IA - Recupero</t>
  </si>
  <si>
    <t>2/02/2026</t>
  </si>
  <si>
    <t>Proyecto en fase de planeación. Diseño del modelo de Voice IA para integración con sistemas de cartera institucional.</t>
  </si>
  <si>
    <t>• Modelo de Voice IA para gestión de recupero
• Integración con sistemas de cartera institucional
• Automatización de flujos de comunicación de cobro</t>
  </si>
  <si>
    <t>Implementar soluciones de Voice IA en los procesos de recupero de cartera estudiantil para automatizar la gestión de cobros y mejorar la eficiencia operativa.</t>
  </si>
  <si>
    <t>Whatsapp IA</t>
  </si>
  <si>
    <t>Piloto aprobado e implementado en enero 2025. Herramienta en operación con presupuesto ejecutado.</t>
  </si>
  <si>
    <t>Herramienta WhatsApp IA operando en estrategia de ingresantes desde enero 2025.
Mejora en la experiencia de comunicación con aspirantes y estudiantes nuevos.</t>
  </si>
  <si>
    <t>• WhatsApp IA configurado y en operación para estrategia ingresantes
• Integración con flujo de acompañamiento a estudiantes
• Automatización de comunicación con aspirantes (Fase II)</t>
  </si>
  <si>
    <t>Implementar WhatsApp con inteligencia artificial como canal de comunicación y acompañamiento para la estrategia de ingresantes.</t>
  </si>
  <si>
    <t>Centro de Idiomas POLI</t>
  </si>
  <si>
    <t>Stand by</t>
  </si>
  <si>
    <t>Gerardo Andres Machuca Tellez</t>
  </si>
  <si>
    <t>Educación para la Vida</t>
  </si>
  <si>
    <t>1/03/2024</t>
  </si>
  <si>
    <t>6/03/2025</t>
  </si>
  <si>
    <t>Proyecto en stand by. Diagnóstico de necesidades y acercamiento con proveedor realizados. Pendiente viabilidad financiera y operativa.</t>
  </si>
  <si>
    <t>• Diagnóstico de necesidades del Centro de Idiomas
• Propuesta de modelo operativo (en revisión)</t>
  </si>
  <si>
    <t>Crear el Centro de Idiomas POLI como espacio de formación en lenguas extranjeras para la comunidad universitaria.</t>
  </si>
  <si>
    <t>Colegio Virtual</t>
  </si>
  <si>
    <t>John Jaime Marin Nino</t>
  </si>
  <si>
    <t>29/01/2025</t>
  </si>
  <si>
    <t>Proyecto en stand by. Análisis de viabilidad realizados. Pendiente definición de modelo pedagógico y regulatorio.</t>
  </si>
  <si>
    <t>• Estudio de factibilidad del Colegio Virtual
• Análisis regulatorio MEN para educación media
• Propuesta de modelo pedagógico virtual</t>
  </si>
  <si>
    <t>Crear el Colegio Virtual del Poli para expandir la oferta educativa hacia el nivel de educación media en modalidad virtual.</t>
  </si>
  <si>
    <t>Institución de educación para el trabajo y desarrollo humano IETDH</t>
  </si>
  <si>
    <t>Educación para la vida</t>
  </si>
  <si>
    <t>18/11/2024</t>
  </si>
  <si>
    <t>Proyecto en stand by. Análisis de viabilidad y contexto regulatorio realizados. Pendiente portafolio de programas ETDH y modelo de operación.</t>
  </si>
  <si>
    <t>• Estudio de viabilidad IETDH
• Análisis de marco regulatorio para educación para el trabajo
• Propuesta preliminar de portafolio de programas ETDH</t>
  </si>
  <si>
    <t>Crear la Institución de Educación para el Trabajo y el Desarrollo Humano del Poli, ampliando la oferta hacia la formación no formal certificada.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</si>
</sst>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2">
    <cellStyle name="Normal" xfId="0" builtinId="0"/>
    <cellStyle name="Porcentaje" xfId="1" builtinId="5"/>
  </cellStyles>
  <dxfs count="2">
    <dxf>
      <numFmt numFmtId="19" formatCode="d/mm/yyyy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633021CB-8182-4BEE-BF97-C8BE0AED29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Y54" totalsRowShown="0">
  <autoFilter ref="A1:Y54" xr:uid="{00000000-000C-0000-FFFF-FFFF00000000}"/>
  <tableColumns count="25">
    <tableColumn id="1" xr3:uid="{00000000-0010-0000-0000-000001000000}" name="Nombre del proyecto"/>
    <tableColumn id="2" xr3:uid="{00000000-0010-0000-0000-000002000000}" name="0. Estado del proyecto"/>
    <tableColumn id="3" xr3:uid="{00000000-0010-0000-0000-000003000000}" name="ILUMNO"/>
    <tableColumn id="4" xr3:uid="{00000000-0010-0000-0000-000004000000}" name="% completado"/>
    <tableColumn id="5" xr3:uid="{00000000-0010-0000-0000-000005000000}" name="% Esperado centro de proyectos"/>
    <tableColumn id="6" xr3:uid="{00000000-0010-0000-0000-000006000000}" name="Ind. cumplimiento PWA" dataDxfId="1" dataCellStyle="Porcentaje">
      <calculatedColumnFormula>+D2/E2</calculatedColumnFormula>
    </tableColumn>
    <tableColumn id="7" xr3:uid="{00000000-0010-0000-0000-000007000000}" name="Propietario"/>
    <tableColumn id="8" xr3:uid="{00000000-0010-0000-0000-000008000000}" name="0. Sponsor"/>
    <tableColumn id="9" xr3:uid="{00000000-0010-0000-0000-000009000000}" name="4. Líneas estratégicas"/>
    <tableColumn id="10" xr3:uid="{00000000-0010-0000-0000-00000A000000}" name="2. Vicerrectoría"/>
    <tableColumn id="11" xr3:uid="{00000000-0010-0000-0000-00000B000000}" name="3. Area"/>
    <tableColumn id="12" xr3:uid="{00000000-0010-0000-0000-00000C000000}" name="5. Orden interna OPEX"/>
    <tableColumn id="13" xr3:uid="{00000000-0010-0000-0000-00000D000000}" name="5.1. Presupuesto OPEX"/>
    <tableColumn id="14" xr3:uid="{00000000-0010-0000-0000-00000E000000}" name="5.2. Presupuesto OPEX ejecutado"/>
    <tableColumn id="15" xr3:uid="{00000000-0010-0000-0000-00000F000000}" name="6.1. presupuesto CAPEX"/>
    <tableColumn id="16" xr3:uid="{00000000-0010-0000-0000-000010000000}" name="6.2. Presupuesto CAPEX ejecutado"/>
    <tableColumn id="17" xr3:uid="{00000000-0010-0000-0000-000011000000}" name="6. Orden inversión CAPEX"/>
    <tableColumn id="18" xr3:uid="{00000000-0010-0000-0000-000012000000}" name="7. Fecha de seguimiento"/>
    <tableColumn id="20" xr3:uid="{00000000-0010-0000-0000-000014000000}" name="Comienzo" dataDxfId="0"/>
    <tableColumn id="21" xr3:uid="{00000000-0010-0000-0000-000015000000}" name="Fin"/>
    <tableColumn id="25" xr3:uid="{00000000-0010-0000-0000-000019000000}" name="Avance"/>
    <tableColumn id="26" xr3:uid="{00000000-0010-0000-0000-00001A000000}" name="Siguientes Tareas"/>
    <tableColumn id="27" xr3:uid="{00000000-0010-0000-0000-00001B000000}" name="Riesgos"/>
    <tableColumn id="19" xr3:uid="{00000000-0010-0000-0000-000013000000}" name="Impactos Generados"/>
    <tableColumn id="22" xr3:uid="{00000000-0010-0000-0000-000016000000}" name="Entregab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pane xSplit="2" ySplit="2" topLeftCell="Z53" activePane="bottomRight" state="frozen"/>
      <selection pane="topRight" activeCell="C1" sqref="C1"/>
      <selection pane="bottomLeft" activeCell="A3" sqref="A3"/>
      <selection pane="bottomRight" activeCell="Z1" sqref="Z1"/>
    </sheetView>
  </sheetViews>
  <sheetFormatPr baseColWidth="10" defaultColWidth="11.44140625" defaultRowHeight="51.6" customHeight="1" x14ac:dyDescent="0.3"/>
  <cols>
    <col min="1" max="1" width="40.109375" customWidth="1"/>
    <col min="2" max="2" width="16.109375" hidden="1" customWidth="1"/>
    <col min="3" max="3" width="0" hidden="1" customWidth="1"/>
    <col min="4" max="4" width="14.6640625" hidden="1" customWidth="1"/>
    <col min="5" max="5" width="29.109375" hidden="1" customWidth="1"/>
    <col min="6" max="6" width="22.44140625" hidden="1" customWidth="1"/>
    <col min="7" max="7" width="12" hidden="1" customWidth="1"/>
    <col min="8" max="8" width="11.5546875" hidden="1" customWidth="1"/>
    <col min="9" max="9" width="20.6640625" hidden="1" customWidth="1"/>
    <col min="10" max="10" width="15.44140625" hidden="1" customWidth="1"/>
    <col min="11" max="11" width="0" hidden="1" customWidth="1"/>
    <col min="12" max="12" width="21" hidden="1" customWidth="1"/>
    <col min="13" max="13" width="21.5546875" hidden="1" customWidth="1"/>
    <col min="14" max="14" width="30.33203125" hidden="1" customWidth="1"/>
    <col min="15" max="15" width="22.5546875" hidden="1" customWidth="1"/>
    <col min="16" max="16" width="31.44140625" hidden="1" customWidth="1"/>
    <col min="17" max="17" width="23.88671875" hidden="1" customWidth="1"/>
    <col min="18" max="18" width="23" hidden="1" customWidth="1"/>
    <col min="19" max="19" width="11.109375" hidden="1" customWidth="1"/>
    <col min="20" max="20" width="0" hidden="1" customWidth="1"/>
    <col min="21" max="22" width="26.5546875" hidden="1" customWidth="1"/>
    <col min="23" max="23" width="84.5546875" hidden="1" customWidth="1"/>
    <col min="24" max="25" width="55" hidden="1" customWidth="1"/>
    <col min="26" max="26" width="55" customWidth="1"/>
  </cols>
  <sheetData>
    <row r="1" spans="1:26" ht="51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</row>
    <row r="2" spans="1:26" ht="51.6" customHeight="1" x14ac:dyDescent="0.3">
      <c r="A2" t="s">
        <v>26</v>
      </c>
      <c r="B2" t="s">
        <v>27</v>
      </c>
      <c r="C2" t="s">
        <v>28</v>
      </c>
      <c r="D2" t="s">
        <v>29</v>
      </c>
      <c r="E2" s="1">
        <v>1</v>
      </c>
      <c r="F2" s="2">
        <f t="shared" ref="F2:F33" si="0">+D2/E2</f>
        <v>0.99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35</v>
      </c>
      <c r="S2" s="6">
        <v>44564</v>
      </c>
      <c r="T2" t="s">
        <v>36</v>
      </c>
      <c r="X2" s="4" t="s">
        <v>37</v>
      </c>
      <c r="Y2" s="4" t="s">
        <v>38</v>
      </c>
      <c r="Z2" s="4" t="s">
        <v>39</v>
      </c>
    </row>
    <row r="3" spans="1:26" ht="51.6" customHeight="1" x14ac:dyDescent="0.3">
      <c r="A3" t="s">
        <v>40</v>
      </c>
      <c r="B3" t="s">
        <v>41</v>
      </c>
      <c r="C3" t="s">
        <v>28</v>
      </c>
      <c r="D3" t="s">
        <v>42</v>
      </c>
      <c r="E3" t="s">
        <v>43</v>
      </c>
      <c r="F3" s="2">
        <f t="shared" si="0"/>
        <v>0.94117647058823539</v>
      </c>
      <c r="G3" t="s">
        <v>44</v>
      </c>
      <c r="H3" t="s">
        <v>31</v>
      </c>
      <c r="I3" t="s">
        <v>45</v>
      </c>
      <c r="J3" t="s">
        <v>46</v>
      </c>
      <c r="K3" t="s">
        <v>47</v>
      </c>
      <c r="S3" s="6">
        <v>45691</v>
      </c>
      <c r="T3" t="s">
        <v>48</v>
      </c>
      <c r="U3" s="3" t="s">
        <v>49</v>
      </c>
      <c r="V3" s="3" t="s">
        <v>50</v>
      </c>
      <c r="W3" s="3" t="s">
        <v>51</v>
      </c>
      <c r="X3" s="4" t="s">
        <v>52</v>
      </c>
      <c r="Y3" s="4" t="s">
        <v>53</v>
      </c>
      <c r="Z3" s="4" t="s">
        <v>54</v>
      </c>
    </row>
    <row r="4" spans="1:26" ht="51.6" customHeight="1" x14ac:dyDescent="0.3">
      <c r="A4" t="s">
        <v>55</v>
      </c>
      <c r="B4" t="s">
        <v>41</v>
      </c>
      <c r="C4" t="s">
        <v>28</v>
      </c>
      <c r="D4" t="s">
        <v>56</v>
      </c>
      <c r="E4" t="s">
        <v>57</v>
      </c>
      <c r="F4" s="2">
        <f t="shared" si="0"/>
        <v>0.97872340425531923</v>
      </c>
      <c r="G4" t="s">
        <v>58</v>
      </c>
      <c r="H4" t="s">
        <v>59</v>
      </c>
      <c r="I4" t="s">
        <v>32</v>
      </c>
      <c r="J4" t="s">
        <v>33</v>
      </c>
      <c r="K4" t="s">
        <v>60</v>
      </c>
      <c r="S4" s="6">
        <v>45691</v>
      </c>
      <c r="T4" t="s">
        <v>61</v>
      </c>
      <c r="U4" s="3" t="s">
        <v>62</v>
      </c>
      <c r="V4" s="3" t="s">
        <v>63</v>
      </c>
      <c r="W4" s="3" t="s">
        <v>64</v>
      </c>
      <c r="X4" s="4" t="s">
        <v>65</v>
      </c>
      <c r="Y4" s="4" t="s">
        <v>66</v>
      </c>
      <c r="Z4" s="4" t="s">
        <v>67</v>
      </c>
    </row>
    <row r="5" spans="1:26" ht="51.6" customHeight="1" x14ac:dyDescent="0.3">
      <c r="A5" t="s">
        <v>68</v>
      </c>
      <c r="B5" t="s">
        <v>41</v>
      </c>
      <c r="C5" t="s">
        <v>28</v>
      </c>
      <c r="D5" t="s">
        <v>69</v>
      </c>
      <c r="E5" t="s">
        <v>70</v>
      </c>
      <c r="F5" s="2">
        <f t="shared" si="0"/>
        <v>0.96666666666666667</v>
      </c>
      <c r="G5" t="s">
        <v>71</v>
      </c>
      <c r="H5" t="s">
        <v>72</v>
      </c>
      <c r="I5" t="s">
        <v>32</v>
      </c>
      <c r="J5" t="s">
        <v>33</v>
      </c>
      <c r="K5" t="s">
        <v>73</v>
      </c>
      <c r="S5" s="6">
        <v>45964</v>
      </c>
      <c r="T5" t="s">
        <v>75</v>
      </c>
      <c r="U5" s="3" t="s">
        <v>76</v>
      </c>
      <c r="V5" t="s">
        <v>77</v>
      </c>
      <c r="W5" t="s">
        <v>78</v>
      </c>
      <c r="X5" s="4" t="s">
        <v>79</v>
      </c>
      <c r="Y5" s="4" t="s">
        <v>80</v>
      </c>
      <c r="Z5" s="4" t="s">
        <v>81</v>
      </c>
    </row>
    <row r="6" spans="1:26" ht="51.6" customHeight="1" x14ac:dyDescent="0.3">
      <c r="A6" t="s">
        <v>82</v>
      </c>
      <c r="B6" t="s">
        <v>41</v>
      </c>
      <c r="C6" t="s">
        <v>28</v>
      </c>
      <c r="D6" t="s">
        <v>83</v>
      </c>
      <c r="E6" t="s">
        <v>83</v>
      </c>
      <c r="F6" s="2">
        <f t="shared" si="0"/>
        <v>1</v>
      </c>
      <c r="G6" t="s">
        <v>84</v>
      </c>
      <c r="H6" t="s">
        <v>85</v>
      </c>
      <c r="I6" t="s">
        <v>45</v>
      </c>
      <c r="J6" t="s">
        <v>86</v>
      </c>
      <c r="K6" t="s">
        <v>87</v>
      </c>
      <c r="S6" s="6">
        <v>45952</v>
      </c>
      <c r="T6" t="s">
        <v>88</v>
      </c>
      <c r="U6" s="3" t="s">
        <v>89</v>
      </c>
      <c r="V6" s="3" t="s">
        <v>90</v>
      </c>
      <c r="W6" s="3" t="s">
        <v>91</v>
      </c>
      <c r="X6" s="4" t="s">
        <v>92</v>
      </c>
      <c r="Y6" s="4" t="s">
        <v>93</v>
      </c>
      <c r="Z6" s="4" t="s">
        <v>94</v>
      </c>
    </row>
    <row r="7" spans="1:26" ht="51.6" customHeight="1" x14ac:dyDescent="0.3">
      <c r="A7" t="s">
        <v>95</v>
      </c>
      <c r="B7" t="s">
        <v>41</v>
      </c>
      <c r="C7" t="s">
        <v>28</v>
      </c>
      <c r="D7" t="s">
        <v>96</v>
      </c>
      <c r="E7" t="s">
        <v>70</v>
      </c>
      <c r="F7" s="2">
        <f t="shared" si="0"/>
        <v>0.95</v>
      </c>
      <c r="G7" t="s">
        <v>97</v>
      </c>
      <c r="H7" t="s">
        <v>98</v>
      </c>
      <c r="I7" t="s">
        <v>45</v>
      </c>
      <c r="J7" t="s">
        <v>46</v>
      </c>
      <c r="K7" t="s">
        <v>99</v>
      </c>
      <c r="S7" s="6">
        <v>45748</v>
      </c>
      <c r="T7" t="s">
        <v>100</v>
      </c>
      <c r="U7" s="3" t="s">
        <v>101</v>
      </c>
      <c r="V7" t="s">
        <v>102</v>
      </c>
      <c r="W7" s="3" t="s">
        <v>103</v>
      </c>
      <c r="X7" s="4" t="s">
        <v>104</v>
      </c>
      <c r="Y7" s="4" t="s">
        <v>105</v>
      </c>
      <c r="Z7" s="4" t="s">
        <v>106</v>
      </c>
    </row>
    <row r="8" spans="1:26" ht="51.6" customHeight="1" x14ac:dyDescent="0.3">
      <c r="A8" t="s">
        <v>107</v>
      </c>
      <c r="B8" t="s">
        <v>41</v>
      </c>
      <c r="C8" t="s">
        <v>108</v>
      </c>
      <c r="D8" t="s">
        <v>109</v>
      </c>
      <c r="E8" t="s">
        <v>110</v>
      </c>
      <c r="F8" s="2">
        <f t="shared" si="0"/>
        <v>0.93055555555555569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S8" s="6">
        <v>45929</v>
      </c>
      <c r="T8" t="s">
        <v>116</v>
      </c>
      <c r="U8" s="3" t="s">
        <v>117</v>
      </c>
      <c r="V8" s="3" t="s">
        <v>118</v>
      </c>
      <c r="W8" s="3" t="s">
        <v>119</v>
      </c>
      <c r="X8" s="4" t="s">
        <v>120</v>
      </c>
      <c r="Y8" s="4" t="s">
        <v>121</v>
      </c>
      <c r="Z8" s="4" t="s">
        <v>122</v>
      </c>
    </row>
    <row r="9" spans="1:26" ht="51.6" customHeight="1" x14ac:dyDescent="0.3">
      <c r="A9" t="s">
        <v>123</v>
      </c>
      <c r="B9" t="s">
        <v>41</v>
      </c>
      <c r="C9" t="s">
        <v>108</v>
      </c>
      <c r="D9" t="s">
        <v>124</v>
      </c>
      <c r="E9" t="s">
        <v>125</v>
      </c>
      <c r="F9" s="2">
        <f t="shared" si="0"/>
        <v>0.95454545454545447</v>
      </c>
      <c r="G9" t="s">
        <v>126</v>
      </c>
      <c r="H9" t="s">
        <v>112</v>
      </c>
      <c r="I9" t="s">
        <v>113</v>
      </c>
      <c r="J9" t="s">
        <v>114</v>
      </c>
      <c r="K9" t="s">
        <v>127</v>
      </c>
      <c r="O9" t="s">
        <v>128</v>
      </c>
      <c r="Q9" t="s">
        <v>129</v>
      </c>
      <c r="S9" s="6">
        <v>46050</v>
      </c>
      <c r="T9" t="s">
        <v>130</v>
      </c>
      <c r="U9" s="3" t="s">
        <v>131</v>
      </c>
      <c r="V9" t="s">
        <v>132</v>
      </c>
      <c r="W9" s="3" t="s">
        <v>133</v>
      </c>
      <c r="X9" s="4" t="s">
        <v>134</v>
      </c>
      <c r="Y9" s="4" t="s">
        <v>135</v>
      </c>
      <c r="Z9" s="4" t="s">
        <v>136</v>
      </c>
    </row>
    <row r="10" spans="1:26" ht="51.6" customHeight="1" x14ac:dyDescent="0.3">
      <c r="A10" t="s">
        <v>137</v>
      </c>
      <c r="B10" t="s">
        <v>41</v>
      </c>
      <c r="C10" t="s">
        <v>28</v>
      </c>
      <c r="D10" t="s">
        <v>138</v>
      </c>
      <c r="E10" t="s">
        <v>139</v>
      </c>
      <c r="F10" s="2">
        <f t="shared" si="0"/>
        <v>0.95454545454545447</v>
      </c>
      <c r="G10" t="s">
        <v>140</v>
      </c>
      <c r="H10" t="s">
        <v>59</v>
      </c>
      <c r="I10" t="s">
        <v>32</v>
      </c>
      <c r="J10" t="s">
        <v>33</v>
      </c>
      <c r="K10" t="s">
        <v>141</v>
      </c>
      <c r="R10" t="s">
        <v>142</v>
      </c>
      <c r="S10" s="6">
        <v>45778</v>
      </c>
      <c r="T10" t="s">
        <v>143</v>
      </c>
      <c r="U10" t="s">
        <v>144</v>
      </c>
      <c r="V10" t="s">
        <v>145</v>
      </c>
      <c r="W10" s="3" t="s">
        <v>146</v>
      </c>
      <c r="X10" s="4" t="s">
        <v>147</v>
      </c>
      <c r="Y10" s="4" t="s">
        <v>148</v>
      </c>
      <c r="Z10" s="4" t="s">
        <v>149</v>
      </c>
    </row>
    <row r="11" spans="1:26" ht="51.6" customHeight="1" x14ac:dyDescent="0.3">
      <c r="A11" t="s">
        <v>150</v>
      </c>
      <c r="B11" t="s">
        <v>41</v>
      </c>
      <c r="C11" t="s">
        <v>28</v>
      </c>
      <c r="D11" t="s">
        <v>57</v>
      </c>
      <c r="E11" t="s">
        <v>151</v>
      </c>
      <c r="F11" s="2">
        <f t="shared" si="0"/>
        <v>0.94</v>
      </c>
      <c r="G11" t="s">
        <v>152</v>
      </c>
      <c r="H11" t="s">
        <v>72</v>
      </c>
      <c r="I11" t="s">
        <v>32</v>
      </c>
      <c r="J11" t="s">
        <v>33</v>
      </c>
      <c r="K11" t="s">
        <v>153</v>
      </c>
      <c r="O11" t="s">
        <v>154</v>
      </c>
      <c r="P11" t="s">
        <v>155</v>
      </c>
      <c r="Q11" t="s">
        <v>156</v>
      </c>
      <c r="R11" t="s">
        <v>157</v>
      </c>
      <c r="S11" s="6">
        <v>45551</v>
      </c>
      <c r="T11" t="s">
        <v>159</v>
      </c>
      <c r="U11" s="3" t="s">
        <v>160</v>
      </c>
      <c r="V11" t="s">
        <v>161</v>
      </c>
      <c r="W11" t="s">
        <v>162</v>
      </c>
      <c r="X11" s="4" t="s">
        <v>163</v>
      </c>
      <c r="Y11" s="4" t="s">
        <v>164</v>
      </c>
      <c r="Z11" s="4" t="s">
        <v>165</v>
      </c>
    </row>
    <row r="12" spans="1:26" ht="51.6" customHeight="1" x14ac:dyDescent="0.3">
      <c r="A12" t="s">
        <v>166</v>
      </c>
      <c r="B12" t="s">
        <v>41</v>
      </c>
      <c r="C12" t="s">
        <v>28</v>
      </c>
      <c r="D12" t="s">
        <v>167</v>
      </c>
      <c r="E12" t="s">
        <v>168</v>
      </c>
      <c r="F12" s="2">
        <f t="shared" si="0"/>
        <v>0.984375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S12" s="6">
        <v>45901</v>
      </c>
      <c r="T12" t="s">
        <v>174</v>
      </c>
      <c r="U12" s="3" t="s">
        <v>175</v>
      </c>
      <c r="V12" s="3" t="s">
        <v>176</v>
      </c>
      <c r="W12" s="3" t="s">
        <v>177</v>
      </c>
      <c r="X12" s="4" t="s">
        <v>178</v>
      </c>
      <c r="Y12" s="4" t="s">
        <v>179</v>
      </c>
      <c r="Z12" s="4" t="s">
        <v>180</v>
      </c>
    </row>
    <row r="13" spans="1:26" ht="51.6" customHeight="1" x14ac:dyDescent="0.3">
      <c r="A13" t="s">
        <v>181</v>
      </c>
      <c r="B13" t="s">
        <v>41</v>
      </c>
      <c r="C13" t="s">
        <v>28</v>
      </c>
      <c r="D13" t="s">
        <v>70</v>
      </c>
      <c r="E13" t="s">
        <v>182</v>
      </c>
      <c r="F13" s="2">
        <f t="shared" si="0"/>
        <v>0.90909090909090906</v>
      </c>
      <c r="G13" t="s">
        <v>183</v>
      </c>
      <c r="H13" t="s">
        <v>85</v>
      </c>
      <c r="I13" t="s">
        <v>45</v>
      </c>
      <c r="J13" t="s">
        <v>86</v>
      </c>
      <c r="K13" t="s">
        <v>184</v>
      </c>
      <c r="S13" s="6">
        <v>45691</v>
      </c>
      <c r="T13" t="s">
        <v>185</v>
      </c>
      <c r="U13" s="3" t="s">
        <v>186</v>
      </c>
      <c r="V13" s="3" t="s">
        <v>187</v>
      </c>
      <c r="W13" s="3" t="s">
        <v>188</v>
      </c>
      <c r="X13" s="4" t="s">
        <v>189</v>
      </c>
      <c r="Y13" s="4" t="s">
        <v>190</v>
      </c>
      <c r="Z13" s="4" t="s">
        <v>191</v>
      </c>
    </row>
    <row r="14" spans="1:26" ht="51.6" customHeight="1" x14ac:dyDescent="0.3">
      <c r="A14" t="s">
        <v>192</v>
      </c>
      <c r="B14" t="s">
        <v>193</v>
      </c>
      <c r="C14" t="s">
        <v>28</v>
      </c>
      <c r="D14" t="s">
        <v>151</v>
      </c>
      <c r="E14" t="s">
        <v>151</v>
      </c>
      <c r="F14" s="2">
        <f t="shared" si="0"/>
        <v>1</v>
      </c>
      <c r="G14" t="s">
        <v>194</v>
      </c>
      <c r="H14" t="s">
        <v>59</v>
      </c>
      <c r="I14" t="s">
        <v>32</v>
      </c>
      <c r="J14" t="s">
        <v>33</v>
      </c>
      <c r="K14" t="s">
        <v>195</v>
      </c>
      <c r="R14" t="s">
        <v>196</v>
      </c>
      <c r="S14" s="6">
        <v>45037</v>
      </c>
      <c r="T14" t="s">
        <v>197</v>
      </c>
      <c r="X14" s="4" t="s">
        <v>198</v>
      </c>
      <c r="Y14" s="4" t="s">
        <v>199</v>
      </c>
      <c r="Z14" s="4" t="s">
        <v>200</v>
      </c>
    </row>
    <row r="15" spans="1:26" ht="51.6" customHeight="1" x14ac:dyDescent="0.3">
      <c r="A15" t="s">
        <v>201</v>
      </c>
      <c r="B15" t="s">
        <v>193</v>
      </c>
      <c r="C15" t="s">
        <v>28</v>
      </c>
      <c r="D15" t="s">
        <v>151</v>
      </c>
      <c r="E15" t="s">
        <v>151</v>
      </c>
      <c r="F15" s="2">
        <f t="shared" si="0"/>
        <v>1</v>
      </c>
      <c r="G15" t="s">
        <v>194</v>
      </c>
      <c r="H15" t="s">
        <v>59</v>
      </c>
      <c r="I15" t="s">
        <v>32</v>
      </c>
      <c r="J15" t="s">
        <v>33</v>
      </c>
      <c r="K15" t="s">
        <v>202</v>
      </c>
      <c r="R15" t="s">
        <v>203</v>
      </c>
      <c r="S15" s="6">
        <v>45643</v>
      </c>
      <c r="T15" t="s">
        <v>204</v>
      </c>
      <c r="X15" s="4" t="s">
        <v>205</v>
      </c>
      <c r="Y15" s="4" t="s">
        <v>206</v>
      </c>
      <c r="Z15" s="4" t="s">
        <v>207</v>
      </c>
    </row>
    <row r="16" spans="1:26" ht="51.6" customHeight="1" x14ac:dyDescent="0.3">
      <c r="A16" t="s">
        <v>208</v>
      </c>
      <c r="B16" t="s">
        <v>193</v>
      </c>
      <c r="C16" t="s">
        <v>28</v>
      </c>
      <c r="D16" t="s">
        <v>151</v>
      </c>
      <c r="E16" t="s">
        <v>151</v>
      </c>
      <c r="F16" s="2">
        <f t="shared" si="0"/>
        <v>1</v>
      </c>
      <c r="G16" t="s">
        <v>194</v>
      </c>
      <c r="H16" t="s">
        <v>59</v>
      </c>
      <c r="I16" t="s">
        <v>32</v>
      </c>
      <c r="J16" t="s">
        <v>33</v>
      </c>
      <c r="K16" t="s">
        <v>195</v>
      </c>
      <c r="S16" s="6">
        <v>44714</v>
      </c>
      <c r="T16" t="s">
        <v>209</v>
      </c>
      <c r="X16" s="4" t="s">
        <v>210</v>
      </c>
      <c r="Y16" s="4" t="s">
        <v>211</v>
      </c>
      <c r="Z16" s="4" t="s">
        <v>212</v>
      </c>
    </row>
    <row r="17" spans="1:26" ht="51.6" customHeight="1" x14ac:dyDescent="0.3">
      <c r="A17" t="s">
        <v>213</v>
      </c>
      <c r="B17" t="s">
        <v>193</v>
      </c>
      <c r="C17" t="s">
        <v>28</v>
      </c>
      <c r="D17" t="s">
        <v>151</v>
      </c>
      <c r="E17" t="s">
        <v>151</v>
      </c>
      <c r="F17" s="2">
        <f t="shared" si="0"/>
        <v>1</v>
      </c>
      <c r="G17" t="s">
        <v>214</v>
      </c>
      <c r="H17" t="s">
        <v>215</v>
      </c>
      <c r="I17" t="s">
        <v>45</v>
      </c>
      <c r="J17" t="s">
        <v>46</v>
      </c>
      <c r="K17" t="s">
        <v>216</v>
      </c>
      <c r="L17" t="s">
        <v>217</v>
      </c>
      <c r="M17" t="s">
        <v>218</v>
      </c>
      <c r="N17" t="s">
        <v>219</v>
      </c>
      <c r="S17" s="6">
        <v>45670</v>
      </c>
      <c r="T17" t="s">
        <v>220</v>
      </c>
      <c r="X17" s="4" t="s">
        <v>221</v>
      </c>
      <c r="Y17" s="4" t="s">
        <v>222</v>
      </c>
      <c r="Z17" s="4" t="s">
        <v>223</v>
      </c>
    </row>
    <row r="18" spans="1:26" ht="51.6" customHeight="1" x14ac:dyDescent="0.3">
      <c r="A18" t="s">
        <v>224</v>
      </c>
      <c r="B18" t="s">
        <v>193</v>
      </c>
      <c r="C18" t="s">
        <v>28</v>
      </c>
      <c r="D18" t="s">
        <v>151</v>
      </c>
      <c r="E18" t="s">
        <v>151</v>
      </c>
      <c r="F18" s="2">
        <f t="shared" si="0"/>
        <v>1</v>
      </c>
      <c r="G18" t="s">
        <v>225</v>
      </c>
      <c r="H18" t="s">
        <v>59</v>
      </c>
      <c r="I18" t="s">
        <v>32</v>
      </c>
      <c r="J18" t="s">
        <v>33</v>
      </c>
      <c r="K18" t="s">
        <v>226</v>
      </c>
      <c r="L18" t="s">
        <v>227</v>
      </c>
      <c r="M18" t="s">
        <v>228</v>
      </c>
      <c r="N18" t="s">
        <v>229</v>
      </c>
      <c r="R18" t="s">
        <v>230</v>
      </c>
      <c r="S18" s="6">
        <v>44697</v>
      </c>
      <c r="T18" t="s">
        <v>231</v>
      </c>
      <c r="X18" s="4" t="s">
        <v>232</v>
      </c>
      <c r="Y18" s="4" t="s">
        <v>233</v>
      </c>
      <c r="Z18" s="4" t="s">
        <v>234</v>
      </c>
    </row>
    <row r="19" spans="1:26" ht="51.6" customHeight="1" x14ac:dyDescent="0.3">
      <c r="A19" t="s">
        <v>235</v>
      </c>
      <c r="B19" t="s">
        <v>193</v>
      </c>
      <c r="C19" t="s">
        <v>28</v>
      </c>
      <c r="D19" t="s">
        <v>151</v>
      </c>
      <c r="E19" t="s">
        <v>151</v>
      </c>
      <c r="F19" s="2">
        <f t="shared" si="0"/>
        <v>1</v>
      </c>
      <c r="G19" t="s">
        <v>236</v>
      </c>
      <c r="H19" t="s">
        <v>59</v>
      </c>
      <c r="I19" t="s">
        <v>171</v>
      </c>
      <c r="J19" t="s">
        <v>33</v>
      </c>
      <c r="K19" t="s">
        <v>237</v>
      </c>
      <c r="N19" t="s">
        <v>238</v>
      </c>
      <c r="O19" t="s">
        <v>239</v>
      </c>
      <c r="P19" t="s">
        <v>240</v>
      </c>
      <c r="Q19" t="s">
        <v>241</v>
      </c>
      <c r="R19" t="s">
        <v>158</v>
      </c>
      <c r="S19" s="6">
        <v>45446</v>
      </c>
      <c r="T19" t="s">
        <v>242</v>
      </c>
      <c r="X19" s="4" t="s">
        <v>243</v>
      </c>
      <c r="Y19" s="4" t="s">
        <v>244</v>
      </c>
      <c r="Z19" s="4" t="s">
        <v>245</v>
      </c>
    </row>
    <row r="20" spans="1:26" ht="51.6" customHeight="1" x14ac:dyDescent="0.3">
      <c r="A20" t="s">
        <v>246</v>
      </c>
      <c r="B20" t="s">
        <v>193</v>
      </c>
      <c r="C20" t="s">
        <v>28</v>
      </c>
      <c r="D20" t="s">
        <v>151</v>
      </c>
      <c r="E20" t="s">
        <v>151</v>
      </c>
      <c r="F20" s="2">
        <f t="shared" si="0"/>
        <v>1</v>
      </c>
      <c r="G20" t="s">
        <v>247</v>
      </c>
      <c r="H20" t="s">
        <v>248</v>
      </c>
      <c r="I20" t="s">
        <v>249</v>
      </c>
      <c r="J20" t="s">
        <v>46</v>
      </c>
      <c r="K20" t="s">
        <v>250</v>
      </c>
      <c r="L20" t="s">
        <v>251</v>
      </c>
      <c r="M20" t="s">
        <v>252</v>
      </c>
      <c r="N20" t="s">
        <v>253</v>
      </c>
      <c r="R20" t="s">
        <v>230</v>
      </c>
      <c r="S20" s="6">
        <v>44622</v>
      </c>
      <c r="T20" t="s">
        <v>254</v>
      </c>
      <c r="X20" s="4" t="s">
        <v>255</v>
      </c>
      <c r="Y20" s="4" t="s">
        <v>256</v>
      </c>
      <c r="Z20" s="4" t="s">
        <v>257</v>
      </c>
    </row>
    <row r="21" spans="1:26" ht="51.6" customHeight="1" x14ac:dyDescent="0.3">
      <c r="A21" t="s">
        <v>258</v>
      </c>
      <c r="B21" t="s">
        <v>193</v>
      </c>
      <c r="C21" t="s">
        <v>28</v>
      </c>
      <c r="D21" t="s">
        <v>151</v>
      </c>
      <c r="E21" t="s">
        <v>151</v>
      </c>
      <c r="F21" s="2">
        <f t="shared" si="0"/>
        <v>1</v>
      </c>
      <c r="G21" t="s">
        <v>259</v>
      </c>
      <c r="H21" t="s">
        <v>59</v>
      </c>
      <c r="I21" t="s">
        <v>32</v>
      </c>
      <c r="J21" t="s">
        <v>33</v>
      </c>
      <c r="K21" t="s">
        <v>260</v>
      </c>
      <c r="L21" t="s">
        <v>261</v>
      </c>
      <c r="M21" t="s">
        <v>262</v>
      </c>
      <c r="N21" t="s">
        <v>263</v>
      </c>
      <c r="R21" t="s">
        <v>230</v>
      </c>
      <c r="S21" s="6">
        <v>45002</v>
      </c>
      <c r="T21" t="s">
        <v>264</v>
      </c>
      <c r="X21" s="4" t="s">
        <v>265</v>
      </c>
      <c r="Y21" s="4" t="s">
        <v>266</v>
      </c>
      <c r="Z21" s="4" t="s">
        <v>267</v>
      </c>
    </row>
    <row r="22" spans="1:26" ht="51.6" customHeight="1" x14ac:dyDescent="0.3">
      <c r="A22" t="s">
        <v>268</v>
      </c>
      <c r="B22" t="s">
        <v>193</v>
      </c>
      <c r="C22" t="s">
        <v>28</v>
      </c>
      <c r="D22" t="s">
        <v>151</v>
      </c>
      <c r="E22" t="s">
        <v>151</v>
      </c>
      <c r="F22" s="2">
        <f t="shared" si="0"/>
        <v>1</v>
      </c>
      <c r="G22" t="s">
        <v>269</v>
      </c>
      <c r="H22" t="s">
        <v>59</v>
      </c>
      <c r="I22" t="s">
        <v>32</v>
      </c>
      <c r="J22" t="s">
        <v>33</v>
      </c>
      <c r="K22" t="s">
        <v>270</v>
      </c>
      <c r="S22" s="6">
        <v>45218</v>
      </c>
      <c r="T22" t="s">
        <v>271</v>
      </c>
      <c r="X22" s="4" t="s">
        <v>272</v>
      </c>
      <c r="Y22" s="4" t="s">
        <v>273</v>
      </c>
      <c r="Z22" s="4" t="s">
        <v>274</v>
      </c>
    </row>
    <row r="23" spans="1:26" ht="51.6" customHeight="1" x14ac:dyDescent="0.3">
      <c r="A23" t="s">
        <v>275</v>
      </c>
      <c r="B23" t="s">
        <v>193</v>
      </c>
      <c r="C23" t="s">
        <v>28</v>
      </c>
      <c r="D23" t="s">
        <v>151</v>
      </c>
      <c r="E23" t="s">
        <v>151</v>
      </c>
      <c r="F23" s="2">
        <f t="shared" si="0"/>
        <v>1</v>
      </c>
      <c r="G23" t="s">
        <v>276</v>
      </c>
      <c r="H23" t="s">
        <v>85</v>
      </c>
      <c r="I23" t="s">
        <v>45</v>
      </c>
      <c r="J23" t="s">
        <v>277</v>
      </c>
      <c r="K23" t="s">
        <v>87</v>
      </c>
      <c r="O23" t="s">
        <v>278</v>
      </c>
      <c r="Q23" t="s">
        <v>279</v>
      </c>
      <c r="R23" t="s">
        <v>280</v>
      </c>
      <c r="S23" s="6">
        <v>44958</v>
      </c>
      <c r="T23" t="s">
        <v>281</v>
      </c>
      <c r="X23" s="4" t="s">
        <v>282</v>
      </c>
      <c r="Y23" s="4" t="s">
        <v>283</v>
      </c>
      <c r="Z23" s="4" t="s">
        <v>284</v>
      </c>
    </row>
    <row r="24" spans="1:26" ht="51.6" customHeight="1" x14ac:dyDescent="0.3">
      <c r="A24" t="s">
        <v>285</v>
      </c>
      <c r="B24" t="s">
        <v>193</v>
      </c>
      <c r="C24" t="s">
        <v>28</v>
      </c>
      <c r="D24" t="s">
        <v>151</v>
      </c>
      <c r="E24" t="s">
        <v>151</v>
      </c>
      <c r="F24" s="2">
        <f t="shared" si="0"/>
        <v>1</v>
      </c>
      <c r="G24" t="s">
        <v>259</v>
      </c>
      <c r="H24" t="s">
        <v>59</v>
      </c>
      <c r="I24" t="s">
        <v>249</v>
      </c>
      <c r="J24" t="s">
        <v>33</v>
      </c>
      <c r="K24" t="s">
        <v>260</v>
      </c>
      <c r="L24" t="s">
        <v>286</v>
      </c>
      <c r="M24" t="s">
        <v>287</v>
      </c>
      <c r="N24" t="s">
        <v>288</v>
      </c>
      <c r="R24" t="s">
        <v>230</v>
      </c>
      <c r="S24" s="6">
        <v>45323</v>
      </c>
      <c r="T24" t="s">
        <v>289</v>
      </c>
      <c r="X24" s="4" t="s">
        <v>290</v>
      </c>
      <c r="Y24" s="4" t="s">
        <v>291</v>
      </c>
      <c r="Z24" s="4" t="s">
        <v>292</v>
      </c>
    </row>
    <row r="25" spans="1:26" ht="51.6" customHeight="1" x14ac:dyDescent="0.3">
      <c r="A25" t="s">
        <v>293</v>
      </c>
      <c r="B25" t="s">
        <v>193</v>
      </c>
      <c r="C25" t="s">
        <v>28</v>
      </c>
      <c r="D25" t="s">
        <v>151</v>
      </c>
      <c r="E25" t="s">
        <v>151</v>
      </c>
      <c r="F25" s="2">
        <f t="shared" si="0"/>
        <v>1</v>
      </c>
      <c r="G25" t="s">
        <v>294</v>
      </c>
      <c r="H25" t="s">
        <v>85</v>
      </c>
      <c r="I25" t="s">
        <v>249</v>
      </c>
      <c r="J25" t="s">
        <v>277</v>
      </c>
      <c r="M25" t="s">
        <v>295</v>
      </c>
      <c r="R25" t="s">
        <v>280</v>
      </c>
      <c r="S25" s="6">
        <v>44747</v>
      </c>
      <c r="T25" t="s">
        <v>296</v>
      </c>
      <c r="X25" s="4" t="s">
        <v>297</v>
      </c>
      <c r="Y25" s="4" t="s">
        <v>298</v>
      </c>
      <c r="Z25" s="4" t="s">
        <v>299</v>
      </c>
    </row>
    <row r="26" spans="1:26" ht="51.6" customHeight="1" x14ac:dyDescent="0.3">
      <c r="A26" t="s">
        <v>300</v>
      </c>
      <c r="B26" t="s">
        <v>193</v>
      </c>
      <c r="C26" t="s">
        <v>28</v>
      </c>
      <c r="D26" t="s">
        <v>151</v>
      </c>
      <c r="E26" t="s">
        <v>151</v>
      </c>
      <c r="F26" s="2">
        <f t="shared" si="0"/>
        <v>1</v>
      </c>
      <c r="G26" t="s">
        <v>301</v>
      </c>
      <c r="H26" t="s">
        <v>85</v>
      </c>
      <c r="I26" t="s">
        <v>171</v>
      </c>
      <c r="J26" t="s">
        <v>86</v>
      </c>
      <c r="K26" t="s">
        <v>302</v>
      </c>
      <c r="S26" s="6">
        <v>44715</v>
      </c>
      <c r="T26" t="s">
        <v>303</v>
      </c>
      <c r="X26" s="4" t="s">
        <v>304</v>
      </c>
      <c r="Y26" s="4" t="s">
        <v>305</v>
      </c>
      <c r="Z26" s="4" t="s">
        <v>306</v>
      </c>
    </row>
    <row r="27" spans="1:26" ht="51.6" customHeight="1" x14ac:dyDescent="0.3">
      <c r="A27" t="s">
        <v>307</v>
      </c>
      <c r="B27" t="s">
        <v>193</v>
      </c>
      <c r="C27" t="s">
        <v>28</v>
      </c>
      <c r="D27" t="s">
        <v>151</v>
      </c>
      <c r="E27" t="s">
        <v>151</v>
      </c>
      <c r="F27" s="2">
        <f t="shared" si="0"/>
        <v>1</v>
      </c>
      <c r="G27" t="s">
        <v>301</v>
      </c>
      <c r="H27" t="s">
        <v>85</v>
      </c>
      <c r="I27" t="s">
        <v>171</v>
      </c>
      <c r="J27" t="s">
        <v>277</v>
      </c>
      <c r="K27" t="s">
        <v>308</v>
      </c>
      <c r="M27" t="s">
        <v>309</v>
      </c>
      <c r="N27" t="s">
        <v>310</v>
      </c>
      <c r="R27" t="s">
        <v>280</v>
      </c>
      <c r="S27" s="6">
        <v>44927</v>
      </c>
      <c r="T27" t="s">
        <v>311</v>
      </c>
      <c r="X27" s="4" t="s">
        <v>312</v>
      </c>
      <c r="Y27" s="4" t="s">
        <v>313</v>
      </c>
      <c r="Z27" s="4" t="s">
        <v>314</v>
      </c>
    </row>
    <row r="28" spans="1:26" ht="51.6" customHeight="1" x14ac:dyDescent="0.3">
      <c r="A28" t="s">
        <v>315</v>
      </c>
      <c r="B28" t="s">
        <v>193</v>
      </c>
      <c r="C28" t="s">
        <v>28</v>
      </c>
      <c r="D28" t="s">
        <v>151</v>
      </c>
      <c r="E28" t="s">
        <v>151</v>
      </c>
      <c r="F28" s="2">
        <f t="shared" si="0"/>
        <v>1</v>
      </c>
      <c r="G28" t="s">
        <v>294</v>
      </c>
      <c r="H28" t="s">
        <v>85</v>
      </c>
      <c r="I28" t="s">
        <v>171</v>
      </c>
      <c r="J28" t="s">
        <v>86</v>
      </c>
      <c r="K28" t="s">
        <v>316</v>
      </c>
      <c r="L28" t="s">
        <v>317</v>
      </c>
      <c r="M28" t="s">
        <v>318</v>
      </c>
      <c r="N28" t="s">
        <v>319</v>
      </c>
      <c r="R28" t="s">
        <v>230</v>
      </c>
      <c r="S28" s="6">
        <v>45265</v>
      </c>
      <c r="T28" t="s">
        <v>320</v>
      </c>
      <c r="X28" s="4" t="s">
        <v>321</v>
      </c>
      <c r="Y28" s="4" t="s">
        <v>322</v>
      </c>
      <c r="Z28" s="4" t="s">
        <v>323</v>
      </c>
    </row>
    <row r="29" spans="1:26" ht="51.6" customHeight="1" x14ac:dyDescent="0.3">
      <c r="A29" t="s">
        <v>324</v>
      </c>
      <c r="B29" t="s">
        <v>193</v>
      </c>
      <c r="C29" t="s">
        <v>28</v>
      </c>
      <c r="D29" t="s">
        <v>151</v>
      </c>
      <c r="E29" t="s">
        <v>151</v>
      </c>
      <c r="F29" s="2">
        <f t="shared" si="0"/>
        <v>1</v>
      </c>
      <c r="G29" t="s">
        <v>325</v>
      </c>
      <c r="H29" t="s">
        <v>59</v>
      </c>
      <c r="I29" t="s">
        <v>32</v>
      </c>
      <c r="J29" t="s">
        <v>33</v>
      </c>
      <c r="K29" t="s">
        <v>326</v>
      </c>
      <c r="L29" t="s">
        <v>327</v>
      </c>
      <c r="M29" t="s">
        <v>328</v>
      </c>
      <c r="S29" s="6">
        <v>44928</v>
      </c>
      <c r="T29" t="s">
        <v>329</v>
      </c>
      <c r="X29" s="4" t="s">
        <v>330</v>
      </c>
      <c r="Y29" s="4" t="s">
        <v>331</v>
      </c>
      <c r="Z29" s="4" t="s">
        <v>332</v>
      </c>
    </row>
    <row r="30" spans="1:26" ht="51.6" customHeight="1" x14ac:dyDescent="0.3">
      <c r="A30" t="s">
        <v>333</v>
      </c>
      <c r="B30" t="s">
        <v>193</v>
      </c>
      <c r="C30" t="s">
        <v>108</v>
      </c>
      <c r="D30" t="s">
        <v>151</v>
      </c>
      <c r="E30" t="s">
        <v>151</v>
      </c>
      <c r="F30" s="2">
        <f t="shared" si="0"/>
        <v>1</v>
      </c>
      <c r="G30" t="s">
        <v>334</v>
      </c>
      <c r="H30" t="s">
        <v>85</v>
      </c>
      <c r="I30" t="s">
        <v>45</v>
      </c>
      <c r="J30" t="s">
        <v>86</v>
      </c>
      <c r="K30" t="s">
        <v>335</v>
      </c>
      <c r="S30" s="6">
        <v>45432</v>
      </c>
      <c r="T30" t="s">
        <v>336</v>
      </c>
      <c r="X30" s="4" t="s">
        <v>337</v>
      </c>
      <c r="Y30" s="4" t="s">
        <v>338</v>
      </c>
      <c r="Z30" s="4" t="s">
        <v>339</v>
      </c>
    </row>
    <row r="31" spans="1:26" ht="51.6" customHeight="1" x14ac:dyDescent="0.3">
      <c r="A31" t="s">
        <v>340</v>
      </c>
      <c r="B31" t="s">
        <v>193</v>
      </c>
      <c r="C31" t="s">
        <v>28</v>
      </c>
      <c r="D31" t="s">
        <v>151</v>
      </c>
      <c r="E31" t="s">
        <v>151</v>
      </c>
      <c r="F31" s="2">
        <f t="shared" si="0"/>
        <v>1</v>
      </c>
      <c r="G31" t="s">
        <v>140</v>
      </c>
      <c r="H31" t="s">
        <v>59</v>
      </c>
      <c r="I31" t="s">
        <v>32</v>
      </c>
      <c r="J31" t="s">
        <v>33</v>
      </c>
      <c r="K31" t="s">
        <v>341</v>
      </c>
      <c r="L31" t="s">
        <v>342</v>
      </c>
      <c r="M31" t="s">
        <v>343</v>
      </c>
      <c r="N31" t="s">
        <v>344</v>
      </c>
      <c r="R31" t="s">
        <v>230</v>
      </c>
      <c r="S31" s="6">
        <v>44928</v>
      </c>
      <c r="T31" t="s">
        <v>345</v>
      </c>
      <c r="X31" s="4" t="s">
        <v>346</v>
      </c>
      <c r="Y31" s="4" t="s">
        <v>347</v>
      </c>
      <c r="Z31" s="4" t="s">
        <v>348</v>
      </c>
    </row>
    <row r="32" spans="1:26" ht="51.6" customHeight="1" x14ac:dyDescent="0.3">
      <c r="A32" t="s">
        <v>349</v>
      </c>
      <c r="B32" t="s">
        <v>193</v>
      </c>
      <c r="C32" t="s">
        <v>28</v>
      </c>
      <c r="D32" t="s">
        <v>151</v>
      </c>
      <c r="E32" t="s">
        <v>151</v>
      </c>
      <c r="F32" s="2">
        <f t="shared" si="0"/>
        <v>1</v>
      </c>
      <c r="G32" t="s">
        <v>350</v>
      </c>
      <c r="H32" t="s">
        <v>170</v>
      </c>
      <c r="I32" t="s">
        <v>171</v>
      </c>
      <c r="J32" t="s">
        <v>172</v>
      </c>
      <c r="K32" t="s">
        <v>351</v>
      </c>
      <c r="S32" s="6">
        <v>45246</v>
      </c>
      <c r="T32" t="s">
        <v>352</v>
      </c>
      <c r="X32" s="4" t="s">
        <v>353</v>
      </c>
      <c r="Y32" s="4" t="s">
        <v>354</v>
      </c>
      <c r="Z32" s="4" t="s">
        <v>355</v>
      </c>
    </row>
    <row r="33" spans="1:26" ht="51.6" customHeight="1" x14ac:dyDescent="0.3">
      <c r="A33" t="s">
        <v>356</v>
      </c>
      <c r="B33" t="s">
        <v>193</v>
      </c>
      <c r="C33" t="s">
        <v>28</v>
      </c>
      <c r="D33" t="s">
        <v>151</v>
      </c>
      <c r="E33" t="s">
        <v>151</v>
      </c>
      <c r="F33" s="2">
        <f t="shared" si="0"/>
        <v>1</v>
      </c>
      <c r="G33" t="s">
        <v>357</v>
      </c>
      <c r="H33" t="s">
        <v>85</v>
      </c>
      <c r="I33" t="s">
        <v>45</v>
      </c>
      <c r="J33" t="s">
        <v>86</v>
      </c>
      <c r="K33" t="s">
        <v>87</v>
      </c>
      <c r="L33" t="s">
        <v>358</v>
      </c>
      <c r="O33" t="s">
        <v>359</v>
      </c>
      <c r="P33" t="s">
        <v>360</v>
      </c>
      <c r="R33" t="s">
        <v>230</v>
      </c>
      <c r="S33" s="6">
        <v>44957</v>
      </c>
      <c r="T33" t="s">
        <v>361</v>
      </c>
      <c r="X33" s="4" t="s">
        <v>362</v>
      </c>
      <c r="Y33" s="4" t="s">
        <v>363</v>
      </c>
      <c r="Z33" s="4" t="s">
        <v>364</v>
      </c>
    </row>
    <row r="34" spans="1:26" ht="51.6" customHeight="1" x14ac:dyDescent="0.3">
      <c r="A34" t="s">
        <v>365</v>
      </c>
      <c r="B34" t="s">
        <v>193</v>
      </c>
      <c r="C34" t="s">
        <v>28</v>
      </c>
      <c r="D34" t="s">
        <v>151</v>
      </c>
      <c r="E34" t="s">
        <v>151</v>
      </c>
      <c r="F34" s="2">
        <f t="shared" ref="F34:F54" si="1">+D34/E34</f>
        <v>1</v>
      </c>
      <c r="G34" t="s">
        <v>97</v>
      </c>
      <c r="H34" t="s">
        <v>248</v>
      </c>
      <c r="I34" t="s">
        <v>45</v>
      </c>
      <c r="J34" t="s">
        <v>46</v>
      </c>
      <c r="K34" t="s">
        <v>250</v>
      </c>
      <c r="L34" t="s">
        <v>366</v>
      </c>
      <c r="M34" t="s">
        <v>367</v>
      </c>
      <c r="R34" t="s">
        <v>230</v>
      </c>
      <c r="S34" s="6">
        <v>44936</v>
      </c>
      <c r="T34" t="s">
        <v>368</v>
      </c>
      <c r="X34" s="4" t="s">
        <v>369</v>
      </c>
      <c r="Y34" s="4" t="s">
        <v>370</v>
      </c>
      <c r="Z34" s="4" t="s">
        <v>371</v>
      </c>
    </row>
    <row r="35" spans="1:26" ht="51.6" customHeight="1" x14ac:dyDescent="0.3">
      <c r="A35" t="s">
        <v>372</v>
      </c>
      <c r="B35" t="s">
        <v>193</v>
      </c>
      <c r="C35" t="s">
        <v>28</v>
      </c>
      <c r="D35" t="s">
        <v>151</v>
      </c>
      <c r="E35" t="s">
        <v>151</v>
      </c>
      <c r="F35" s="2">
        <f t="shared" si="1"/>
        <v>1</v>
      </c>
      <c r="G35" t="s">
        <v>373</v>
      </c>
      <c r="H35" t="s">
        <v>31</v>
      </c>
      <c r="I35" t="s">
        <v>45</v>
      </c>
      <c r="J35" t="s">
        <v>46</v>
      </c>
      <c r="K35" t="s">
        <v>47</v>
      </c>
      <c r="L35" t="s">
        <v>374</v>
      </c>
      <c r="M35" t="s">
        <v>375</v>
      </c>
      <c r="N35" t="s">
        <v>376</v>
      </c>
      <c r="R35" t="s">
        <v>230</v>
      </c>
      <c r="S35" s="6">
        <v>44502</v>
      </c>
      <c r="T35" t="s">
        <v>377</v>
      </c>
      <c r="X35" s="4" t="s">
        <v>378</v>
      </c>
      <c r="Y35" s="4" t="s">
        <v>379</v>
      </c>
      <c r="Z35" s="4" t="s">
        <v>380</v>
      </c>
    </row>
    <row r="36" spans="1:26" ht="51.6" customHeight="1" x14ac:dyDescent="0.3">
      <c r="A36" t="s">
        <v>381</v>
      </c>
      <c r="B36" t="s">
        <v>193</v>
      </c>
      <c r="C36" t="s">
        <v>28</v>
      </c>
      <c r="D36" t="s">
        <v>151</v>
      </c>
      <c r="E36" t="s">
        <v>151</v>
      </c>
      <c r="F36" s="2">
        <f t="shared" si="1"/>
        <v>1</v>
      </c>
      <c r="G36" t="s">
        <v>382</v>
      </c>
      <c r="H36" t="s">
        <v>85</v>
      </c>
      <c r="I36" t="s">
        <v>45</v>
      </c>
      <c r="J36" t="s">
        <v>277</v>
      </c>
      <c r="K36" t="s">
        <v>383</v>
      </c>
      <c r="L36" t="s">
        <v>384</v>
      </c>
      <c r="M36" t="s">
        <v>385</v>
      </c>
      <c r="N36" t="s">
        <v>385</v>
      </c>
      <c r="O36" t="s">
        <v>386</v>
      </c>
      <c r="Q36" t="s">
        <v>387</v>
      </c>
      <c r="R36" t="s">
        <v>230</v>
      </c>
      <c r="S36" s="6">
        <v>44977</v>
      </c>
      <c r="T36" t="s">
        <v>388</v>
      </c>
      <c r="X36" s="4" t="s">
        <v>389</v>
      </c>
      <c r="Y36" s="4" t="s">
        <v>390</v>
      </c>
      <c r="Z36" s="4" t="s">
        <v>391</v>
      </c>
    </row>
    <row r="37" spans="1:26" ht="51.6" customHeight="1" x14ac:dyDescent="0.3">
      <c r="A37" t="s">
        <v>392</v>
      </c>
      <c r="B37" t="s">
        <v>193</v>
      </c>
      <c r="C37" t="s">
        <v>28</v>
      </c>
      <c r="D37" t="s">
        <v>151</v>
      </c>
      <c r="E37" t="s">
        <v>151</v>
      </c>
      <c r="F37" s="2">
        <f t="shared" si="1"/>
        <v>1</v>
      </c>
      <c r="G37" t="s">
        <v>393</v>
      </c>
      <c r="H37" t="s">
        <v>394</v>
      </c>
      <c r="I37" t="s">
        <v>113</v>
      </c>
      <c r="J37" t="s">
        <v>114</v>
      </c>
      <c r="K37" t="s">
        <v>127</v>
      </c>
      <c r="S37" s="6">
        <v>44557</v>
      </c>
      <c r="T37" t="s">
        <v>395</v>
      </c>
      <c r="X37" s="4" t="s">
        <v>396</v>
      </c>
      <c r="Y37" s="4" t="s">
        <v>397</v>
      </c>
      <c r="Z37" s="4" t="s">
        <v>398</v>
      </c>
    </row>
    <row r="38" spans="1:26" ht="51.6" customHeight="1" x14ac:dyDescent="0.3">
      <c r="A38" t="s">
        <v>399</v>
      </c>
      <c r="B38" t="s">
        <v>193</v>
      </c>
      <c r="C38" t="s">
        <v>28</v>
      </c>
      <c r="D38" t="s">
        <v>151</v>
      </c>
      <c r="E38" t="s">
        <v>151</v>
      </c>
      <c r="F38" s="2">
        <f t="shared" si="1"/>
        <v>1</v>
      </c>
      <c r="G38" t="s">
        <v>400</v>
      </c>
      <c r="H38" t="s">
        <v>85</v>
      </c>
      <c r="I38" t="s">
        <v>45</v>
      </c>
      <c r="J38" t="s">
        <v>86</v>
      </c>
      <c r="K38" t="s">
        <v>401</v>
      </c>
      <c r="S38" s="6">
        <v>44599</v>
      </c>
      <c r="T38" t="s">
        <v>402</v>
      </c>
      <c r="X38" s="4" t="s">
        <v>403</v>
      </c>
      <c r="Y38" s="4" t="s">
        <v>404</v>
      </c>
      <c r="Z38" s="4" t="s">
        <v>405</v>
      </c>
    </row>
    <row r="39" spans="1:26" ht="51.6" customHeight="1" x14ac:dyDescent="0.3">
      <c r="A39" t="s">
        <v>406</v>
      </c>
      <c r="B39" t="s">
        <v>193</v>
      </c>
      <c r="C39" t="s">
        <v>28</v>
      </c>
      <c r="D39" t="s">
        <v>151</v>
      </c>
      <c r="E39" t="s">
        <v>151</v>
      </c>
      <c r="F39" s="2">
        <f t="shared" si="1"/>
        <v>1</v>
      </c>
      <c r="G39" t="s">
        <v>407</v>
      </c>
      <c r="H39" t="s">
        <v>85</v>
      </c>
      <c r="I39" t="s">
        <v>171</v>
      </c>
      <c r="J39" t="s">
        <v>86</v>
      </c>
      <c r="K39" t="s">
        <v>408</v>
      </c>
      <c r="S39" s="6">
        <v>45306</v>
      </c>
      <c r="T39" t="s">
        <v>409</v>
      </c>
      <c r="X39" s="4" t="s">
        <v>410</v>
      </c>
      <c r="Y39" s="4" t="s">
        <v>411</v>
      </c>
      <c r="Z39" s="4" t="s">
        <v>412</v>
      </c>
    </row>
    <row r="40" spans="1:26" ht="51.6" customHeight="1" x14ac:dyDescent="0.3">
      <c r="A40" t="s">
        <v>413</v>
      </c>
      <c r="B40" t="s">
        <v>193</v>
      </c>
      <c r="C40" t="s">
        <v>28</v>
      </c>
      <c r="D40" t="s">
        <v>151</v>
      </c>
      <c r="E40" t="s">
        <v>151</v>
      </c>
      <c r="F40" s="2">
        <f t="shared" si="1"/>
        <v>1</v>
      </c>
      <c r="G40" t="s">
        <v>394</v>
      </c>
      <c r="H40" t="s">
        <v>394</v>
      </c>
      <c r="I40" t="s">
        <v>113</v>
      </c>
      <c r="J40" t="s">
        <v>114</v>
      </c>
      <c r="K40" t="s">
        <v>127</v>
      </c>
      <c r="M40" t="s">
        <v>414</v>
      </c>
      <c r="N40" t="s">
        <v>414</v>
      </c>
      <c r="S40" s="6">
        <v>45383</v>
      </c>
      <c r="T40" t="s">
        <v>415</v>
      </c>
      <c r="X40" s="4" t="s">
        <v>416</v>
      </c>
      <c r="Y40" s="4" t="s">
        <v>417</v>
      </c>
      <c r="Z40" s="4" t="s">
        <v>418</v>
      </c>
    </row>
    <row r="41" spans="1:26" ht="51.6" customHeight="1" x14ac:dyDescent="0.3">
      <c r="A41" t="s">
        <v>419</v>
      </c>
      <c r="B41" t="s">
        <v>193</v>
      </c>
      <c r="C41" t="s">
        <v>108</v>
      </c>
      <c r="D41" t="s">
        <v>151</v>
      </c>
      <c r="E41" t="s">
        <v>151</v>
      </c>
      <c r="F41" s="2">
        <f t="shared" si="1"/>
        <v>1</v>
      </c>
      <c r="G41" t="s">
        <v>84</v>
      </c>
      <c r="H41" t="s">
        <v>85</v>
      </c>
      <c r="I41" t="s">
        <v>45</v>
      </c>
      <c r="J41" t="s">
        <v>86</v>
      </c>
      <c r="K41" t="s">
        <v>87</v>
      </c>
      <c r="O41" t="s">
        <v>420</v>
      </c>
      <c r="P41" t="s">
        <v>421</v>
      </c>
      <c r="Q41" t="s">
        <v>422</v>
      </c>
      <c r="S41" s="6">
        <v>45670</v>
      </c>
      <c r="T41" t="s">
        <v>423</v>
      </c>
      <c r="X41" s="4" t="s">
        <v>424</v>
      </c>
      <c r="Y41" s="4" t="s">
        <v>425</v>
      </c>
      <c r="Z41" s="4" t="s">
        <v>426</v>
      </c>
    </row>
    <row r="42" spans="1:26" ht="51.6" customHeight="1" x14ac:dyDescent="0.3">
      <c r="A42" t="s">
        <v>427</v>
      </c>
      <c r="B42" t="s">
        <v>193</v>
      </c>
      <c r="C42" t="s">
        <v>28</v>
      </c>
      <c r="D42" t="s">
        <v>151</v>
      </c>
      <c r="E42" t="s">
        <v>151</v>
      </c>
      <c r="F42" s="2">
        <f t="shared" si="1"/>
        <v>1</v>
      </c>
      <c r="G42" t="s">
        <v>84</v>
      </c>
      <c r="H42" t="s">
        <v>85</v>
      </c>
      <c r="I42" t="s">
        <v>45</v>
      </c>
      <c r="J42" t="s">
        <v>277</v>
      </c>
      <c r="K42" t="s">
        <v>87</v>
      </c>
      <c r="O42" t="s">
        <v>428</v>
      </c>
      <c r="P42" t="s">
        <v>429</v>
      </c>
      <c r="Q42" t="s">
        <v>430</v>
      </c>
      <c r="S42" s="6">
        <v>45611</v>
      </c>
      <c r="T42" t="s">
        <v>431</v>
      </c>
      <c r="X42" s="4" t="s">
        <v>432</v>
      </c>
      <c r="Y42" s="4" t="s">
        <v>433</v>
      </c>
      <c r="Z42" s="4" t="s">
        <v>434</v>
      </c>
    </row>
    <row r="43" spans="1:26" ht="51.6" customHeight="1" x14ac:dyDescent="0.3">
      <c r="A43" t="s">
        <v>435</v>
      </c>
      <c r="B43" t="s">
        <v>193</v>
      </c>
      <c r="C43" t="s">
        <v>28</v>
      </c>
      <c r="D43" t="s">
        <v>151</v>
      </c>
      <c r="E43" t="s">
        <v>29</v>
      </c>
      <c r="F43" s="2">
        <f t="shared" si="1"/>
        <v>1.0101010101010102</v>
      </c>
      <c r="G43" t="s">
        <v>436</v>
      </c>
      <c r="H43" t="s">
        <v>59</v>
      </c>
      <c r="I43" t="s">
        <v>32</v>
      </c>
      <c r="J43" t="s">
        <v>33</v>
      </c>
      <c r="K43" t="s">
        <v>437</v>
      </c>
      <c r="L43" t="s">
        <v>438</v>
      </c>
      <c r="M43" t="s">
        <v>439</v>
      </c>
      <c r="S43" s="6">
        <v>45218</v>
      </c>
      <c r="T43" t="s">
        <v>440</v>
      </c>
      <c r="X43" s="4" t="s">
        <v>441</v>
      </c>
      <c r="Y43" s="4" t="s">
        <v>442</v>
      </c>
      <c r="Z43" s="4" t="s">
        <v>443</v>
      </c>
    </row>
    <row r="44" spans="1:26" ht="51.6" customHeight="1" x14ac:dyDescent="0.3">
      <c r="A44" t="s">
        <v>444</v>
      </c>
      <c r="B44" t="s">
        <v>193</v>
      </c>
      <c r="C44" t="s">
        <v>28</v>
      </c>
      <c r="D44" t="s">
        <v>151</v>
      </c>
      <c r="E44" t="s">
        <v>151</v>
      </c>
      <c r="F44" s="2">
        <f t="shared" si="1"/>
        <v>1</v>
      </c>
      <c r="G44" t="s">
        <v>183</v>
      </c>
      <c r="H44" t="s">
        <v>85</v>
      </c>
      <c r="I44" t="s">
        <v>45</v>
      </c>
      <c r="J44" t="s">
        <v>277</v>
      </c>
      <c r="K44" t="s">
        <v>184</v>
      </c>
      <c r="O44" t="s">
        <v>445</v>
      </c>
      <c r="P44" t="s">
        <v>446</v>
      </c>
      <c r="Q44" t="s">
        <v>447</v>
      </c>
      <c r="S44" s="6">
        <v>45628</v>
      </c>
      <c r="T44" t="s">
        <v>448</v>
      </c>
      <c r="X44" s="4" t="s">
        <v>449</v>
      </c>
      <c r="Y44" s="4" t="s">
        <v>450</v>
      </c>
      <c r="Z44" s="4" t="s">
        <v>451</v>
      </c>
    </row>
    <row r="45" spans="1:26" ht="51.6" customHeight="1" x14ac:dyDescent="0.3">
      <c r="A45" t="s">
        <v>452</v>
      </c>
      <c r="B45" t="s">
        <v>453</v>
      </c>
      <c r="C45" t="s">
        <v>28</v>
      </c>
      <c r="D45" t="s">
        <v>454</v>
      </c>
      <c r="E45" t="s">
        <v>454</v>
      </c>
      <c r="F45" s="2" t="e">
        <f t="shared" si="1"/>
        <v>#DIV/0!</v>
      </c>
      <c r="G45" t="s">
        <v>455</v>
      </c>
      <c r="H45" t="s">
        <v>215</v>
      </c>
      <c r="I45" t="s">
        <v>45</v>
      </c>
      <c r="J45" t="s">
        <v>46</v>
      </c>
      <c r="K45" t="s">
        <v>216</v>
      </c>
      <c r="S45" s="6">
        <v>45964</v>
      </c>
      <c r="T45" t="s">
        <v>74</v>
      </c>
      <c r="U45" s="4" t="s">
        <v>456</v>
      </c>
      <c r="X45" s="4"/>
      <c r="Y45" s="4" t="s">
        <v>457</v>
      </c>
      <c r="Z45" s="4" t="s">
        <v>458</v>
      </c>
    </row>
    <row r="46" spans="1:26" ht="51.6" customHeight="1" x14ac:dyDescent="0.3">
      <c r="A46" t="s">
        <v>459</v>
      </c>
      <c r="B46" t="s">
        <v>453</v>
      </c>
      <c r="C46" t="s">
        <v>108</v>
      </c>
      <c r="D46" t="s">
        <v>454</v>
      </c>
      <c r="E46" t="s">
        <v>454</v>
      </c>
      <c r="F46" s="2" t="e">
        <f t="shared" si="1"/>
        <v>#DIV/0!</v>
      </c>
      <c r="G46" t="s">
        <v>183</v>
      </c>
      <c r="H46" t="s">
        <v>85</v>
      </c>
      <c r="I46" t="s">
        <v>45</v>
      </c>
      <c r="J46" t="s">
        <v>86</v>
      </c>
      <c r="K46" t="s">
        <v>184</v>
      </c>
      <c r="S46" s="6">
        <v>46023</v>
      </c>
      <c r="T46" t="s">
        <v>460</v>
      </c>
      <c r="U46" s="4" t="s">
        <v>461</v>
      </c>
      <c r="X46" s="4"/>
      <c r="Y46" s="4" t="s">
        <v>462</v>
      </c>
      <c r="Z46" s="4" t="s">
        <v>463</v>
      </c>
    </row>
    <row r="47" spans="1:26" ht="51.6" customHeight="1" x14ac:dyDescent="0.3">
      <c r="A47" t="s">
        <v>464</v>
      </c>
      <c r="B47" t="s">
        <v>453</v>
      </c>
      <c r="C47" t="s">
        <v>28</v>
      </c>
      <c r="D47" t="s">
        <v>454</v>
      </c>
      <c r="E47" t="s">
        <v>454</v>
      </c>
      <c r="F47" s="2" t="e">
        <f t="shared" si="1"/>
        <v>#DIV/0!</v>
      </c>
      <c r="G47" t="s">
        <v>183</v>
      </c>
      <c r="H47" t="s">
        <v>85</v>
      </c>
      <c r="I47" t="s">
        <v>45</v>
      </c>
      <c r="J47" t="s">
        <v>277</v>
      </c>
      <c r="K47" t="s">
        <v>184</v>
      </c>
      <c r="S47" s="6">
        <v>46023</v>
      </c>
      <c r="T47" t="s">
        <v>460</v>
      </c>
      <c r="U47" s="4" t="s">
        <v>465</v>
      </c>
      <c r="X47" s="4"/>
      <c r="Y47" s="4" t="s">
        <v>466</v>
      </c>
      <c r="Z47" s="4" t="s">
        <v>467</v>
      </c>
    </row>
    <row r="48" spans="1:26" ht="51.6" customHeight="1" x14ac:dyDescent="0.3">
      <c r="A48" t="s">
        <v>468</v>
      </c>
      <c r="B48" t="s">
        <v>453</v>
      </c>
      <c r="C48" t="s">
        <v>108</v>
      </c>
      <c r="D48" t="s">
        <v>454</v>
      </c>
      <c r="E48" t="s">
        <v>454</v>
      </c>
      <c r="F48" s="2" t="e">
        <f t="shared" si="1"/>
        <v>#DIV/0!</v>
      </c>
      <c r="G48" t="s">
        <v>469</v>
      </c>
      <c r="H48" t="s">
        <v>85</v>
      </c>
      <c r="I48" t="s">
        <v>171</v>
      </c>
      <c r="J48" t="s">
        <v>86</v>
      </c>
      <c r="K48" t="s">
        <v>408</v>
      </c>
      <c r="S48" s="6">
        <v>46097</v>
      </c>
      <c r="T48" t="s">
        <v>470</v>
      </c>
      <c r="U48" s="4" t="s">
        <v>471</v>
      </c>
      <c r="X48" s="4"/>
      <c r="Y48" s="4" t="s">
        <v>472</v>
      </c>
      <c r="Z48" s="4" t="s">
        <v>473</v>
      </c>
    </row>
    <row r="49" spans="1:26" ht="51.6" customHeight="1" x14ac:dyDescent="0.3">
      <c r="A49" t="s">
        <v>474</v>
      </c>
      <c r="B49" t="s">
        <v>453</v>
      </c>
      <c r="C49" t="s">
        <v>28</v>
      </c>
      <c r="D49" t="s">
        <v>454</v>
      </c>
      <c r="E49" t="s">
        <v>454</v>
      </c>
      <c r="F49" s="2" t="e">
        <f t="shared" si="1"/>
        <v>#DIV/0!</v>
      </c>
      <c r="G49" t="s">
        <v>259</v>
      </c>
      <c r="H49" t="s">
        <v>475</v>
      </c>
      <c r="I49" t="s">
        <v>32</v>
      </c>
      <c r="J49" t="s">
        <v>46</v>
      </c>
      <c r="K49" t="s">
        <v>226</v>
      </c>
      <c r="S49" s="6">
        <v>45924</v>
      </c>
      <c r="T49" t="s">
        <v>476</v>
      </c>
      <c r="U49" s="4" t="s">
        <v>477</v>
      </c>
      <c r="X49" s="4"/>
      <c r="Y49" s="4" t="s">
        <v>478</v>
      </c>
      <c r="Z49" s="4" t="s">
        <v>479</v>
      </c>
    </row>
    <row r="50" spans="1:26" ht="51.6" customHeight="1" x14ac:dyDescent="0.3">
      <c r="A50" t="s">
        <v>480</v>
      </c>
      <c r="B50" t="s">
        <v>453</v>
      </c>
      <c r="C50" t="s">
        <v>108</v>
      </c>
      <c r="D50" t="s">
        <v>454</v>
      </c>
      <c r="E50" t="s">
        <v>454</v>
      </c>
      <c r="F50" s="2" t="e">
        <f t="shared" si="1"/>
        <v>#DIV/0!</v>
      </c>
      <c r="G50" t="s">
        <v>407</v>
      </c>
      <c r="H50" t="s">
        <v>85</v>
      </c>
      <c r="I50" t="s">
        <v>171</v>
      </c>
      <c r="J50" t="s">
        <v>86</v>
      </c>
      <c r="K50" t="s">
        <v>408</v>
      </c>
      <c r="S50" s="6">
        <v>46055</v>
      </c>
      <c r="T50" t="s">
        <v>481</v>
      </c>
      <c r="U50" s="4" t="s">
        <v>482</v>
      </c>
      <c r="X50" s="4"/>
      <c r="Y50" s="4" t="s">
        <v>483</v>
      </c>
      <c r="Z50" s="4" t="s">
        <v>484</v>
      </c>
    </row>
    <row r="51" spans="1:26" ht="51.6" customHeight="1" x14ac:dyDescent="0.3">
      <c r="A51" t="s">
        <v>485</v>
      </c>
      <c r="B51" t="s">
        <v>453</v>
      </c>
      <c r="C51" t="s">
        <v>108</v>
      </c>
      <c r="D51" t="s">
        <v>454</v>
      </c>
      <c r="E51" t="s">
        <v>454</v>
      </c>
      <c r="F51" s="2" t="e">
        <f t="shared" si="1"/>
        <v>#DIV/0!</v>
      </c>
      <c r="G51" t="s">
        <v>469</v>
      </c>
      <c r="H51" t="s">
        <v>85</v>
      </c>
      <c r="I51" t="s">
        <v>171</v>
      </c>
      <c r="J51" t="s">
        <v>86</v>
      </c>
      <c r="K51" t="s">
        <v>408</v>
      </c>
      <c r="S51" s="6">
        <v>46055</v>
      </c>
      <c r="T51" t="s">
        <v>481</v>
      </c>
      <c r="U51" s="4" t="s">
        <v>486</v>
      </c>
      <c r="X51" s="4" t="s">
        <v>487</v>
      </c>
      <c r="Y51" s="4" t="s">
        <v>488</v>
      </c>
      <c r="Z51" s="4" t="s">
        <v>489</v>
      </c>
    </row>
    <row r="52" spans="1:26" ht="51.6" customHeight="1" x14ac:dyDescent="0.3">
      <c r="A52" t="s">
        <v>490</v>
      </c>
      <c r="B52" t="s">
        <v>491</v>
      </c>
      <c r="C52" t="s">
        <v>28</v>
      </c>
      <c r="D52" t="s">
        <v>454</v>
      </c>
      <c r="E52" t="s">
        <v>454</v>
      </c>
      <c r="F52" s="2" t="e">
        <f t="shared" si="1"/>
        <v>#DIV/0!</v>
      </c>
      <c r="G52" t="s">
        <v>492</v>
      </c>
      <c r="H52" t="s">
        <v>59</v>
      </c>
      <c r="I52" t="s">
        <v>493</v>
      </c>
      <c r="J52" t="s">
        <v>33</v>
      </c>
      <c r="K52" t="s">
        <v>270</v>
      </c>
      <c r="R52" t="s">
        <v>494</v>
      </c>
      <c r="S52" s="6">
        <v>45323</v>
      </c>
      <c r="T52" t="s">
        <v>495</v>
      </c>
      <c r="U52" s="4" t="s">
        <v>496</v>
      </c>
      <c r="X52" s="4"/>
      <c r="Y52" s="4" t="s">
        <v>497</v>
      </c>
      <c r="Z52" s="4" t="s">
        <v>498</v>
      </c>
    </row>
    <row r="53" spans="1:26" ht="51.6" customHeight="1" x14ac:dyDescent="0.3">
      <c r="A53" t="s">
        <v>499</v>
      </c>
      <c r="B53" t="s">
        <v>491</v>
      </c>
      <c r="C53" t="s">
        <v>28</v>
      </c>
      <c r="D53" t="s">
        <v>454</v>
      </c>
      <c r="E53" t="s">
        <v>454</v>
      </c>
      <c r="F53" s="2" t="e">
        <f t="shared" si="1"/>
        <v>#DIV/0!</v>
      </c>
      <c r="G53" t="s">
        <v>500</v>
      </c>
      <c r="H53" t="s">
        <v>215</v>
      </c>
      <c r="I53" t="s">
        <v>493</v>
      </c>
      <c r="J53" t="s">
        <v>46</v>
      </c>
      <c r="K53" t="s">
        <v>216</v>
      </c>
      <c r="S53" s="6">
        <v>44957</v>
      </c>
      <c r="T53" t="s">
        <v>501</v>
      </c>
      <c r="U53" s="4" t="s">
        <v>502</v>
      </c>
      <c r="X53" s="4"/>
      <c r="Y53" s="4" t="s">
        <v>503</v>
      </c>
      <c r="Z53" s="4" t="s">
        <v>504</v>
      </c>
    </row>
    <row r="54" spans="1:26" ht="51.6" customHeight="1" x14ac:dyDescent="0.3">
      <c r="A54" t="s">
        <v>505</v>
      </c>
      <c r="B54" t="s">
        <v>491</v>
      </c>
      <c r="C54" t="s">
        <v>28</v>
      </c>
      <c r="D54" t="s">
        <v>454</v>
      </c>
      <c r="E54" t="s">
        <v>454</v>
      </c>
      <c r="F54" s="2" t="e">
        <f t="shared" si="1"/>
        <v>#DIV/0!</v>
      </c>
      <c r="G54" t="s">
        <v>500</v>
      </c>
      <c r="H54" t="s">
        <v>475</v>
      </c>
      <c r="I54" t="s">
        <v>506</v>
      </c>
      <c r="J54" t="s">
        <v>46</v>
      </c>
      <c r="K54" t="s">
        <v>216</v>
      </c>
      <c r="S54" s="6">
        <v>44957</v>
      </c>
      <c r="T54" t="s">
        <v>507</v>
      </c>
      <c r="U54" s="4" t="s">
        <v>508</v>
      </c>
      <c r="X54" s="4"/>
      <c r="Y54" s="4" t="s">
        <v>509</v>
      </c>
      <c r="Z54" s="4" t="s">
        <v>510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centroDeProyectos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Ximena Silva</cp:lastModifiedBy>
  <cp:revision/>
  <dcterms:created xsi:type="dcterms:W3CDTF">2026-03-18T21:50:04Z</dcterms:created>
  <dcterms:modified xsi:type="dcterms:W3CDTF">2026-10-17T06:05:01Z</dcterms:modified>
  <cp:category/>
  <cp:contentStatus/>
</cp:coreProperties>
</file>