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poligran-my.sharepoint.com/personal/lxisilva_poligran_edu_co/Documents/Documentos/Proyectos/SGIND/data/raw/Plan de mejoramiento/"/>
    </mc:Choice>
  </mc:AlternateContent>
  <xr:revisionPtr revIDLastSave="267" documentId="8_{EDBE0DD7-5DF9-4C9A-8F8F-6CDFE6F49D25}" xr6:coauthVersionLast="47" xr6:coauthVersionMax="47" xr10:uidLastSave="{7EC4940B-522A-4EE8-95FC-EF5C6EDAAEB3}"/>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62" i="2" l="1"/>
  <c r="P66" i="2"/>
  <c r="P64"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xr:uid="{FA05611A-1D16-4452-B93C-2E4DFFD86645}">
      <text>
        <t>[Comentario encadenado]
Su versión de Excel le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Su versión de Excel le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xr:uid="{E581DAFC-44AD-42D5-8849-003A27C98076}">
      <text>
        <t>[Comentario encadenado]
Su versión de Excel le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sharedStrings.xml><?xml version="1.0" encoding="utf-8"?>
<sst xmlns="http://schemas.openxmlformats.org/spreadsheetml/2006/main" count="1424" uniqueCount="325">
  <si>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</si>
  <si>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</si>
  <si>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</si>
  <si>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</si>
  <si>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</si>
  <si>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</si>
  <si>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</si>
  <si>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</si>
  <si>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</si>
  <si>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</si>
  <si>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</si>
  <si>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</si>
  <si>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</si>
  <si>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</si>
  <si>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</si>
  <si>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</si>
  <si>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</si>
  <si>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</si>
  <si>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</si>
  <si>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</si>
  <si>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</si>
  <si>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</si>
  <si>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</si>
  <si>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</si>
  <si>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</si>
  <si>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</si>
  <si>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</si>
  <si>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</si>
  <si>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</si>
  <si>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</si>
  <si>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</si>
  <si>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</si>
  <si>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</si>
  <si>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</si>
  <si>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</si>
  <si>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</si>
  <si>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</si>
  <si>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</si>
  <si>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</si>
  <si>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</si>
  <si>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</si>
  <si>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</si>
  <si>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</si>
  <si>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</si>
  <si>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</si>
  <si>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</si>
  <si>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</si>
  <si>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</si>
  <si>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</si>
  <si>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</si>
  <si>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</si>
  <si>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</si>
  <si>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</si>
  <si>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</si>
  <si>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</si>
  <si>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</si>
  <si>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</si>
  <si>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</si>
  <si>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</si>
  <si>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</si>
  <si>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</si>
  <si>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</si>
  <si>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</si>
  <si>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</si>
  <si>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</si>
  <si>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</si>
  <si>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</si>
  <si>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</si>
  <si>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</si>
  <si>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</si>
  <si>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</si>
  <si>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</si>
  <si>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</si>
  <si>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</si>
  <si>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</si>
  <si>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</si>
  <si>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</si>
  <si>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</si>
  <si>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</si>
  <si>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</si>
  <si>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</si>
  <si>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</si>
  <si>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</si>
  <si>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</si>
  <si>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</si>
  <si>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</si>
  <si>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</si>
  <si>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</si>
  <si>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</si>
  <si>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</si>
  <si>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</si>
  <si>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</si>
  <si>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</si>
  <si>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</si>
  <si>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</si>
  <si>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</si>
  <si>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</si>
  <si>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</si>
  <si>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</si>
  <si>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</si>
  <si>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</si>
  <si>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</si>
  <si>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</si>
  <si>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</si>
  <si>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</si>
  <si>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</si>
  <si>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</si>
  <si>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</si>
  <si>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</si>
  <si>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</si>
  <si>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</si>
  <si>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</si>
  <si>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</si>
  <si>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</si>
  <si>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</si>
  <si>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</si>
  <si>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</si>
  <si>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</si>
  <si>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</si>
  <si>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</si>
  <si>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</si>
  <si>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</si>
  <si>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</si>
  <si>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</si>
  <si>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</si>
  <si>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</si>
  <si>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</si>
  <si>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</si>
  <si>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</si>
  <si>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</si>
  <si>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</si>
  <si>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</si>
  <si>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</si>
  <si>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</si>
  <si>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</si>
  <si>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</si>
  <si>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</si>
  <si>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</si>
  <si>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</si>
  <si>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</si>
  <si>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</si>
  <si>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</si>
  <si>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</si>
  <si>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</si>
  <si>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</si>
  <si>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</si>
  <si>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</si>
  <si>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</si>
  <si>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</si>
  <si>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</si>
  <si>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</si>
  <si>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</si>
  <si>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</si>
  <si>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</si>
  <si>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</si>
  <si>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</si>
  <si>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</si>
  <si>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</si>
  <si>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</si>
  <si>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</si>
  <si>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</si>
  <si>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</si>
  <si>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</si>
  <si>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</si>
  <si>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</si>
  <si>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</si>
  <si>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</si>
  <si>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</si>
  <si>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</si>
  <si>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</si>
  <si>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</si>
  <si>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</si>
  <si>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</si>
  <si>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</si>
  <si>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</si>
  <si>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</si>
  <si>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</si>
  <si>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</si>
  <si>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</si>
  <si>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</si>
  <si>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</si>
  <si>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</si>
  <si>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</si>
  <si>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</si>
  <si>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</si>
  <si>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</si>
  <si>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</si>
  <si>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</si>
  <si>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</si>
  <si>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</si>
  <si>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</si>
  <si>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</si>
  <si>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</si>
  <si>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</si>
  <si>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</si>
  <si>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</si>
  <si>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</si>
  <si>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</si>
  <si>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</si>
  <si>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</si>
  <si>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</si>
  <si>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</si>
  <si>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</si>
  <si>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</si>
  <si>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</si>
  <si>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</si>
  <si>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</si>
  <si>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</si>
  <si>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</si>
  <si>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</si>
  <si>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</si>
  <si>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</si>
  <si>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</si>
  <si>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</si>
  <si>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</si>
  <si>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</si>
  <si>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</si>
  <si>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</si>
  <si>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</si>
  <si>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</si>
  <si>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</si>
  <si>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</si>
  <si>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</si>
  <si>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</si>
  <si>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</si>
  <si>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</si>
  <si>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</si>
  <si>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</si>
  <si>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</si>
  <si>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</si>
  <si>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</si>
  <si>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</si>
  <si>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</si>
  <si>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</si>
  <si>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</si>
  <si>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</si>
  <si>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</si>
  <si>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</si>
  <si>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</si>
  <si>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</si>
  <si>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</si>
  <si>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</si>
  <si>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</si>
  <si>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</si>
  <si>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</si>
  <si>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</si>
  <si>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</si>
  <si>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</si>
  <si>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</si>
  <si>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</si>
  <si>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</si>
  <si>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</si>
  <si>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</si>
  <si>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</si>
  <si>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</si>
  <si>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</si>
  <si>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</si>
  <si>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</si>
  <si>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</si>
  <si>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</si>
  <si>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</si>
  <si>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</si>
  <si>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</si>
  <si>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</si>
  <si>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</si>
  <si>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</si>
  <si>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</si>
  <si>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</si>
  <si>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</si>
  <si>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</si>
  <si>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</si>
  <si>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</si>
  <si>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</si>
  <si>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</si>
  <si>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</si>
  <si>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</si>
  <si>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</si>
  <si>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</si>
  <si>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</si>
  <si>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</si>
  <si>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</si>
  <si>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</si>
  <si>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</si>
  <si>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</si>
  <si>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</si>
  <si>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</si>
  <si>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</si>
  <si>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</si>
  <si>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</si>
  <si>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</si>
  <si>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</si>
  <si>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Valor agregado en la pruebas Saber Pro Institucional</t>
  </si>
  <si>
    <t xml:space="preserve">Nivel de Satisfacción del graduado con la institución </t>
  </si>
  <si>
    <t>Apropiación del modelo de gestión, evaluación e innovación curricular</t>
  </si>
  <si>
    <r>
      <t xml:space="preserve">Sesión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</si>
  <si>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currículo</t>
  </si>
  <si>
    <t>Propuesta de reemplazar con métrica, pero esta no mide resultado o impacto 
Se propone utilizar fuentes oficiales del Icfes</t>
  </si>
  <si>
    <t>Se valida con investigación y esta información se reporta completa en ADA y Boletín</t>
  </si>
  <si>
    <t>Validar con vicerrectoría académica y del estudiante</t>
  </si>
  <si>
    <t>Validar  Indicadores porque se debe medir el impacto a otros grupos de interés</t>
  </si>
  <si>
    <t xml:space="preserve">Participación ingresos por extensión (Consultorías, alquiler de espacios, prestación de servicios, centros de investigación entre otros) / total ingresos </t>
  </si>
  <si>
    <t>N de convenios con actividades en los últimos 5 años / Total convenios</t>
  </si>
  <si>
    <t>N° Estudiantes  externos invitados a actividades de cooperación Nacional e internacional de Bogotá y virtual</t>
  </si>
  <si>
    <t>Índice de impacto Psicosocial de las actividades de bienestar</t>
  </si>
  <si>
    <t>Proporción de profesores con nivel de formación (Maestría y Doctorado)</t>
  </si>
  <si>
    <t>Métrica</t>
  </si>
  <si>
    <t>Gestión docente informa que son métricas no indicadores</t>
  </si>
  <si>
    <t>(N° de profesores con maestría y doctorado / N° total de profesores)*100</t>
  </si>
  <si>
    <t>N° de cupos aprobados para el escalafón docente</t>
  </si>
  <si>
    <t>(N° de profesores con escalafón docente/N° de cupos aprobados para el escalafón docente)*100</t>
  </si>
  <si>
    <t>Tasa de empleabilidad de recién graduados de pregrado</t>
  </si>
  <si>
    <t>Propuesta de limitar la línea base de los últimos 5 años</t>
  </si>
  <si>
    <t>Resultado de satisfacción de graduados</t>
  </si>
  <si>
    <t>Indicador o Métrica</t>
  </si>
  <si>
    <t>Validar con Vicerrectoría académica y del estudiante</t>
  </si>
  <si>
    <t>Centro de Psicología</t>
  </si>
  <si>
    <t>Nivel de conocimiento de los grupos de interés  del informe de sostenibilidad</t>
  </si>
  <si>
    <t>% inversión misionales de la institución</t>
  </si>
  <si>
    <t>Infraestructura Física
Infra estructura Tecnológica
Contenidos Virtuales
Biblioteca CMA
Fortalecimiento Docencia
Inversiones Misionales
Inversiones en bienestar</t>
  </si>
  <si>
    <t>(N° de oportunidades de mejora cerradas derivadas de los ejercicios de autoevaluación/ N° de oportunidades de mejora definidas en el periodo)</t>
  </si>
  <si>
    <t>(N.º de programas acreditados / Total de programas ofertados) * 100</t>
  </si>
  <si>
    <r>
      <t xml:space="preserve">Sesión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</si>
  <si>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t>Gerencia de tecnología</t>
  </si>
  <si>
    <t>Disponibilidad de servicios tecnológicos</t>
  </si>
  <si>
    <t>% Inversión al plan de mejoramiento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</si>
</sst>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50">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10" fontId="11" fillId="0" borderId="3" xfId="0" applyNumberFormat="1" applyFont="1" applyBorder="1" applyAlignment="1">
      <alignment horizontal="justify"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 ref="N64" dT="2026-09-21T08:25:44.93" personId="{4069C3FC-DE77-490E-9BCA-D060BF504FA7}" id="{E581DAFC-44AD-42D5-8849-003A27C98076}">
    <text>M0:  90% tasa de respuesta
M1: 9% tasa de respuesta
M5: 3,5% tasa de respuesta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6"/>
  <sheetViews>
    <sheetView tabSelected="1" zoomScale="73" zoomScaleNormal="98" workbookViewId="0">
      <pane xSplit="4" ySplit="2" topLeftCell="E13" activePane="bottomRight" state="frozen"/>
      <selection pane="topRight" activeCell="E1" sqref="E1"/>
      <selection pane="bottomLeft" activeCell="A3" sqref="A3"/>
      <selection pane="bottomRight" activeCell="D18" sqref="D18"/>
    </sheetView>
  </sheetViews>
  <sheetFormatPr baseColWidth="10" defaultColWidth="11.5546875" defaultRowHeight="14.4"/>
  <cols>
    <col min="1" max="1" width="39.5546875" style="2" customWidth="1"/>
    <col min="2" max="2" width="30.88671875" style="2" customWidth="1"/>
    <col min="3" max="3" width="82" style="2" customWidth="1"/>
    <col min="4" max="7" width="34.5546875" style="2" customWidth="1"/>
    <col min="8" max="9" width="34.5546875" style="2" hidden="1"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c r="A1" s="1"/>
      <c r="B1" s="1"/>
      <c r="C1" s="1"/>
      <c r="D1" s="1"/>
      <c r="E1" s="1"/>
      <c r="F1" s="1"/>
      <c r="G1" s="1"/>
      <c r="H1" s="1"/>
      <c r="I1" s="1"/>
      <c r="J1" s="1"/>
      <c r="K1" s="1"/>
      <c r="L1" s="1"/>
      <c r="M1" s="1"/>
      <c r="N1" s="146" t="s">
        <v>0</v>
      </c>
      <c r="O1" s="147"/>
      <c r="P1" s="147"/>
      <c r="Q1" s="147"/>
      <c r="R1" s="147"/>
      <c r="S1" s="147"/>
    </row>
    <row r="2" spans="1:19" ht="31.2">
      <c r="A2" s="3" t="s">
        <v>1</v>
      </c>
      <c r="B2" s="4" t="s">
        <v>2</v>
      </c>
      <c r="C2" s="5" t="s">
        <v>3</v>
      </c>
      <c r="D2" s="6" t="s">
        <v>4</v>
      </c>
      <c r="E2" s="6" t="s">
        <v>5</v>
      </c>
      <c r="F2" s="6" t="s">
        <v>313</v>
      </c>
      <c r="G2" s="7" t="s">
        <v>7</v>
      </c>
      <c r="H2" s="6" t="s">
        <v>8</v>
      </c>
      <c r="I2" s="6" t="s">
        <v>9</v>
      </c>
      <c r="J2" s="6" t="s">
        <v>10</v>
      </c>
      <c r="K2" s="6" t="s">
        <v>11</v>
      </c>
      <c r="L2" s="8" t="s">
        <v>12</v>
      </c>
      <c r="M2" s="8" t="s">
        <v>13</v>
      </c>
      <c r="N2" s="13">
        <v>2025</v>
      </c>
      <c r="O2" s="13">
        <v>2026</v>
      </c>
      <c r="P2" s="13">
        <v>2027</v>
      </c>
      <c r="Q2" s="13">
        <v>2028</v>
      </c>
      <c r="R2" s="13">
        <v>2029</v>
      </c>
      <c r="S2" s="13">
        <v>2030</v>
      </c>
    </row>
    <row r="3" spans="1:19" ht="75">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c r="A5" s="14" t="s">
        <v>20</v>
      </c>
      <c r="B5" s="25" t="s">
        <v>37</v>
      </c>
      <c r="C5" s="25" t="s">
        <v>38</v>
      </c>
      <c r="D5" s="26" t="s">
        <v>39</v>
      </c>
      <c r="E5" s="17"/>
      <c r="F5" s="17" t="s">
        <v>41</v>
      </c>
      <c r="G5" s="27" t="s">
        <v>314</v>
      </c>
      <c r="H5" s="27" t="s">
        <v>41</v>
      </c>
      <c r="I5" s="17" t="s">
        <v>27</v>
      </c>
      <c r="J5" s="28"/>
      <c r="K5" s="28" t="s">
        <v>42</v>
      </c>
      <c r="L5" s="29" t="s">
        <v>36</v>
      </c>
      <c r="M5" s="30" t="s">
        <v>43</v>
      </c>
      <c r="N5" s="29"/>
      <c r="O5" s="29"/>
      <c r="P5" s="29"/>
      <c r="Q5" s="29"/>
      <c r="R5" s="29"/>
      <c r="S5" s="29"/>
    </row>
    <row r="6" spans="1:19" ht="69" customHeight="1">
      <c r="A6" s="14" t="s">
        <v>20</v>
      </c>
      <c r="B6" s="25" t="s">
        <v>37</v>
      </c>
      <c r="C6" s="25" t="s">
        <v>38</v>
      </c>
      <c r="D6" s="26" t="s">
        <v>44</v>
      </c>
      <c r="E6" s="17"/>
      <c r="F6" s="17" t="s">
        <v>41</v>
      </c>
      <c r="G6" s="27" t="s">
        <v>314</v>
      </c>
      <c r="H6" s="27" t="s">
        <v>41</v>
      </c>
      <c r="I6" s="17" t="s">
        <v>27</v>
      </c>
      <c r="J6" s="28"/>
      <c r="K6" s="28" t="s">
        <v>315</v>
      </c>
      <c r="L6" s="29" t="s">
        <v>46</v>
      </c>
      <c r="M6" s="30" t="s">
        <v>43</v>
      </c>
      <c r="N6" s="29"/>
      <c r="O6" s="29"/>
      <c r="P6" s="29"/>
      <c r="Q6" s="29"/>
      <c r="R6" s="29"/>
      <c r="S6" s="29"/>
    </row>
    <row r="7" spans="1:19" ht="93.6">
      <c r="A7" s="32" t="s">
        <v>47</v>
      </c>
      <c r="B7" s="32" t="s">
        <v>52</v>
      </c>
      <c r="C7" s="33" t="s">
        <v>53</v>
      </c>
      <c r="D7" s="35" t="s">
        <v>58</v>
      </c>
      <c r="E7" s="36"/>
      <c r="F7" s="37" t="s">
        <v>41</v>
      </c>
      <c r="G7" s="38"/>
      <c r="H7" s="27" t="s">
        <v>41</v>
      </c>
      <c r="I7" s="27" t="s">
        <v>27</v>
      </c>
      <c r="J7" s="39"/>
      <c r="K7" s="39"/>
      <c r="L7" s="40"/>
      <c r="M7" s="34"/>
      <c r="N7" s="47"/>
      <c r="O7" s="40"/>
      <c r="P7" s="40"/>
      <c r="Q7" s="40"/>
      <c r="R7" s="40"/>
      <c r="S7" s="40"/>
    </row>
    <row r="8" spans="1:19" ht="75">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60">
      <c r="A10" s="32" t="s">
        <v>47</v>
      </c>
      <c r="B10" s="48" t="s">
        <v>60</v>
      </c>
      <c r="C10" s="33" t="s">
        <v>61</v>
      </c>
      <c r="D10" s="35" t="s">
        <v>67</v>
      </c>
      <c r="E10" s="36"/>
      <c r="F10" s="37" t="s">
        <v>24</v>
      </c>
      <c r="G10" s="38" t="s">
        <v>63</v>
      </c>
      <c r="H10" s="27" t="s">
        <v>41</v>
      </c>
      <c r="I10" s="27" t="s">
        <v>27</v>
      </c>
      <c r="J10" s="39" t="s">
        <v>316</v>
      </c>
      <c r="K10" s="39" t="s">
        <v>69</v>
      </c>
      <c r="L10" s="40" t="s">
        <v>49</v>
      </c>
      <c r="M10" s="34" t="s">
        <v>50</v>
      </c>
      <c r="N10" s="40" t="s">
        <v>51</v>
      </c>
      <c r="O10" s="40"/>
      <c r="P10" s="40"/>
      <c r="Q10" s="40"/>
      <c r="R10" s="40"/>
      <c r="S10" s="40"/>
    </row>
    <row r="11" spans="1:19" ht="45">
      <c r="A11" s="56" t="s">
        <v>71</v>
      </c>
      <c r="B11" s="57" t="s">
        <v>72</v>
      </c>
      <c r="C11" s="58" t="s">
        <v>73</v>
      </c>
      <c r="D11" s="60" t="s">
        <v>74</v>
      </c>
      <c r="E11" s="61">
        <v>456</v>
      </c>
      <c r="F11" s="37" t="s">
        <v>24</v>
      </c>
      <c r="G11" s="60" t="s">
        <v>75</v>
      </c>
      <c r="H11" s="62" t="s">
        <v>55</v>
      </c>
      <c r="I11" s="27" t="s">
        <v>27</v>
      </c>
      <c r="J11" s="63"/>
      <c r="K11" s="63" t="s">
        <v>76</v>
      </c>
      <c r="L11" s="148" t="s">
        <v>77</v>
      </c>
      <c r="M11" s="59" t="s">
        <v>43</v>
      </c>
      <c r="N11" s="64">
        <v>1</v>
      </c>
      <c r="O11" s="64">
        <v>1</v>
      </c>
      <c r="P11" s="64">
        <v>1</v>
      </c>
      <c r="Q11" s="64">
        <v>1</v>
      </c>
      <c r="R11" s="64">
        <v>1</v>
      </c>
      <c r="S11" s="64">
        <v>1</v>
      </c>
    </row>
    <row r="12" spans="1:19" ht="60">
      <c r="A12" s="56" t="s">
        <v>71</v>
      </c>
      <c r="B12" s="57" t="s">
        <v>72</v>
      </c>
      <c r="C12" s="58" t="s">
        <v>73</v>
      </c>
      <c r="D12" s="61" t="s">
        <v>78</v>
      </c>
      <c r="E12" s="61">
        <v>457</v>
      </c>
      <c r="F12" s="37" t="s">
        <v>24</v>
      </c>
      <c r="G12" s="60" t="s">
        <v>75</v>
      </c>
      <c r="H12" s="62" t="s">
        <v>55</v>
      </c>
      <c r="I12" s="27" t="s">
        <v>27</v>
      </c>
      <c r="J12" s="67"/>
      <c r="K12" s="63" t="s">
        <v>76</v>
      </c>
      <c r="L12" s="149"/>
      <c r="M12" s="59" t="s">
        <v>43</v>
      </c>
      <c r="N12" s="64">
        <v>1</v>
      </c>
      <c r="O12" s="64">
        <v>1</v>
      </c>
      <c r="P12" s="64">
        <v>1</v>
      </c>
      <c r="Q12" s="64">
        <v>1</v>
      </c>
      <c r="R12" s="64">
        <v>1</v>
      </c>
      <c r="S12" s="64">
        <v>1</v>
      </c>
    </row>
    <row r="13" spans="1:19" ht="31.2">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31.2">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46.8">
      <c r="A16" s="56" t="s">
        <v>71</v>
      </c>
      <c r="B16" s="70" t="s">
        <v>90</v>
      </c>
      <c r="C16" s="70" t="s">
        <v>91</v>
      </c>
      <c r="D16" s="77" t="s">
        <v>317</v>
      </c>
      <c r="E16" s="61"/>
      <c r="F16" s="37" t="s">
        <v>24</v>
      </c>
      <c r="G16" s="72"/>
      <c r="H16" s="73" t="s">
        <v>41</v>
      </c>
      <c r="I16" s="27" t="s">
        <v>41</v>
      </c>
      <c r="J16" s="18"/>
      <c r="K16" s="18"/>
      <c r="L16" s="19"/>
      <c r="M16" s="75" t="s">
        <v>50</v>
      </c>
      <c r="N16" s="19"/>
      <c r="O16" s="19"/>
      <c r="P16" s="19"/>
      <c r="Q16" s="19"/>
      <c r="R16" s="19"/>
      <c r="S16" s="19"/>
    </row>
    <row r="17" spans="1:19" ht="150">
      <c r="A17" s="56" t="s">
        <v>71</v>
      </c>
      <c r="B17" s="56" t="s">
        <v>90</v>
      </c>
      <c r="C17" s="56" t="s">
        <v>91</v>
      </c>
      <c r="D17" s="78" t="s">
        <v>324</v>
      </c>
      <c r="E17" s="61"/>
      <c r="F17" s="37" t="s">
        <v>24</v>
      </c>
      <c r="G17" s="60" t="s">
        <v>94</v>
      </c>
      <c r="H17" s="73" t="s">
        <v>41</v>
      </c>
      <c r="I17" s="27" t="s">
        <v>41</v>
      </c>
      <c r="J17" s="28" t="s">
        <v>318</v>
      </c>
      <c r="K17" s="28"/>
      <c r="L17" s="29"/>
      <c r="M17" s="75" t="s">
        <v>50</v>
      </c>
      <c r="N17" s="29"/>
      <c r="O17" s="29"/>
      <c r="P17" s="29"/>
      <c r="Q17" s="29"/>
      <c r="R17" s="29"/>
      <c r="S17" s="29"/>
    </row>
    <row r="18" spans="1:19" ht="120">
      <c r="A18" s="79" t="s">
        <v>96</v>
      </c>
      <c r="B18" s="79" t="s">
        <v>97</v>
      </c>
      <c r="C18" s="80" t="s">
        <v>98</v>
      </c>
      <c r="D18" s="17" t="s">
        <v>99</v>
      </c>
      <c r="E18" s="17"/>
      <c r="F18" s="37" t="s">
        <v>24</v>
      </c>
      <c r="G18" s="73" t="s">
        <v>63</v>
      </c>
      <c r="H18" s="73" t="s">
        <v>41</v>
      </c>
      <c r="I18" s="73" t="s">
        <v>27</v>
      </c>
      <c r="J18" s="66" t="s">
        <v>319</v>
      </c>
      <c r="K18" s="19" t="s">
        <v>101</v>
      </c>
      <c r="L18" s="19" t="s">
        <v>102</v>
      </c>
      <c r="M18" s="34"/>
      <c r="N18" s="64">
        <v>0.95</v>
      </c>
      <c r="O18" s="64">
        <v>0.95</v>
      </c>
      <c r="P18" s="64">
        <v>0.95</v>
      </c>
      <c r="Q18" s="64">
        <v>0.95</v>
      </c>
      <c r="R18" s="64">
        <v>0.95</v>
      </c>
      <c r="S18" s="64">
        <v>0.95</v>
      </c>
    </row>
    <row r="19" spans="1:19" ht="75">
      <c r="A19" s="79" t="s">
        <v>96</v>
      </c>
      <c r="B19" s="79" t="s">
        <v>103</v>
      </c>
      <c r="C19" s="80" t="s">
        <v>104</v>
      </c>
      <c r="D19" s="18" t="s">
        <v>287</v>
      </c>
      <c r="E19" s="17"/>
      <c r="F19" s="37" t="s">
        <v>24</v>
      </c>
      <c r="G19" s="73" t="s">
        <v>63</v>
      </c>
      <c r="H19" s="73" t="s">
        <v>41</v>
      </c>
      <c r="I19" s="73" t="s">
        <v>27</v>
      </c>
      <c r="J19" s="66" t="s">
        <v>288</v>
      </c>
      <c r="K19" s="19" t="s">
        <v>289</v>
      </c>
      <c r="L19" s="19" t="s">
        <v>101</v>
      </c>
      <c r="M19" s="34"/>
      <c r="N19" s="18"/>
      <c r="O19" s="21">
        <v>1</v>
      </c>
      <c r="P19" s="21">
        <v>1</v>
      </c>
      <c r="Q19" s="21">
        <v>1</v>
      </c>
      <c r="R19" s="21">
        <v>1</v>
      </c>
      <c r="S19" s="21">
        <v>1</v>
      </c>
    </row>
    <row r="20" spans="1:19" ht="62.4">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51</v>
      </c>
      <c r="P20" s="19"/>
      <c r="Q20" s="19"/>
      <c r="R20" s="19"/>
      <c r="S20" s="19"/>
    </row>
    <row r="21" spans="1:19" ht="60">
      <c r="A21" s="79" t="s">
        <v>96</v>
      </c>
      <c r="B21" s="79" t="s">
        <v>109</v>
      </c>
      <c r="C21" s="80" t="s">
        <v>110</v>
      </c>
      <c r="D21" s="85" t="s">
        <v>115</v>
      </c>
      <c r="E21" s="85">
        <v>339</v>
      </c>
      <c r="F21" s="37" t="s">
        <v>24</v>
      </c>
      <c r="G21" s="85" t="s">
        <v>88</v>
      </c>
      <c r="H21" s="85" t="s">
        <v>55</v>
      </c>
      <c r="I21" s="73" t="s">
        <v>27</v>
      </c>
      <c r="J21" s="18" t="s">
        <v>320</v>
      </c>
      <c r="K21" s="18" t="s">
        <v>117</v>
      </c>
      <c r="L21" s="19" t="s">
        <v>114</v>
      </c>
      <c r="M21" s="34" t="s">
        <v>43</v>
      </c>
      <c r="N21" s="21">
        <v>0.33</v>
      </c>
      <c r="O21" s="86">
        <v>0.44</v>
      </c>
      <c r="P21" s="86">
        <v>0.45</v>
      </c>
      <c r="Q21" s="86">
        <v>0.5</v>
      </c>
      <c r="R21" s="86">
        <v>0.53</v>
      </c>
      <c r="S21" s="86">
        <v>0.55000000000000004</v>
      </c>
    </row>
    <row r="22" spans="1:19" ht="46.8">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46.8">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c r="A24" s="79" t="s">
        <v>130</v>
      </c>
      <c r="B24" s="79" t="s">
        <v>131</v>
      </c>
      <c r="C24" s="113" t="s">
        <v>132</v>
      </c>
      <c r="D24" s="142" t="s">
        <v>290</v>
      </c>
      <c r="E24" s="17"/>
      <c r="F24" s="62" t="s">
        <v>41</v>
      </c>
      <c r="G24" s="16" t="s">
        <v>321</v>
      </c>
      <c r="H24" s="73" t="s">
        <v>41</v>
      </c>
      <c r="I24" s="27" t="s">
        <v>41</v>
      </c>
      <c r="J24" s="63"/>
      <c r="K24" s="29"/>
      <c r="L24" s="29" t="s">
        <v>295</v>
      </c>
      <c r="M24" s="94"/>
      <c r="N24" s="63"/>
      <c r="O24" s="29"/>
      <c r="P24" s="29"/>
      <c r="Q24" s="29"/>
      <c r="R24" s="29"/>
      <c r="S24" s="29"/>
    </row>
    <row r="25" spans="1:19" ht="124.8">
      <c r="A25" s="79" t="s">
        <v>130</v>
      </c>
      <c r="B25" s="79" t="s">
        <v>131</v>
      </c>
      <c r="C25" s="80" t="s">
        <v>132</v>
      </c>
      <c r="D25" s="142" t="s">
        <v>293</v>
      </c>
      <c r="E25" s="17"/>
      <c r="F25" s="62" t="s">
        <v>41</v>
      </c>
      <c r="G25" s="16" t="s">
        <v>294</v>
      </c>
      <c r="H25" s="73" t="s">
        <v>41</v>
      </c>
      <c r="I25" s="27" t="s">
        <v>41</v>
      </c>
      <c r="J25" s="63"/>
      <c r="K25" s="29"/>
      <c r="L25" s="29" t="s">
        <v>295</v>
      </c>
      <c r="M25" s="94"/>
      <c r="N25" s="63"/>
      <c r="O25" s="29"/>
      <c r="P25" s="29"/>
      <c r="Q25" s="29"/>
      <c r="R25" s="29"/>
      <c r="S25" s="29"/>
    </row>
    <row r="26" spans="1:19" ht="93.6">
      <c r="A26" s="79" t="s">
        <v>130</v>
      </c>
      <c r="B26" s="79" t="s">
        <v>131</v>
      </c>
      <c r="C26" s="80" t="s">
        <v>136</v>
      </c>
      <c r="D26" s="16" t="s">
        <v>291</v>
      </c>
      <c r="E26" s="17"/>
      <c r="F26" s="62" t="s">
        <v>41</v>
      </c>
      <c r="G26" s="82" t="s">
        <v>296</v>
      </c>
      <c r="H26" s="73" t="s">
        <v>41</v>
      </c>
      <c r="I26" s="27" t="s">
        <v>41</v>
      </c>
      <c r="J26" s="18" t="s">
        <v>139</v>
      </c>
      <c r="K26" s="19" t="s">
        <v>140</v>
      </c>
      <c r="L26" s="19" t="s">
        <v>141</v>
      </c>
      <c r="M26" s="34" t="s">
        <v>50</v>
      </c>
      <c r="N26" s="66"/>
      <c r="O26" s="19"/>
      <c r="P26" s="19"/>
      <c r="Q26" s="19"/>
      <c r="R26" s="19"/>
      <c r="S26" s="19"/>
    </row>
    <row r="27" spans="1:19" ht="60">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5">
      <c r="A30" s="33" t="s">
        <v>151</v>
      </c>
      <c r="B30" s="48" t="s">
        <v>152</v>
      </c>
      <c r="C30" s="100" t="s">
        <v>153</v>
      </c>
      <c r="D30" s="35" t="s">
        <v>154</v>
      </c>
      <c r="E30" s="36">
        <v>148</v>
      </c>
      <c r="F30" s="17" t="s">
        <v>24</v>
      </c>
      <c r="G30" s="35" t="s">
        <v>297</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46.8">
      <c r="A31" s="33" t="s">
        <v>151</v>
      </c>
      <c r="B31" s="48" t="s">
        <v>158</v>
      </c>
      <c r="C31" s="100" t="s">
        <v>153</v>
      </c>
      <c r="D31" s="103" t="s">
        <v>159</v>
      </c>
      <c r="E31" s="41"/>
      <c r="F31" s="17" t="s">
        <v>24</v>
      </c>
      <c r="G31" s="104" t="s">
        <v>63</v>
      </c>
      <c r="H31" s="73" t="s">
        <v>41</v>
      </c>
      <c r="I31" s="36" t="s">
        <v>27</v>
      </c>
      <c r="J31" s="42"/>
      <c r="K31" s="40" t="s">
        <v>157</v>
      </c>
      <c r="L31" s="40" t="s">
        <v>157</v>
      </c>
      <c r="M31" s="101"/>
      <c r="N31" s="55" t="s">
        <v>51</v>
      </c>
      <c r="O31" s="55">
        <v>0.57999999999999996</v>
      </c>
      <c r="P31" s="55">
        <v>0.57999999999999996</v>
      </c>
      <c r="Q31" s="55">
        <v>0.76</v>
      </c>
      <c r="R31" s="55">
        <v>0.76</v>
      </c>
      <c r="S31" s="55">
        <v>1</v>
      </c>
    </row>
    <row r="32" spans="1:19" ht="105">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51</v>
      </c>
      <c r="O32" s="40">
        <v>116</v>
      </c>
      <c r="P32" s="40">
        <v>110</v>
      </c>
      <c r="Q32" s="40">
        <v>110</v>
      </c>
      <c r="R32" s="40">
        <v>115</v>
      </c>
      <c r="S32" s="40">
        <v>120</v>
      </c>
    </row>
    <row r="33" spans="1:19" ht="120">
      <c r="A33" s="33" t="s">
        <v>151</v>
      </c>
      <c r="B33" s="48" t="s">
        <v>158</v>
      </c>
      <c r="C33" s="100" t="s">
        <v>153</v>
      </c>
      <c r="D33" s="35" t="s">
        <v>162</v>
      </c>
      <c r="E33" s="36"/>
      <c r="F33" s="105" t="s">
        <v>24</v>
      </c>
      <c r="G33" s="106" t="s">
        <v>163</v>
      </c>
      <c r="H33" s="73" t="s">
        <v>41</v>
      </c>
      <c r="I33" s="36" t="s">
        <v>27</v>
      </c>
      <c r="J33" s="39"/>
      <c r="K33" s="40" t="s">
        <v>157</v>
      </c>
      <c r="L33" s="40" t="s">
        <v>157</v>
      </c>
      <c r="M33" s="101"/>
      <c r="N33" s="42" t="s">
        <v>51</v>
      </c>
      <c r="O33" s="108">
        <v>34</v>
      </c>
      <c r="P33" s="108">
        <v>68</v>
      </c>
      <c r="Q33" s="108">
        <v>102</v>
      </c>
      <c r="R33" s="108">
        <v>136</v>
      </c>
      <c r="S33" s="108">
        <v>136</v>
      </c>
    </row>
    <row r="34" spans="1:19" ht="46.8">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51</v>
      </c>
      <c r="O34" s="55">
        <v>0.44</v>
      </c>
      <c r="P34" s="55">
        <v>0.44</v>
      </c>
      <c r="Q34" s="55">
        <v>0.65</v>
      </c>
      <c r="R34" s="55">
        <v>0.65</v>
      </c>
      <c r="S34" s="55">
        <v>0.8</v>
      </c>
    </row>
    <row r="35" spans="1:19" ht="124.8">
      <c r="A35" s="80" t="s">
        <v>165</v>
      </c>
      <c r="B35" s="98" t="s">
        <v>166</v>
      </c>
      <c r="C35" s="113" t="s">
        <v>167</v>
      </c>
      <c r="D35" s="16" t="s">
        <v>168</v>
      </c>
      <c r="E35" s="17"/>
      <c r="F35" s="73" t="s">
        <v>41</v>
      </c>
      <c r="G35" s="82" t="s">
        <v>298</v>
      </c>
      <c r="H35" s="73" t="s">
        <v>41</v>
      </c>
      <c r="I35" s="27" t="s">
        <v>27</v>
      </c>
      <c r="J35" s="114" t="s">
        <v>170</v>
      </c>
      <c r="K35" s="19"/>
      <c r="L35" s="19"/>
      <c r="M35" s="34"/>
      <c r="N35" s="66"/>
      <c r="O35" s="19"/>
      <c r="P35" s="19"/>
      <c r="Q35" s="19"/>
      <c r="R35" s="19"/>
      <c r="S35" s="19"/>
    </row>
    <row r="36" spans="1:19" ht="60">
      <c r="A36" s="80" t="s">
        <v>165</v>
      </c>
      <c r="B36" s="98" t="s">
        <v>166</v>
      </c>
      <c r="C36" s="80" t="s">
        <v>171</v>
      </c>
      <c r="D36" s="17" t="s">
        <v>172</v>
      </c>
      <c r="E36" s="17"/>
      <c r="F36" s="73" t="s">
        <v>24</v>
      </c>
      <c r="G36" s="82" t="s">
        <v>299</v>
      </c>
      <c r="H36" s="73" t="s">
        <v>41</v>
      </c>
      <c r="I36" s="27" t="s">
        <v>27</v>
      </c>
      <c r="J36" s="66" t="s">
        <v>174</v>
      </c>
      <c r="K36" s="19"/>
      <c r="L36" s="19"/>
      <c r="M36" s="34"/>
      <c r="N36" s="66"/>
      <c r="O36" s="19"/>
      <c r="P36" s="19"/>
      <c r="Q36" s="19"/>
      <c r="R36" s="19"/>
      <c r="S36" s="19"/>
    </row>
    <row r="37" spans="1:19" ht="93.6">
      <c r="A37" s="80" t="s">
        <v>165</v>
      </c>
      <c r="B37" s="98" t="s">
        <v>166</v>
      </c>
      <c r="C37" s="80" t="s">
        <v>171</v>
      </c>
      <c r="D37" s="115" t="s">
        <v>300</v>
      </c>
      <c r="E37" s="116"/>
      <c r="F37" s="73" t="s">
        <v>24</v>
      </c>
      <c r="G37" s="73" t="s">
        <v>176</v>
      </c>
      <c r="H37" s="73" t="s">
        <v>41</v>
      </c>
      <c r="I37" s="27" t="s">
        <v>27</v>
      </c>
      <c r="J37" s="18"/>
      <c r="K37" s="18"/>
      <c r="L37" s="19"/>
      <c r="M37" s="34" t="s">
        <v>50</v>
      </c>
      <c r="N37" s="19"/>
      <c r="O37" s="19"/>
      <c r="P37" s="19"/>
      <c r="Q37" s="19"/>
      <c r="R37" s="19"/>
      <c r="S37" s="19"/>
    </row>
    <row r="38" spans="1:19" ht="46.95" customHeight="1">
      <c r="A38" s="93" t="s">
        <v>177</v>
      </c>
      <c r="B38" s="117" t="s">
        <v>178</v>
      </c>
      <c r="C38" s="93" t="s">
        <v>179</v>
      </c>
      <c r="D38" s="27" t="s">
        <v>180</v>
      </c>
      <c r="E38" s="17">
        <v>318</v>
      </c>
      <c r="F38" s="27" t="s">
        <v>24</v>
      </c>
      <c r="G38" s="27" t="s">
        <v>63</v>
      </c>
      <c r="H38" s="16" t="s">
        <v>55</v>
      </c>
      <c r="I38" s="27" t="s">
        <v>27</v>
      </c>
      <c r="J38" s="63" t="s">
        <v>301</v>
      </c>
      <c r="K38" s="19" t="s">
        <v>184</v>
      </c>
      <c r="L38" s="19" t="s">
        <v>184</v>
      </c>
      <c r="M38" s="94" t="s">
        <v>50</v>
      </c>
      <c r="N38" s="120">
        <v>0.85</v>
      </c>
      <c r="O38" s="120">
        <v>0.85</v>
      </c>
      <c r="P38" s="120">
        <v>0.85</v>
      </c>
      <c r="Q38" s="120">
        <v>0.85</v>
      </c>
      <c r="R38" s="120">
        <v>0.85</v>
      </c>
      <c r="S38" s="120">
        <v>0.85</v>
      </c>
    </row>
    <row r="39" spans="1:19" ht="62.4">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90">
      <c r="A40" s="93" t="s">
        <v>177</v>
      </c>
      <c r="B40" s="98" t="s">
        <v>185</v>
      </c>
      <c r="C40" s="80" t="s">
        <v>181</v>
      </c>
      <c r="D40" s="16" t="s">
        <v>186</v>
      </c>
      <c r="E40" s="17">
        <v>533</v>
      </c>
      <c r="F40" s="27" t="s">
        <v>24</v>
      </c>
      <c r="G40" s="16"/>
      <c r="H40" s="16" t="s">
        <v>55</v>
      </c>
      <c r="I40" s="27" t="s">
        <v>27</v>
      </c>
      <c r="J40" s="66" t="s">
        <v>302</v>
      </c>
      <c r="K40" s="19" t="s">
        <v>184</v>
      </c>
      <c r="L40" s="19" t="s">
        <v>184</v>
      </c>
      <c r="M40" s="34" t="s">
        <v>43</v>
      </c>
      <c r="N40" s="64">
        <v>1</v>
      </c>
      <c r="O40" s="64">
        <v>1</v>
      </c>
      <c r="P40" s="64">
        <v>1</v>
      </c>
      <c r="Q40" s="64">
        <v>1</v>
      </c>
      <c r="R40" s="64">
        <v>1</v>
      </c>
      <c r="S40" s="64">
        <v>1</v>
      </c>
    </row>
    <row r="41" spans="1:19" ht="75">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75">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0">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c r="A45" s="80" t="s">
        <v>194</v>
      </c>
      <c r="B45" s="98" t="s">
        <v>195</v>
      </c>
      <c r="C45" s="80" t="s">
        <v>196</v>
      </c>
      <c r="D45" s="17" t="s">
        <v>303</v>
      </c>
      <c r="E45" s="17">
        <v>597</v>
      </c>
      <c r="F45" s="73" t="s">
        <v>24</v>
      </c>
      <c r="G45" s="82" t="s">
        <v>63</v>
      </c>
      <c r="H45" s="73" t="s">
        <v>41</v>
      </c>
      <c r="I45" s="62" t="s">
        <v>27</v>
      </c>
      <c r="J45" s="66" t="s">
        <v>201</v>
      </c>
      <c r="K45" s="19"/>
      <c r="L45" s="19" t="s">
        <v>199</v>
      </c>
      <c r="M45" s="34"/>
      <c r="N45" s="66"/>
      <c r="O45" s="19" t="s">
        <v>51</v>
      </c>
      <c r="P45" s="19"/>
      <c r="Q45" s="19"/>
      <c r="R45" s="19"/>
      <c r="S45" s="19"/>
    </row>
    <row r="46" spans="1:19" ht="132.6" customHeight="1">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90">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0">
      <c r="A51" s="80" t="s">
        <v>212</v>
      </c>
      <c r="B51" s="80" t="s">
        <v>217</v>
      </c>
      <c r="C51" s="126" t="s">
        <v>218</v>
      </c>
      <c r="D51" s="88" t="s">
        <v>304</v>
      </c>
      <c r="E51" s="88"/>
      <c r="F51" s="89" t="s">
        <v>305</v>
      </c>
      <c r="G51" s="89" t="s">
        <v>63</v>
      </c>
      <c r="H51" s="73" t="s">
        <v>306</v>
      </c>
      <c r="I51" s="73" t="s">
        <v>27</v>
      </c>
      <c r="J51" s="130" t="s">
        <v>307</v>
      </c>
      <c r="K51" s="131" t="s">
        <v>129</v>
      </c>
      <c r="L51" s="131" t="s">
        <v>129</v>
      </c>
      <c r="M51" s="127"/>
      <c r="N51" s="64">
        <v>0.8</v>
      </c>
      <c r="O51" s="64">
        <v>0.8</v>
      </c>
      <c r="P51" s="64">
        <v>0.8</v>
      </c>
      <c r="Q51" s="64">
        <v>0.8</v>
      </c>
      <c r="R51" s="64">
        <v>0.8</v>
      </c>
      <c r="S51" s="64">
        <v>0.8</v>
      </c>
    </row>
    <row r="52" spans="1:19" ht="75">
      <c r="A52" s="80" t="s">
        <v>212</v>
      </c>
      <c r="B52" s="98" t="s">
        <v>227</v>
      </c>
      <c r="C52" s="80" t="s">
        <v>228</v>
      </c>
      <c r="D52" s="17" t="s">
        <v>308</v>
      </c>
      <c r="E52" s="17"/>
      <c r="F52" s="73" t="s">
        <v>41</v>
      </c>
      <c r="G52" s="73" t="s">
        <v>230</v>
      </c>
      <c r="H52" s="73" t="s">
        <v>41</v>
      </c>
      <c r="I52" s="73" t="s">
        <v>27</v>
      </c>
      <c r="J52" s="66" t="s">
        <v>309</v>
      </c>
      <c r="K52" s="19"/>
      <c r="L52" s="19" t="s">
        <v>129</v>
      </c>
      <c r="M52" s="34"/>
      <c r="N52" s="64">
        <v>1</v>
      </c>
      <c r="O52" s="64">
        <v>1</v>
      </c>
      <c r="P52" s="64">
        <v>1</v>
      </c>
      <c r="Q52" s="64">
        <v>1</v>
      </c>
      <c r="R52" s="64">
        <v>1</v>
      </c>
      <c r="S52" s="64">
        <v>1</v>
      </c>
    </row>
    <row r="53" spans="1:19" ht="105">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05">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75">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5">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05">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5">
        <v>0.86099999999999999</v>
      </c>
      <c r="O57" s="145">
        <v>0.86599999999999999</v>
      </c>
      <c r="P57" s="19"/>
      <c r="Q57" s="19"/>
      <c r="R57" s="19"/>
      <c r="S57" s="19"/>
    </row>
    <row r="58" spans="1:19" ht="105">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c r="A59" s="93" t="s">
        <v>241</v>
      </c>
      <c r="B59" s="93" t="s">
        <v>245</v>
      </c>
      <c r="C59" s="137" t="s">
        <v>251</v>
      </c>
      <c r="D59" s="26" t="s">
        <v>257</v>
      </c>
      <c r="E59" s="17"/>
      <c r="F59" s="134" t="s">
        <v>305</v>
      </c>
      <c r="G59" s="27" t="s">
        <v>63</v>
      </c>
      <c r="H59" s="27" t="s">
        <v>41</v>
      </c>
      <c r="I59" s="73" t="s">
        <v>27</v>
      </c>
      <c r="J59" s="63"/>
      <c r="K59" s="29" t="s">
        <v>254</v>
      </c>
      <c r="L59" s="29" t="s">
        <v>254</v>
      </c>
      <c r="M59" s="136" t="s">
        <v>255</v>
      </c>
      <c r="N59" s="63"/>
      <c r="O59" s="29"/>
      <c r="P59" s="29"/>
      <c r="Q59" s="29"/>
      <c r="R59" s="29"/>
      <c r="S59" s="29"/>
    </row>
    <row r="60" spans="1:19" ht="105">
      <c r="A60" s="80" t="s">
        <v>241</v>
      </c>
      <c r="B60" s="80" t="s">
        <v>245</v>
      </c>
      <c r="C60" s="135" t="s">
        <v>251</v>
      </c>
      <c r="D60" s="17" t="s">
        <v>258</v>
      </c>
      <c r="E60" s="17"/>
      <c r="F60" s="17" t="s">
        <v>24</v>
      </c>
      <c r="G60" s="17" t="s">
        <v>88</v>
      </c>
      <c r="H60" s="17" t="s">
        <v>55</v>
      </c>
      <c r="I60" s="73" t="s">
        <v>27</v>
      </c>
      <c r="J60" s="66" t="s">
        <v>259</v>
      </c>
      <c r="K60" s="19" t="s">
        <v>254</v>
      </c>
      <c r="L60" s="19" t="s">
        <v>254</v>
      </c>
      <c r="M60" s="136"/>
      <c r="N60" s="145">
        <v>0.74199999999999999</v>
      </c>
      <c r="O60" s="145">
        <v>0.748</v>
      </c>
      <c r="P60" s="19"/>
      <c r="Q60" s="19"/>
      <c r="R60" s="19"/>
      <c r="S60" s="19"/>
    </row>
    <row r="61" spans="1:19" ht="75">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20.6">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122">
        <v>1</v>
      </c>
      <c r="P62" s="122">
        <v>1</v>
      </c>
      <c r="Q62" s="122">
        <v>1</v>
      </c>
      <c r="R62" s="122">
        <v>1</v>
      </c>
      <c r="S62" s="122">
        <v>1</v>
      </c>
    </row>
    <row r="63" spans="1:19" ht="70.95" customHeight="1">
      <c r="A63" s="93" t="s">
        <v>266</v>
      </c>
      <c r="B63" s="117" t="s">
        <v>273</v>
      </c>
      <c r="C63" s="93" t="s">
        <v>274</v>
      </c>
      <c r="D63" s="27" t="s">
        <v>310</v>
      </c>
      <c r="E63" s="17">
        <v>542</v>
      </c>
      <c r="F63" s="134" t="s">
        <v>24</v>
      </c>
      <c r="G63" s="27"/>
      <c r="H63" s="27" t="s">
        <v>63</v>
      </c>
      <c r="I63" s="27" t="s">
        <v>27</v>
      </c>
      <c r="J63" s="28" t="s">
        <v>276</v>
      </c>
      <c r="K63" s="29"/>
      <c r="L63" s="29"/>
      <c r="M63" s="118" t="s">
        <v>50</v>
      </c>
      <c r="N63" s="63"/>
      <c r="O63" s="29"/>
      <c r="P63" s="29"/>
      <c r="Q63" s="29"/>
      <c r="R63" s="29"/>
      <c r="S63" s="29"/>
    </row>
    <row r="64" spans="1:19" ht="150">
      <c r="A64" s="93" t="s">
        <v>266</v>
      </c>
      <c r="B64" s="117" t="s">
        <v>273</v>
      </c>
      <c r="C64" s="93" t="s">
        <v>277</v>
      </c>
      <c r="D64" s="27" t="s">
        <v>278</v>
      </c>
      <c r="E64" s="17">
        <v>541</v>
      </c>
      <c r="F64" s="134" t="s">
        <v>24</v>
      </c>
      <c r="G64" s="62" t="s">
        <v>311</v>
      </c>
      <c r="H64" s="73" t="s">
        <v>55</v>
      </c>
      <c r="I64" s="27" t="s">
        <v>27</v>
      </c>
      <c r="J64" s="63" t="s">
        <v>280</v>
      </c>
      <c r="K64" s="29" t="s">
        <v>271</v>
      </c>
      <c r="L64" s="29" t="s">
        <v>271</v>
      </c>
      <c r="M64" s="94"/>
      <c r="N64" s="63"/>
      <c r="O64" s="122">
        <v>0.09</v>
      </c>
      <c r="P64" s="29"/>
      <c r="Q64" s="29"/>
      <c r="R64" s="29"/>
      <c r="S64" s="29"/>
    </row>
    <row r="65" spans="1:19" ht="46.8">
      <c r="A65" s="80" t="s">
        <v>266</v>
      </c>
      <c r="B65" s="98" t="s">
        <v>281</v>
      </c>
      <c r="C65" s="80" t="s">
        <v>282</v>
      </c>
      <c r="D65" s="17" t="s">
        <v>292</v>
      </c>
      <c r="E65" s="17">
        <v>547</v>
      </c>
      <c r="F65" s="134" t="s">
        <v>24</v>
      </c>
      <c r="G65" s="73"/>
      <c r="H65" s="73" t="s">
        <v>55</v>
      </c>
      <c r="I65" s="27" t="s">
        <v>27</v>
      </c>
      <c r="J65" s="66" t="s">
        <v>312</v>
      </c>
      <c r="K65" s="19" t="s">
        <v>271</v>
      </c>
      <c r="L65" s="19" t="s">
        <v>271</v>
      </c>
      <c r="M65" s="34" t="s">
        <v>50</v>
      </c>
      <c r="N65" s="64">
        <v>0.8</v>
      </c>
      <c r="O65" s="64">
        <v>0.85</v>
      </c>
      <c r="P65" s="64"/>
      <c r="Q65" s="64"/>
      <c r="R65" s="64"/>
      <c r="S65" s="64"/>
    </row>
    <row r="66" spans="1:19" ht="46.8">
      <c r="A66" s="56" t="s">
        <v>71</v>
      </c>
      <c r="B66" s="70" t="s">
        <v>90</v>
      </c>
      <c r="C66" s="70" t="s">
        <v>91</v>
      </c>
      <c r="D66" s="77" t="s">
        <v>323</v>
      </c>
      <c r="E66" s="61"/>
      <c r="F66" s="37" t="s">
        <v>24</v>
      </c>
      <c r="G66" s="72"/>
      <c r="H66" s="19"/>
      <c r="I66" s="19"/>
      <c r="J66" s="19"/>
      <c r="K66" s="19"/>
      <c r="L66" s="21" t="s">
        <v>322</v>
      </c>
      <c r="M66" s="19"/>
      <c r="N66" s="21">
        <v>0.97</v>
      </c>
      <c r="O66" s="21">
        <v>0.97</v>
      </c>
      <c r="P66" s="21">
        <v>0.97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c r="A1" s="1"/>
      <c r="B1" s="1"/>
      <c r="C1" s="1"/>
      <c r="D1" s="1"/>
      <c r="E1" s="1"/>
      <c r="F1" s="1"/>
      <c r="G1" s="1"/>
      <c r="H1" s="1"/>
      <c r="I1" s="1"/>
      <c r="J1" s="1"/>
      <c r="K1" s="1"/>
      <c r="L1" s="1"/>
      <c r="M1" s="1"/>
      <c r="N1" s="146" t="s">
        <v>0</v>
      </c>
      <c r="O1" s="147"/>
      <c r="P1" s="147"/>
      <c r="Q1" s="147"/>
      <c r="R1" s="147"/>
      <c r="S1" s="147"/>
    </row>
    <row r="2" spans="1:19" ht="36">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5" hidden="1">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hidden="1">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hidden="1">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hidden="1" customHeight="1">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hidden="1">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hidden="1">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5" hidden="1">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hidden="1">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60" hidden="1">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46.8" hidden="1">
      <c r="A12" s="56" t="s">
        <v>71</v>
      </c>
      <c r="B12" s="57" t="s">
        <v>72</v>
      </c>
      <c r="C12" s="58" t="s">
        <v>73</v>
      </c>
      <c r="D12" s="60" t="s">
        <v>74</v>
      </c>
      <c r="E12" s="61">
        <v>456</v>
      </c>
      <c r="F12" s="37" t="s">
        <v>24</v>
      </c>
      <c r="G12" s="60" t="s">
        <v>75</v>
      </c>
      <c r="H12" s="62" t="s">
        <v>55</v>
      </c>
      <c r="I12" s="27" t="s">
        <v>27</v>
      </c>
      <c r="J12" s="63"/>
      <c r="K12" s="63" t="s">
        <v>76</v>
      </c>
      <c r="L12" s="148" t="s">
        <v>77</v>
      </c>
      <c r="M12" s="59" t="s">
        <v>43</v>
      </c>
      <c r="N12" s="64">
        <v>1</v>
      </c>
      <c r="O12" s="65">
        <v>1.1152</v>
      </c>
      <c r="P12" s="23"/>
      <c r="Q12" s="64">
        <v>1</v>
      </c>
      <c r="R12" s="21">
        <v>1.22</v>
      </c>
      <c r="S12" s="22">
        <f>R12/Q12</f>
        <v>1.22</v>
      </c>
    </row>
    <row r="13" spans="1:19" ht="75" hidden="1">
      <c r="A13" s="56" t="s">
        <v>71</v>
      </c>
      <c r="B13" s="57" t="s">
        <v>72</v>
      </c>
      <c r="C13" s="58" t="s">
        <v>73</v>
      </c>
      <c r="D13" s="61" t="s">
        <v>78</v>
      </c>
      <c r="E13" s="61">
        <v>457</v>
      </c>
      <c r="F13" s="37" t="s">
        <v>24</v>
      </c>
      <c r="G13" s="60" t="s">
        <v>75</v>
      </c>
      <c r="H13" s="62" t="s">
        <v>55</v>
      </c>
      <c r="I13" s="27" t="s">
        <v>27</v>
      </c>
      <c r="J13" s="67"/>
      <c r="K13" s="63" t="s">
        <v>76</v>
      </c>
      <c r="L13" s="149"/>
      <c r="M13" s="59" t="s">
        <v>43</v>
      </c>
      <c r="N13" s="66"/>
      <c r="O13" s="66"/>
      <c r="P13" s="23"/>
      <c r="Q13" s="66" t="s">
        <v>79</v>
      </c>
      <c r="R13" s="19"/>
      <c r="S13" s="23"/>
    </row>
    <row r="14" spans="1:19" ht="46.8" hidden="1">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hidden="1">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hidden="1">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hidden="1">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50" hidden="1">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20" hidden="1">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5" hidden="1">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62.4" hidden="1">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0" hidden="1">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62.4">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hidden="1">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46.8" hidden="1">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93.6" hidden="1">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hidden="1">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62.4" hidden="1">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hidden="1">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hidden="1">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5" hidden="1">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46.8" hidden="1">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05" hidden="1">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20" hidden="1">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46.8" hidden="1">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hidden="1">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0" hidden="1">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hidden="1">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hidden="1" customHeight="1">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hidden="1">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05" hidden="1">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75" hidden="1">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75" hidden="1">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0" hidden="1">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hidden="1" customHeight="1">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hidden="1" customHeight="1">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hidden="1" customHeight="1">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hidden="1" customHeight="1">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hidden="1">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90" hidden="1">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hidden="1" customHeight="1">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0" hidden="1">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0" hidden="1">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75" hidden="1">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5" hidden="1">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05" hidden="1">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75" hidden="1">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5" hidden="1">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09.2">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09.2" hidden="1">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hidden="1" customHeight="1">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c r="A62" s="80" t="s">
        <v>241</v>
      </c>
      <c r="B62" s="80" t="s">
        <v>245</v>
      </c>
      <c r="C62" s="135" t="s">
        <v>251</v>
      </c>
      <c r="D62" s="17" t="s">
        <v>258</v>
      </c>
      <c r="E62" s="17"/>
      <c r="F62" s="17" t="s">
        <v>24</v>
      </c>
      <c r="G62" s="17" t="s">
        <v>88</v>
      </c>
      <c r="H62" s="17" t="s">
        <v>55</v>
      </c>
      <c r="I62" s="73" t="s">
        <v>27</v>
      </c>
      <c r="J62" s="66" t="s">
        <v>259</v>
      </c>
      <c r="K62" s="19" t="s">
        <v>254</v>
      </c>
      <c r="L62" s="19" t="s">
        <v>254</v>
      </c>
      <c r="M62" s="136"/>
      <c r="N62" s="66">
        <v>74.2</v>
      </c>
      <c r="O62" s="66">
        <v>77.400000000000006</v>
      </c>
      <c r="P62" s="133">
        <f>O62/N62</f>
        <v>1.0431266846361187</v>
      </c>
      <c r="Q62" s="19">
        <v>74.8</v>
      </c>
      <c r="R62" s="19"/>
      <c r="S62" s="23"/>
    </row>
    <row r="63" spans="1:19" ht="75" hidden="1">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09.2" hidden="1">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43">
        <v>1</v>
      </c>
      <c r="O64" s="141">
        <v>1.1357999999999999</v>
      </c>
      <c r="P64" s="144">
        <f>O64/N64</f>
        <v>1.1357999999999999</v>
      </c>
      <c r="Q64" s="122">
        <v>1</v>
      </c>
      <c r="R64" s="29"/>
      <c r="S64" s="31"/>
    </row>
    <row r="65" spans="1:19" ht="70.95" hidden="1" customHeight="1">
      <c r="A65" s="93" t="s">
        <v>266</v>
      </c>
      <c r="B65" s="117" t="s">
        <v>273</v>
      </c>
      <c r="C65" s="93" t="s">
        <v>274</v>
      </c>
      <c r="D65" s="27" t="s">
        <v>275</v>
      </c>
      <c r="E65" s="17">
        <v>542</v>
      </c>
      <c r="F65" s="134" t="s">
        <v>24</v>
      </c>
      <c r="G65" s="27"/>
      <c r="H65" s="27" t="s">
        <v>63</v>
      </c>
      <c r="I65" s="27" t="s">
        <v>27</v>
      </c>
      <c r="J65" s="28" t="s">
        <v>276</v>
      </c>
      <c r="K65" s="29"/>
      <c r="L65" s="29"/>
      <c r="M65" s="118" t="s">
        <v>50</v>
      </c>
      <c r="N65" s="63"/>
      <c r="O65" s="63">
        <v>81.239999999999995</v>
      </c>
      <c r="P65" s="96"/>
      <c r="Q65" s="29"/>
      <c r="R65" s="29"/>
      <c r="S65" s="31"/>
    </row>
    <row r="66" spans="1:19" ht="150" hidden="1">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120">
        <v>0.04</v>
      </c>
      <c r="O66" s="141">
        <v>6.9900000000000004E-2</v>
      </c>
      <c r="P66" s="144">
        <f>O66/N66</f>
        <v>1.7475000000000001</v>
      </c>
      <c r="Q66" s="122">
        <v>0.09</v>
      </c>
      <c r="R66" s="29"/>
      <c r="S66" s="31"/>
    </row>
    <row r="67" spans="1:19" ht="46.8" hidden="1">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Licec Ximena Silva Goyeneche</cp:lastModifiedBy>
  <dcterms:created xsi:type="dcterms:W3CDTF">2026-09-11T05:02:10Z</dcterms:created>
  <dcterms:modified xsi:type="dcterms:W3CDTF">2026-09-21T15:20:00Z</dcterms:modified>
</cp:coreProperties>
</file>