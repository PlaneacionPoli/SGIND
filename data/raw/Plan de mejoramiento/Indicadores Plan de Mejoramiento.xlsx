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5f15395a9ed9a48f/Proyectos_DS/SGING/data/raw/Plan de mejoramiento/"/>
    </mc:Choice>
  </mc:AlternateContent>
  <xr:revisionPtr revIDLastSave="1" documentId="11_96787627FCCA1FF109BBA3DFBB87DF7B067D890E" xr6:coauthVersionLast="47" xr6:coauthVersionMax="47" xr10:uidLastSave="{601E2C10-A0B0-48CC-8748-FF23AB170B8A}"/>
  <bookViews>
    <workbookView xWindow="-108" yWindow="-108" windowWidth="23256" windowHeight="12456" xr2:uid="{00000000-000D-0000-FFFF-FFFF00000000}"/>
  </bookViews>
  <sheets>
    <sheet name="Indicadores Plan de Mejor" sheetId="1" r:id="rId1"/>
    <sheet name="Indicadores Real" sheetId="2" r:id="rId2"/>
  </sheets>
  <definedNames>
    <definedName name="_xlnm._FilterDatabase" localSheetId="0" hidden="1">'Indicadores Plan de Mejor'!$A$2:$S$2</definedName>
    <definedName name="_xlnm._FilterDatabase" localSheetId="1" hidden="1">'Indicadores Real'!$A$2:$S$67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6" i="2" l="1"/>
  <c r="P64" i="2"/>
  <c r="P62" i="2"/>
  <c r="S59" i="2"/>
  <c r="P59" i="2"/>
  <c r="P55" i="2"/>
  <c r="S48" i="2"/>
  <c r="P48" i="2"/>
  <c r="S47" i="2"/>
  <c r="P47" i="2"/>
  <c r="S44" i="2"/>
  <c r="P44" i="2"/>
  <c r="S43" i="2"/>
  <c r="P43" i="2"/>
  <c r="S42" i="2"/>
  <c r="P42" i="2"/>
  <c r="S41" i="2"/>
  <c r="P41" i="2"/>
  <c r="S40" i="2"/>
  <c r="P40" i="2"/>
  <c r="S39" i="2"/>
  <c r="P39" i="2"/>
  <c r="S31" i="2"/>
  <c r="P31" i="2"/>
  <c r="S30" i="2"/>
  <c r="P30" i="2"/>
  <c r="S29" i="2"/>
  <c r="P29" i="2"/>
  <c r="S25" i="2"/>
  <c r="P25" i="2"/>
  <c r="P24" i="2"/>
  <c r="S12" i="2"/>
  <c r="P10" i="2"/>
  <c r="S9" i="2"/>
  <c r="P9" i="2"/>
  <c r="P7" i="2"/>
  <c r="P3" i="2"/>
</calcChain>
</file>

<file path=xl/sharedStrings.xml><?xml version="1.0" encoding="utf-8"?>
<sst xmlns="http://schemas.openxmlformats.org/spreadsheetml/2006/main" count="1394" uniqueCount="320">
  <si>
    <t>Metas Preliminares</t>
  </si>
  <si>
    <t>FACTOR</t>
  </si>
  <si>
    <t>CARACTERÍSTICA</t>
  </si>
  <si>
    <t xml:space="preserve">ACCIÓN DE MEJORA </t>
  </si>
  <si>
    <t>INDICADOR DE RESULTADO O IMPACTO</t>
  </si>
  <si>
    <t>ID Kawak</t>
  </si>
  <si>
    <t>Indicador o Métrica</t>
  </si>
  <si>
    <t>Observación Desempeño</t>
  </si>
  <si>
    <t>Estado</t>
  </si>
  <si>
    <t>Estado de aprobación</t>
  </si>
  <si>
    <t>Formula</t>
  </si>
  <si>
    <t>Fuente</t>
  </si>
  <si>
    <t>Responsable de la gestión</t>
  </si>
  <si>
    <t>PERIODICIDAD DE MEDICIÓN</t>
  </si>
  <si>
    <t>Factor 1. Identidad institucional</t>
  </si>
  <si>
    <t>Característica 1. Coherencia y pertinencia de la misión</t>
  </si>
  <si>
    <t xml:space="preserve">Fortalecer las estrategias y mecanismos de sensibilización y socialización de los elementos identitarios y misionales,  con los estamentos de la comunidad institucional </t>
  </si>
  <si>
    <t>Índice de Favorabilidad sobre la Misión Institucional.</t>
  </si>
  <si>
    <t>Indicador</t>
  </si>
  <si>
    <t>Medición no se realiza en 2026 por lanzamiento del PDI</t>
  </si>
  <si>
    <t>Autoevaluación</t>
  </si>
  <si>
    <t>Aprobado</t>
  </si>
  <si>
    <t>Gerente de Planeación y Gestión / Aseguramiento de la calidad</t>
  </si>
  <si>
    <t>Gerente de Planeación y Gestión/ Gerente de talento humano y comunicaciones</t>
  </si>
  <si>
    <t>Bienal</t>
  </si>
  <si>
    <t>N/A</t>
  </si>
  <si>
    <t>Característica 2. Orientaciones y estrategias del proyecto educativo institucional o lo que haga sus veces</t>
  </si>
  <si>
    <t>Fortalecer las estrategias y mecanismos de sensibilización y socialización del PEI  con los estamentos de la comunidad institucional</t>
  </si>
  <si>
    <t>Índice de Favorabilidad sobre el PEI  Institucional</t>
  </si>
  <si>
    <t>Validar con  Gerencia de planeación y Aseguramiento de la calidad</t>
  </si>
  <si>
    <t>Vicerrectora académica</t>
  </si>
  <si>
    <t>Característica 3. Formación integral y construcción de identidad</t>
  </si>
  <si>
    <t>Fortalecer las estrategias de sensibilización de cara a incrementar la participación de estudiantes en actividades de formación integral curriculares y extracurriculares</t>
  </si>
  <si>
    <t>Participación de estudiantes en Actividades de Formación Integral curricular</t>
  </si>
  <si>
    <t>Pendiente</t>
  </si>
  <si>
    <t>Validar con Vicerrectoría académica y del estudiante</t>
  </si>
  <si>
    <t>Investigación</t>
  </si>
  <si>
    <t>Semestral</t>
  </si>
  <si>
    <t>Participación de estudiantes en Actividades de Formación Integral  extracurricular</t>
  </si>
  <si>
    <t>Centro de Psicología</t>
  </si>
  <si>
    <t>Director de bienestar y huella Grancolombiana</t>
  </si>
  <si>
    <t>Factor 2. Gobierno institucional y transparencia</t>
  </si>
  <si>
    <t>Característica 5. Relación con grupos de interés</t>
  </si>
  <si>
    <t>Promover la participación de los diferentes actores del sistema de aseguramiento de la calidad y el sector externo, que se consideren pertinentes para la construcción del nuevo PDI.</t>
  </si>
  <si>
    <t>Número de estrategias o espacios de relacionamiento con el sector externo
Alianzas
Convenios</t>
  </si>
  <si>
    <t>Característica 6. Rendición de cuentas</t>
  </si>
  <si>
    <t>Mantener espacios de socialización y despliegue de la política de Rendición de Cuentas institucional a toda la comunidad Poli.</t>
  </si>
  <si>
    <t>Participación de la comunidad en la Rendición de Cuentas</t>
  </si>
  <si>
    <t>Crear</t>
  </si>
  <si>
    <t>Creado</t>
  </si>
  <si>
    <t>% de aumento de participación en jornada de rendición de cuentas Virtual- Presencial- Offline</t>
  </si>
  <si>
    <t>Gerente de Planeación y Gestión</t>
  </si>
  <si>
    <t>Anual</t>
  </si>
  <si>
    <t>Nivel de Satisfacción de la Comunidad con la Rendición de Cuentas</t>
  </si>
  <si>
    <t>Promedio de satisfacción de rendición de cuentas</t>
  </si>
  <si>
    <t>Conocimiento de la comunidad del informe de sostenibilidad</t>
  </si>
  <si>
    <t>Nivel de conocimiento de los grupos de interés  del informe de sostenibilidad</t>
  </si>
  <si>
    <t>Estudios Internos</t>
  </si>
  <si>
    <t>Línea Base</t>
  </si>
  <si>
    <t>Factor 3. Desarrollo, gestión y sostenibilidad institucional</t>
  </si>
  <si>
    <t>Característica 8. Procesos de comunicación</t>
  </si>
  <si>
    <t>Fortalecer  el uso de los canales y medios de interlocución para aumentar la participación de los distintos estamentos.</t>
  </si>
  <si>
    <t>Impacto de campañas de Mailing
(Colaboradores, Graduados, Estudiantes)</t>
  </si>
  <si>
    <t>Agregar</t>
  </si>
  <si>
    <t>Dirección de comunicaciones</t>
  </si>
  <si>
    <t>Gerente de talento humano y comunicaciones</t>
  </si>
  <si>
    <t>Apertura de enlaces en mensajes de texto
(Colaboradores, Graduados, Estudiantes)</t>
  </si>
  <si>
    <t>Total Leads por canales de captación</t>
  </si>
  <si>
    <t>Gerencia de mercadeo</t>
  </si>
  <si>
    <t>Característica 10. Recursos de apoyo académico</t>
  </si>
  <si>
    <t>Dimensionamiento y análisis de los recursos actuales del CREA. Ampliar el portafolio de servicios y/o  productos internos y externos</t>
  </si>
  <si>
    <t>Utilización de los estudiantes del CREA</t>
  </si>
  <si>
    <t>Gerente de educación virtual</t>
  </si>
  <si>
    <t>Fortalecer el proceso de comunicación institucional desde la perspectiva de la gestión y la unidad de las áreas.</t>
  </si>
  <si>
    <t>Satisfacción del proceso de comunicaciones</t>
  </si>
  <si>
    <t>Mantener</t>
  </si>
  <si>
    <t>Experiencia</t>
  </si>
  <si>
    <t>Característica 12. Recursos y gestión financiera</t>
  </si>
  <si>
    <t xml:space="preserve">Continuar con el manejo eficiente de los recursos, garantizando la solvencia,  sostenibilidad financiera de la institución, y la asignación de recursos suficientes para el desarrollo de la misión y los planes de mejoramiento </t>
  </si>
  <si>
    <t>% inversión misionales de la institución</t>
  </si>
  <si>
    <t>% Inversión al plan de mejoramiento</t>
  </si>
  <si>
    <t>Ajustar para que se mida la proporción sobre los ingresos</t>
  </si>
  <si>
    <t>Infraestructura Física
Infra estructura Tecnológica
Contenidos Virtuales
Biblioteca CMA
Fortalecimiento Docencia
Inversiones Misionales
Inversiones en bienestar</t>
  </si>
  <si>
    <t>Factor 4. Mejoramiento continuo y autorregulación</t>
  </si>
  <si>
    <t>Característica 13. Cultura de la autoevaluación</t>
  </si>
  <si>
    <t>Continuar robusteciendo los insumos para la toma de decisiones y la mejora continua a partir de las evaluaciones tanto internas como externas, como parte del Sistema integrado de Gestión.</t>
  </si>
  <si>
    <t>Cumplimiento plan de mejoramiento institucional</t>
  </si>
  <si>
    <t>(N° de oportunidades de mejora cerradas derivadas de los ejercicios de autoevaluación/ N° de oportunidades de mejora definidas en el periodo)</t>
  </si>
  <si>
    <t>Gerencia de Planeación y Gestión institucional</t>
  </si>
  <si>
    <t>Director de sistema integrado</t>
  </si>
  <si>
    <t>Característica 14. Procesos de autorregulación</t>
  </si>
  <si>
    <t xml:space="preserve">Continuar fortaleciendo los procesos de auditoría en el marco del modelo de control interno institucional, para monitorear el cumplimiento de políticas, procesos y procedimientos institucionales </t>
  </si>
  <si>
    <t>Efectividad de las acciones derivadas de las oportunidades de mejora</t>
  </si>
  <si>
    <t>(Acciones cerradas calificadas como efectivas ÷ Total de acciones cerradas y evaluadas) × 100</t>
  </si>
  <si>
    <t>Director de control interno</t>
  </si>
  <si>
    <t>Característica 15. Sistema interno de aseguramiento de la calidad</t>
  </si>
  <si>
    <t>Continuar con los ejercicios de apropiación del Sistema Interno de Aseguramiento de la Calidad, manteniendo y mejorando los resultados alcanzados hasta la actualidad.</t>
  </si>
  <si>
    <t>Índice de Apropiación del Sistema Interno de Aseguramiento de la Calidad (SIAC)</t>
  </si>
  <si>
    <t>(Número de personas que conocen  el SIAC / Total de encuestados) * 100</t>
  </si>
  <si>
    <t>Director de aseguramiento de la calidad/ Estudios Internos</t>
  </si>
  <si>
    <t>Vicerrectoría Académica</t>
  </si>
  <si>
    <t>Porcentaje de Programas Acreditables Acreditados</t>
  </si>
  <si>
    <t>(N.º de programas acreditados / Total de programas ofertados) * 100</t>
  </si>
  <si>
    <t>Director de aseguramiento de la calidad</t>
  </si>
  <si>
    <t>Característica 16. Evaluación de directivas, profesores y personal administrativo</t>
  </si>
  <si>
    <t>Continuar con la implementación de la evaluación 360 para administrativos y su articulación con los planes de desarrollo individual.</t>
  </si>
  <si>
    <t>Resultado global administrativos en evaluación 360°</t>
  </si>
  <si>
    <t>Cambio de indicador</t>
  </si>
  <si>
    <t>Resultados evaluación 360°</t>
  </si>
  <si>
    <t xml:space="preserve">Mantener la articulación de los resultados de la evaluación profesoral con los planes de cualificación. </t>
  </si>
  <si>
    <t>Resultados de evaluación de desempeño docente 360°</t>
  </si>
  <si>
    <t>((Puntaje actual - Puntaje anterior) / Puntaje anterior) * 100</t>
  </si>
  <si>
    <t>Dirección de docencia</t>
  </si>
  <si>
    <t>Factor 5. Estructura y procesos académicos</t>
  </si>
  <si>
    <t>Característica 17. Componentes formativos</t>
  </si>
  <si>
    <t>Aplicar instrumentos orientados al  mantenimiento de la gestión, evaluación e innovación curricular.</t>
  </si>
  <si>
    <t>Definición de indicador asociado a la constitución del Modelo de evaluación del aprendizaje en la institución</t>
  </si>
  <si>
    <t>Sesión para identificar medición con Maria Isabel y Maria del Socorro
se valida con Diana y los indicadores se asociaran al aspecto de mejora definido por el CNA en cuanto a la constitución del Modelo de evaluación del aprendizaje en la institución
28 septiembre</t>
  </si>
  <si>
    <t>Dirección de currículo</t>
  </si>
  <si>
    <t>Apropiación del modelo de gestión, evaluación e innovación curricular</t>
  </si>
  <si>
    <t>Sesión con Diana
se propone indicador asociado con la apropiación del modelo de gestión, evaluación e innovación curricular
28 septiembre</t>
  </si>
  <si>
    <t>Fortalecer el sistema de Saber  Pro y su uso como mecanismo de mejoramiento de la calidad académica.</t>
  </si>
  <si>
    <t>Resultados Institucionales Prueba Saber Pro</t>
  </si>
  <si>
    <t>Propuesta de reemplazar con métrica, pero esta no mide resultado o impacto 
Se propone utilizar fuentes oficiales del Icfes</t>
  </si>
  <si>
    <t>(Resultado Saber Pro- Resultado Saber 11)</t>
  </si>
  <si>
    <t xml:space="preserve">Modelo </t>
  </si>
  <si>
    <t>Decano FIDI</t>
  </si>
  <si>
    <t>Característica 19. Componente de interacción y relevancia social</t>
  </si>
  <si>
    <t>Continuar con la evaluación periódica del estudio de factibilidad y pertinencia de los programas académicos, para responder a los cambios del contexto y las demandas propias local, regional y global.</t>
  </si>
  <si>
    <t>Número de programas con estudio de factibilidad y pertinencia</t>
  </si>
  <si>
    <t>Dirección de Aseguramiento de la Calidad</t>
  </si>
  <si>
    <t>Director de Aseguramiento de la Calidad</t>
  </si>
  <si>
    <t>Característica 20. Procesos de creación, modificación y ampliación de programas académicos</t>
  </si>
  <si>
    <t>Realizar seguimiento y evaluación del portafolio  académico.</t>
  </si>
  <si>
    <t>Número de programas nuevos con registro calificado aprobado</t>
  </si>
  <si>
    <t>Número de programas con renovación de registro calificado</t>
  </si>
  <si>
    <t>Factor 6. Aportes de la investigación, la innovación, el desarrollo tecnológico y la creación</t>
  </si>
  <si>
    <t>Característica 21. Formación para la investigación, creación e innovación</t>
  </si>
  <si>
    <t xml:space="preserve">Continuar fortaleciendo la investigación, innovación y creación, acorde con la naturaleza de la institución </t>
  </si>
  <si>
    <t>Estudiantes vinculados en actividades de investigación</t>
  </si>
  <si>
    <t>Se valida con investigación y esta información se reporta completa en ADA y Boletín</t>
  </si>
  <si>
    <t>(N° estudiantes vinculados a investigación / N° total estudiantes matriculados)*100</t>
  </si>
  <si>
    <t>Dirección de investigación, innovación y creación</t>
  </si>
  <si>
    <t>Característica 22. Investigación, desarrollo tecnológico, innovación y creación</t>
  </si>
  <si>
    <t>% de grupos de investigación  clasificados en A1, A y B</t>
  </si>
  <si>
    <t>Número de proyectos de investigación de Innovación y Creación con impacto</t>
  </si>
  <si>
    <t>El proceso propone proyectos con impacto pero no solo con impacto social
Propuesta: Número de proyectos de investigación, Innovación y Creación con impacto</t>
  </si>
  <si>
    <t>Bianual</t>
  </si>
  <si>
    <t>Número de productos de Nuevo conocimiento, desarrollo tecnológico, innovación y creación que impacten en la enseñanza y el aprendizaje por grupo de investigación</t>
  </si>
  <si>
    <t>El proceso informa que la institución no tiene programas que enfoquen sus proyectos al impacto ambiental
Propuesta: Número de proyectos de investigación, Innovación y Creación con impacto</t>
  </si>
  <si>
    <t>% de profesores TC clasificados como investigadores en Minciencias</t>
  </si>
  <si>
    <t>Factor 7. Impacto social</t>
  </si>
  <si>
    <t>Característica 24. Impacto cultural y artístico</t>
  </si>
  <si>
    <t>Actualizar, implementar y socializar la nueva política de extensión y proyección social</t>
  </si>
  <si>
    <t>Tasa de Participación en actividades de Extensión</t>
  </si>
  <si>
    <t>Validar con 
Educacion continua, prácticas
Línea de educación e innovación
Impacto Social y desarrollo comunitario
Emprendimiento y Promoción de la empleabilidad
Investigación y transferencia de conocimiento
Se enviará formulario de caracterización de acciones de extensión, analisis de capitalización de recursos y  se establecerá comite extensión</t>
  </si>
  <si>
    <t>(N° de estudiantes participantes en actividades de Extensión y proyección social/ Total de estudiantes)*100 Bogotá - Virtual</t>
  </si>
  <si>
    <t xml:space="preserve">Actualizar, implementar y socializar la nueva política de extensión y proyección social, </t>
  </si>
  <si>
    <t xml:space="preserve">Participación ingresos por extensión (Consultorías, alquiler de espacios, prestación de servicios, centros de investigación entre otros) / total ingresos </t>
  </si>
  <si>
    <t>Validar con financiera para crearlo</t>
  </si>
  <si>
    <t>Factor 8. Visibilidad nacional e internacional</t>
  </si>
  <si>
    <t>Característica 25. Inserción de la institución en contextos académicos nacionales e internacionales</t>
  </si>
  <si>
    <t>Mejorar el  proceso de visibilidad nacional e internacional integrando un sistema de información que permita la  recolección, sistematización, seguimiento y generación de reportes.</t>
  </si>
  <si>
    <t>Convenios, alianzas activas con actividades en los últimos 5 años</t>
  </si>
  <si>
    <t>N de convenios con actividades en los últimos 5 años / Total convenios</t>
  </si>
  <si>
    <t>Dirección ORII</t>
  </si>
  <si>
    <t xml:space="preserve">Continuar fortaleciendo los planes y programas articulados al proceso de la ORII.  </t>
  </si>
  <si>
    <t xml:space="preserve">Actividades de Cooperación en Internacionalización </t>
  </si>
  <si>
    <t>N° de actividades de cooperación e  internacionalización en Bogotá y virtual</t>
  </si>
  <si>
    <t>Característica 26. Relaciones externas de profesores y estudiantes</t>
  </si>
  <si>
    <t>Participación de estudiantes externos invitados a actividades de cooperación nacional  e internacional</t>
  </si>
  <si>
    <t>N° Estudiantes  externos invitados a actividades de cooperación Nacional e internacional de Bogotá y virtual</t>
  </si>
  <si>
    <t>Participación de estudiantes POLI en actividades de cooperación e internacionalización</t>
  </si>
  <si>
    <t>No. de estudiantes POLI de Bogotá y virtual en actividades de cooperación e internacionalización</t>
  </si>
  <si>
    <t>Participación de profesores POLI en actividades de cooperación e internacionalización</t>
  </si>
  <si>
    <t>No. de profesores POLI de Bogotá y virtual en actividades de cooperación e internacionalización</t>
  </si>
  <si>
    <t>Participación de profesores externos invitados a actividades de cooperación e internacionalización</t>
  </si>
  <si>
    <t>No. de profesores externos invitados a actividades de cooperación e internacionalización en Bogotá y virtual</t>
  </si>
  <si>
    <t>Factor 9. Bienestar institucional</t>
  </si>
  <si>
    <t>Característica 27. Estructura y funcionamiento del bienestar institucional</t>
  </si>
  <si>
    <t>Actualizar, socializar e implementar el modelo de Bienestar Institucional.</t>
  </si>
  <si>
    <t>Tasa de participación en actividades de bienestar (Cultura, Deporte y Salud) Separado/ Consolidado
Estudiantes,  colaboradores y profesores</t>
  </si>
  <si>
    <t>(Número de participantes en actividades de bienestar / Número total de miembros de la comunidad)*100</t>
  </si>
  <si>
    <t>Dirección de bienestar y huella grancolombiana</t>
  </si>
  <si>
    <t>Índice de impacto Psicosocial de las actividades de bienestar</t>
  </si>
  <si>
    <t>Resultados instrumentos de satisfacción</t>
  </si>
  <si>
    <t xml:space="preserve">Definir estrategias de impacto institucional en la región, y en la comunidad virtual </t>
  </si>
  <si>
    <t>Satisfacción de la comunidad virtual con las actividades de bienestar realizadas (Instrumento de experiencia)
Nivel de Satisfacción Servicios Prestados -Servicio de Salud</t>
  </si>
  <si>
    <t>Desglosar por modalidad</t>
  </si>
  <si>
    <t>Nivel de satisfacción</t>
  </si>
  <si>
    <t>CX</t>
  </si>
  <si>
    <t>Medico</t>
  </si>
  <si>
    <t>Satisfacción de la comunidad virtual con las actividades de bienestar realizadas (Instrumento de experiencia)
Nivel de Satisfacción Servicios Prestados -Cultura y deportes</t>
  </si>
  <si>
    <t>Jefe de cultura y deporte</t>
  </si>
  <si>
    <t>Cobertura de actividades de bienestar institucional por modalidad virtual y regiones</t>
  </si>
  <si>
    <t>(N.º de actividades realizadas para modalidad virtual o regiones / N.º total de actividades de bienestar) × 100</t>
  </si>
  <si>
    <t>Factor 10. Comunidad de profesores</t>
  </si>
  <si>
    <t>Característica 28. Derechos y deberes de los profesores</t>
  </si>
  <si>
    <t>Adelantar espacios de sensibilización y apropiación del reglamento profesoral.</t>
  </si>
  <si>
    <t>Cobertura de socialización del reglamento docente a profesores nuevos</t>
  </si>
  <si>
    <t>(N° de profesores nuevos que participan en la socialización del reglamento/ Total de profesores nuevos del periodo)*100</t>
  </si>
  <si>
    <t>Característica 29. Planta profesoral</t>
  </si>
  <si>
    <t>Continuar con la implementación del proyecto de fortalecimiento de planta profesoral.</t>
  </si>
  <si>
    <t>Relación docente/estudiante
(Bogotá- Virtual) - Contrato indefinido y fijo anualizado</t>
  </si>
  <si>
    <t>(Número total de estudiantes / Número total de docentes con contrato indefinido y fijo superior a 11 meses (Bogotá y virtual))*100</t>
  </si>
  <si>
    <t>Característica 31. Desarrollo profesoral</t>
  </si>
  <si>
    <t>Continuar fortaleciendo el Plan de Desarrollo Docente, alineado con la evaluación 360</t>
  </si>
  <si>
    <t>% Profesores que participan en programas de formación</t>
  </si>
  <si>
    <t>(% Profesores que participaron en programas de formación/ Total de profesores tiempo completo y medio tiempo)*100</t>
  </si>
  <si>
    <t>Dirección de formación</t>
  </si>
  <si>
    <t>Característica 32. Interacción académica de los profesores</t>
  </si>
  <si>
    <t>Continuar fortaleciendo el nivel de inglés en los profesores</t>
  </si>
  <si>
    <t>Porcentaje de Docentes con clasificación de ingles en C1, C2, B1 o B2</t>
  </si>
  <si>
    <t>N.º de docentes que participan en programas de fomento al multilingüismo/ Total de profesores tiempo completo y medio tiempo</t>
  </si>
  <si>
    <t>Factor 11. Comunidad de estudiantes</t>
  </si>
  <si>
    <t>Característica 33. Derechos y deberes de los estudiantes</t>
  </si>
  <si>
    <t>Implementar las campañas de comunicación para dar a conocer el reglamento estudiantil de forma permanente  y pertinente según el ciclo de vida del estudiante con la institución, por hitos definidos.</t>
  </si>
  <si>
    <t>N° de estudiantes impactados por las campañas de comunicación de reglamento estudiantil</t>
  </si>
  <si>
    <t>Característica 34. Admisión y permanencia de estudiantes</t>
  </si>
  <si>
    <t xml:space="preserve">Implementación del modelo de experiencia en el proceso de admisión y matricula de estudiantes nuevos </t>
  </si>
  <si>
    <t xml:space="preserve">Medición de la experiencia del proceso de inscripción, admisión y matriculas </t>
  </si>
  <si>
    <t>Resultado instrumento de satisfacción</t>
  </si>
  <si>
    <t>Dirección de experiencia</t>
  </si>
  <si>
    <t>Gerencia de matriculas</t>
  </si>
  <si>
    <t xml:space="preserve">Implementar un proceso de acompañamiento a estudiantes de primer año que busca orientar a los estudiantes en todas las etapas de su vida académica para mejorar su adaptación, lo que impacta positivamente en su permanencia. .Igualmente para los estudiantes antiguos se implementará un plan de acción que  fortalezca el acompañamiento académico y administrativo, con el fin de favorecer la graduación oportuna.     </t>
  </si>
  <si>
    <t>% Permanencia intersemestral</t>
  </si>
  <si>
    <t>(Número de estudiantes rematriculados + egresados/Número de estudiantes matriculados en el periodo anterior)*100</t>
  </si>
  <si>
    <t>Gerencia de servicio y permanencia</t>
  </si>
  <si>
    <t>ANUAL</t>
  </si>
  <si>
    <t>Tasa de deserción anual en SPADIES
Tasa de deserción acumulada cohorte</t>
  </si>
  <si>
    <t>Tasa de graduación  - Interno
Modalidad y nivel</t>
  </si>
  <si>
    <t>Métrica</t>
  </si>
  <si>
    <t>% Permanencia intersemestral Ingresantes</t>
  </si>
  <si>
    <t>(Número de estudiantes que desertan en el primer año / Número total de estudiantes matriculados en primer año) * 100</t>
  </si>
  <si>
    <t>Característica 35. Estímulos y apoyos para estudiantes</t>
  </si>
  <si>
    <t>(Avanzar en la estructuración de un sistema que permita actualizar los descuentos de forma masiva y flexible.) Consolidar las diferentes estrategias, estímulos y apoyos institucionales  para el estudiante</t>
  </si>
  <si>
    <t>Porcentaje de Estudiantes beneficiados por Becas y apoyos financieros</t>
  </si>
  <si>
    <t>(Número de estudiantes con becas y apoyos financieros / Total de estudiantes ) × 100</t>
  </si>
  <si>
    <t>Servicio</t>
  </si>
  <si>
    <t>Validar</t>
  </si>
  <si>
    <t>Factor 12. Comunidad de egresados</t>
  </si>
  <si>
    <t>Característica 36. Seguimiento a egresados</t>
  </si>
  <si>
    <t>Actualizar el modelo e Implementar la plataforma de seguimiento a graduados
Documentar, implementar, analizar y socializar los resultados del modelo de seguimiento al graduado
Fomentar la oferta académica institucional.</t>
  </si>
  <si>
    <t>Tasa de Participación de graduados en instrumentos de Seguimiento
M0-M1-M5</t>
  </si>
  <si>
    <t>Porcentaje de participación de graduados en los instrumentos
de seguimiento
M0-M1_M5</t>
  </si>
  <si>
    <t>Dirección de graduados</t>
  </si>
  <si>
    <t>M0:  90% tasa de respuesta
M1: 9% tasa de respuesta
M5: 3,5% tasa de respuesta</t>
  </si>
  <si>
    <t>Característica 37. Egresados y programas académicos</t>
  </si>
  <si>
    <t>Fortalecimiento del modelo de seguimiento, a  través de REA  y análisis de la información de los instrumentos</t>
  </si>
  <si>
    <t>Tasa de empleabilidad de recién graduados de pregrado</t>
  </si>
  <si>
    <t>% de cotización del graduado</t>
  </si>
  <si>
    <t>Fortalecimiento del modelo de seguimiento, a  través de REA  y análisis de la información de los instrumentos
Estructurar estrategias desde las facultades que evidencien la participación de los graduados y empresas en los diferentes espacios institucionales</t>
  </si>
  <si>
    <t>% de Participación de graduados en actividades de empleabilidad y relacionamiento de los ultimos 5 años
Eje (Empleabilidad, relacionamiento, seguimiento al graduado.)
Actividad (Emprendimiento, formación etc.</t>
  </si>
  <si>
    <t>Propuesta de limitar la línea base de los últimos 5 años</t>
  </si>
  <si>
    <t>Número de egresados que participan en actividades institucionales</t>
  </si>
  <si>
    <t>Característica 38. Relación de los egresados con la institución</t>
  </si>
  <si>
    <t>Articulación  de las estrategias actuales y prospectivas en un plan Estratégico de Comunicaciones para la socialización del portafolio de servicios y beneficios de los Graduados</t>
  </si>
  <si>
    <t xml:space="preserve">Nivel de Satisfacción del graduado con la institución </t>
  </si>
  <si>
    <t>Resultado de satisfacción de graduados</t>
  </si>
  <si>
    <t>Disponibilidad de servicios tecnológicos</t>
  </si>
  <si>
    <t>Gerencia de tecnología</t>
  </si>
  <si>
    <t>Indicador o Metrica</t>
  </si>
  <si>
    <t>Meta
2025</t>
  </si>
  <si>
    <t>Ejecución 2025</t>
  </si>
  <si>
    <t>% Cump
2025</t>
  </si>
  <si>
    <t>Meta
2026</t>
  </si>
  <si>
    <t>Ejecución 2026</t>
  </si>
  <si>
    <t>% Cump
2026</t>
  </si>
  <si>
    <t>Validar con Vicerrectoría academica y del estudiante</t>
  </si>
  <si>
    <t>Centro de Psicologia</t>
  </si>
  <si>
    <t>Participación de Grupos de Interés en la construcción del nuevo plan de desarrollo (PDI)</t>
  </si>
  <si>
    <t>Número de participantes por estamento</t>
  </si>
  <si>
    <t>Planeación Estratégica</t>
  </si>
  <si>
    <t>pendiente</t>
  </si>
  <si>
    <t>Nivel de conocimiento de los grupos de interes  del informe de sostenibilidad</t>
  </si>
  <si>
    <t>Linea Base</t>
  </si>
  <si>
    <t>Colaboradores: 2% 
Estudiantes: 3% 
Graduados: 2%</t>
  </si>
  <si>
    <t>Crecimiento de Ingresos de portafolio de Extensión</t>
  </si>
  <si>
    <t>Inversion al plan de mejoramiento</t>
  </si>
  <si>
    <t>Infraestructura Fisica
Infra estructura Tecnologica
Contenidos Virtuales
Biblioteca CMA
Fortalecimiento Docencia
Inversiones Misionales
Inversiones en bienestar</t>
  </si>
  <si>
    <t>(N° de oportunidades de mejora cerradas derivadas de los ejercicios de autoevaluación/ N° de oportunidades de mejora defininas en el periodo)</t>
  </si>
  <si>
    <t>Cobertura de procesos auditados POLISIGS</t>
  </si>
  <si>
    <t>N° de procesos auditados</t>
  </si>
  <si>
    <t>Director de auditoria</t>
  </si>
  <si>
    <t>100% de procesos implementados en el Sistema de gestión integrado</t>
  </si>
  <si>
    <t>(Nº de programas acreditados / Total de programas ofertados) * 100</t>
  </si>
  <si>
    <t>Nùmero participantes en  Procesos formación permanente desarrollados desde el SIAC</t>
  </si>
  <si>
    <t>Metrica</t>
  </si>
  <si>
    <t>Se ajusta nombre del indicador de acuerdo a recomendación</t>
  </si>
  <si>
    <t>(Nº de miembros del SIAC que participaron / Total de miembros del SIAC) * 100</t>
  </si>
  <si>
    <t>Por definir- Pendiente Implementación de instrumentos
Modelo de gestión, evaluación e innovación curricular</t>
  </si>
  <si>
    <t>Sesion para identificar medición con Maria Isabel y Maria del Socorro</t>
  </si>
  <si>
    <t>Gestión de unidades académicas</t>
  </si>
  <si>
    <t>Valor agregado en la pruebas Saber Pro Institucional- Modelo PSM</t>
  </si>
  <si>
    <t>Propuesta de reemplazar con metrica, pero esta no mide resultado o impacto 
Se propone utilizar fuentes oficiales del Icfes</t>
  </si>
  <si>
    <t>Se valida con investigación y esta información se reporta completa en ADA y Boletin</t>
  </si>
  <si>
    <t>Validar con vicerrectoria academica y del estudiante</t>
  </si>
  <si>
    <t>Participación de la comunidad en actividades de cultura y deporte</t>
  </si>
  <si>
    <t>Validar  Indicadores porque se debe medir el impacto a otros grupos de interes</t>
  </si>
  <si>
    <t>N° de estudiantes participantes en actividades de cultura y deporte</t>
  </si>
  <si>
    <t xml:space="preserve">Participación ingresos por extensión (Consultorias, alquiler de espacios, prestación de servicios, centros de investigación entre otros) / total ingresos </t>
  </si>
  <si>
    <t>N de convenios con actividades en los ultimos 5 años / Total convenios</t>
  </si>
  <si>
    <t>N° Estudiantes estudiantes externos invitados a actividades de cooperación Nacional e internacional de Bogotá y virtual</t>
  </si>
  <si>
    <t>Indice de impacto Psicosocial de las actividades de bienestar</t>
  </si>
  <si>
    <t>Participación de profesores TC y MT/ Total de profesores (Personas)</t>
  </si>
  <si>
    <t>Gestión docente informa que son metricas no indicadores</t>
  </si>
  <si>
    <t>(N° de profesores tiempo completo año actual/ N° de profesores tiempo completo año anterior)*100</t>
  </si>
  <si>
    <t>Definir % de crecimiento</t>
  </si>
  <si>
    <t>Proporción de profesores con nivel de formación (Maestria y Doctorado)</t>
  </si>
  <si>
    <t>(N° de profesores con maestria y doctorado / N° total de profesores)*100</t>
  </si>
  <si>
    <t>Característica 30. Trayectoria profesoral</t>
  </si>
  <si>
    <t>Implementación de estrategias de categorización de acuerdo a la reglamentación interna y al presupuesto.</t>
  </si>
  <si>
    <t>N° de cupos aprobados para el escalafon docente</t>
  </si>
  <si>
    <t>Sugerencia mantener como indicador del proceso , como tiene dependencia financiera no tener en cuenta para plan de mejoramiento</t>
  </si>
  <si>
    <t>(N° de profesores con escalafon docente/N° de cupos aprobados para el escalafon docente)*100</t>
  </si>
  <si>
    <t>Tasa de empleabilidad de recièn graduados de pregrado</t>
  </si>
  <si>
    <t>% de Participación de graduados en actividades de empleabilidad y relacionamiento
Eje (Empleabilidad, relacionamiento, seguimiento al graduado.)
Actividad (Emprendimiento, formación etc.</t>
  </si>
  <si>
    <t>Propuesta de limitar la linea base de los ultimos 5 años</t>
  </si>
  <si>
    <t>Nivel de Satisfacción del graduado con la institución (Experiencia)</t>
  </si>
  <si>
    <t>Resultadode satisfacción de graduados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</si>
</sst>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_-* #,##0_-;\-* #,##0_-;_-* &quot;-&quot;??_-;_-@_-"/>
    <numFmt numFmtId="165" formatCode="0.0%"/>
  </numFmts>
  <fonts count="22" x14ac:knownFonts="1">
    <font>
      <sz val="11"/>
      <color theme="1"/>
      <name val="Aptos Narrow"/>
      <family val="2"/>
      <scheme val="minor"/>
    </font>
    <font>
      <sz val="11"/>
      <color theme="1"/>
      <name val="Aptos Narrow"/>
      <family val="2"/>
      <scheme val="minor"/>
    </font>
    <font>
      <sz val="11"/>
      <color rgb="FF000000"/>
      <name val="Aptos Narrow"/>
      <family val="2"/>
      <scheme val="minor"/>
    </font>
    <font>
      <sz val="12"/>
      <color theme="1"/>
      <name val="Aptos Narrow"/>
      <family val="2"/>
      <scheme val="minor"/>
    </font>
    <font>
      <b/>
      <sz val="14"/>
      <color theme="0"/>
      <name val="Aptos Narrow"/>
      <family val="2"/>
      <scheme val="minor"/>
    </font>
    <font>
      <b/>
      <sz val="12"/>
      <color rgb="FFFFFFFF"/>
      <name val="Aptos Narrow"/>
      <family val="2"/>
      <scheme val="minor"/>
    </font>
    <font>
      <b/>
      <sz val="12"/>
      <color rgb="FF002060"/>
      <name val="Aptos Narrow"/>
      <family val="2"/>
      <scheme val="minor"/>
    </font>
    <font>
      <b/>
      <sz val="14"/>
      <color rgb="FFFFFFFF"/>
      <name val="Aptos Narrow"/>
      <family val="2"/>
      <scheme val="minor"/>
    </font>
    <font>
      <sz val="12"/>
      <color rgb="FF000000"/>
      <name val="Aptos Narrow"/>
      <family val="2"/>
      <scheme val="minor"/>
    </font>
    <font>
      <sz val="12"/>
      <color rgb="FFFF0000"/>
      <name val="Aptos Narrow"/>
      <family val="2"/>
      <scheme val="minor"/>
    </font>
    <font>
      <b/>
      <sz val="12"/>
      <color rgb="FF002060"/>
      <name val="Inter"/>
      <family val="2"/>
    </font>
    <font>
      <sz val="12"/>
      <color rgb="FF002060"/>
      <name val="Inter"/>
      <family val="2"/>
    </font>
    <font>
      <sz val="12"/>
      <color rgb="FF002060"/>
      <name val="Aptos Narrow"/>
      <family val="2"/>
      <scheme val="minor"/>
    </font>
    <font>
      <sz val="12"/>
      <color theme="1"/>
      <name val="Calibri Light"/>
      <family val="2"/>
    </font>
    <font>
      <b/>
      <sz val="12"/>
      <color rgb="FFFF0000"/>
      <name val="Calibri Light"/>
      <family val="2"/>
    </font>
    <font>
      <sz val="12"/>
      <color rgb="FFFF0000"/>
      <name val="Calibri Light"/>
      <family val="2"/>
    </font>
    <font>
      <b/>
      <sz val="12"/>
      <color rgb="FF000000"/>
      <name val="Calibri Light"/>
      <family val="2"/>
    </font>
    <font>
      <sz val="12"/>
      <color rgb="FF000000"/>
      <name val="Calibri Light"/>
      <family val="2"/>
    </font>
    <font>
      <b/>
      <sz val="12"/>
      <color rgb="FF000000"/>
      <name val="Aptos Narrow"/>
      <family val="2"/>
      <scheme val="minor"/>
    </font>
    <font>
      <b/>
      <sz val="12"/>
      <color rgb="FF00B0F0"/>
      <name val="Calibri Light"/>
      <family val="2"/>
    </font>
    <font>
      <sz val="11"/>
      <color rgb="FF002060"/>
      <name val="Inter"/>
      <family val="2"/>
    </font>
    <font>
      <b/>
      <sz val="10"/>
      <color rgb="FF002060"/>
      <name val="Inter"/>
      <family val="2"/>
    </font>
  </fonts>
  <fills count="22">
    <fill>
      <patternFill patternType="none"/>
    </fill>
    <fill>
      <patternFill patternType="gray125"/>
    </fill>
    <fill>
      <patternFill patternType="solid">
        <fgColor rgb="FF0070C0"/>
        <bgColor indexed="64"/>
      </patternFill>
    </fill>
    <fill>
      <patternFill patternType="solid">
        <fgColor rgb="FF0B3040"/>
        <bgColor rgb="FF000000"/>
      </patternFill>
    </fill>
    <fill>
      <patternFill patternType="solid">
        <fgColor rgb="FF00B0F0"/>
        <bgColor rgb="FF000000"/>
      </patternFill>
    </fill>
    <fill>
      <patternFill patternType="solid">
        <fgColor rgb="FF0070C0"/>
        <bgColor rgb="FF000000"/>
      </patternFill>
    </fill>
    <fill>
      <patternFill patternType="solid">
        <fgColor theme="8" tint="-0.249977111117893"/>
        <bgColor rgb="FF000000"/>
      </patternFill>
    </fill>
    <fill>
      <patternFill patternType="solid">
        <fgColor theme="7" tint="0.39997558519241921"/>
        <bgColor rgb="FF000000"/>
      </patternFill>
    </fill>
    <fill>
      <patternFill patternType="solid">
        <fgColor theme="7" tint="0.39997558519241921"/>
        <bgColor indexed="64"/>
      </patternFill>
    </fill>
    <fill>
      <patternFill patternType="solid">
        <fgColor theme="3" tint="0.249977111117893"/>
        <bgColor rgb="FF000000"/>
      </patternFill>
    </fill>
    <fill>
      <patternFill patternType="solid">
        <fgColor theme="3"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4DCF8"/>
        <bgColor rgb="FF000000"/>
      </patternFill>
    </fill>
    <fill>
      <patternFill patternType="solid">
        <fgColor theme="0"/>
        <bgColor rgb="FF000000"/>
      </patternFill>
    </fill>
    <fill>
      <patternFill patternType="solid">
        <fgColor rgb="FFFFC000"/>
        <bgColor indexed="64"/>
      </patternFill>
    </fill>
    <fill>
      <patternFill patternType="solid">
        <fgColor rgb="FFFFE1F7"/>
        <bgColor indexed="64"/>
      </patternFill>
    </fill>
    <fill>
      <patternFill patternType="solid">
        <fgColor rgb="FFFFFFFF"/>
        <bgColor rgb="FF000000"/>
      </patternFill>
    </fill>
    <fill>
      <patternFill patternType="solid">
        <fgColor theme="8" tint="0.79998168889431442"/>
        <bgColor indexed="64"/>
      </patternFill>
    </fill>
    <fill>
      <patternFill patternType="solid">
        <fgColor theme="7" tint="0.59999389629810485"/>
        <bgColor indexed="64"/>
      </patternFill>
    </fill>
    <fill>
      <patternFill patternType="solid">
        <fgColor theme="8" tint="0.59999389629810485"/>
        <bgColor indexed="64"/>
      </patternFill>
    </fill>
  </fills>
  <borders count="8">
    <border>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D0009A"/>
      </left>
      <right style="thin">
        <color rgb="FFD0009A"/>
      </right>
      <top style="thin">
        <color rgb="FFD0009A"/>
      </top>
      <bottom style="thin">
        <color rgb="FFD0009A"/>
      </bottom>
      <diagonal/>
    </border>
  </borders>
  <cellStyleXfs count="4">
    <xf numFmtId="0" fontId="0" fillId="0" borderId="0"/>
    <xf numFmtId="43" fontId="1" fillId="0" borderId="0"/>
    <xf numFmtId="9" fontId="1" fillId="0" borderId="0"/>
    <xf numFmtId="0" fontId="3" fillId="0" borderId="0"/>
  </cellStyleXfs>
  <cellXfs count="151">
    <xf numFmtId="0" fontId="0" fillId="0" borderId="0" xfId="0"/>
    <xf numFmtId="0" fontId="2" fillId="0" borderId="0" xfId="0" applyFont="1" applyAlignment="1">
      <alignment wrapText="1"/>
    </xf>
    <xf numFmtId="0" fontId="0" fillId="0" borderId="0" xfId="0" applyAlignment="1">
      <alignment wrapText="1"/>
    </xf>
    <xf numFmtId="0" fontId="5" fillId="3" borderId="3" xfId="0" applyFont="1" applyFill="1" applyBorder="1" applyAlignment="1">
      <alignment horizontal="justify" vertical="distributed" wrapText="1"/>
    </xf>
    <xf numFmtId="0" fontId="5" fillId="3" borderId="3" xfId="0" applyFont="1" applyFill="1" applyBorder="1" applyAlignment="1">
      <alignment horizontal="justify" vertical="center" wrapText="1"/>
    </xf>
    <xf numFmtId="0" fontId="6" fillId="4" borderId="3" xfId="0" applyFont="1" applyFill="1" applyBorder="1" applyAlignment="1">
      <alignment horizontal="justify" vertical="center" wrapText="1"/>
    </xf>
    <xf numFmtId="0" fontId="5" fillId="5" borderId="3" xfId="0" applyFont="1" applyFill="1" applyBorder="1" applyAlignment="1">
      <alignment horizontal="justify" vertical="center" wrapText="1"/>
    </xf>
    <xf numFmtId="0" fontId="5" fillId="6" borderId="3" xfId="0" applyFont="1" applyFill="1" applyBorder="1" applyAlignment="1">
      <alignment horizontal="justify" vertical="center" wrapText="1"/>
    </xf>
    <xf numFmtId="0" fontId="5" fillId="5" borderId="3"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4" fillId="8" borderId="3" xfId="3" applyFont="1" applyFill="1" applyBorder="1" applyAlignment="1">
      <alignment horizontal="center" vertical="center" wrapText="1"/>
    </xf>
    <xf numFmtId="0" fontId="7" fillId="9" borderId="3" xfId="0" applyFont="1" applyFill="1" applyBorder="1" applyAlignment="1">
      <alignment horizontal="center" vertical="center" wrapText="1"/>
    </xf>
    <xf numFmtId="0" fontId="4" fillId="10" borderId="3" xfId="3" applyFont="1" applyFill="1" applyBorder="1" applyAlignment="1">
      <alignment horizontal="center" vertical="center" wrapText="1"/>
    </xf>
    <xf numFmtId="0" fontId="7" fillId="5" borderId="3" xfId="0" applyFont="1" applyFill="1" applyBorder="1" applyAlignment="1">
      <alignment horizontal="center" vertical="center" wrapText="1"/>
    </xf>
    <xf numFmtId="0" fontId="8" fillId="0" borderId="3" xfId="0" applyFont="1" applyBorder="1" applyAlignment="1">
      <alignment horizontal="justify" vertical="center" wrapText="1"/>
    </xf>
    <xf numFmtId="0" fontId="9" fillId="0" borderId="3" xfId="0" applyFont="1" applyBorder="1" applyAlignment="1">
      <alignment horizontal="justify" vertical="center" wrapText="1"/>
    </xf>
    <xf numFmtId="0" fontId="10" fillId="11" borderId="3" xfId="0" applyFont="1" applyFill="1" applyBorder="1" applyAlignment="1">
      <alignment horizontal="center" vertical="center" wrapText="1"/>
    </xf>
    <xf numFmtId="0" fontId="11" fillId="11" borderId="3" xfId="0" applyFont="1" applyFill="1" applyBorder="1" applyAlignment="1">
      <alignment horizontal="center" vertical="center" wrapText="1"/>
    </xf>
    <xf numFmtId="0" fontId="11" fillId="0" borderId="3" xfId="0" applyFont="1" applyBorder="1" applyAlignment="1">
      <alignment horizontal="center" vertical="center" wrapText="1"/>
    </xf>
    <xf numFmtId="0" fontId="11" fillId="0" borderId="3" xfId="0" applyFont="1" applyBorder="1" applyAlignment="1">
      <alignment horizontal="justify" vertical="center" wrapText="1"/>
    </xf>
    <xf numFmtId="0" fontId="12" fillId="0" borderId="3" xfId="0" applyFont="1" applyBorder="1" applyAlignment="1">
      <alignment horizontal="center" vertical="center" wrapText="1"/>
    </xf>
    <xf numFmtId="9" fontId="11" fillId="0" borderId="3" xfId="0" applyNumberFormat="1" applyFont="1" applyBorder="1" applyAlignment="1">
      <alignment horizontal="justify" vertical="center" wrapText="1"/>
    </xf>
    <xf numFmtId="9" fontId="11" fillId="12" borderId="3" xfId="0" applyNumberFormat="1" applyFont="1" applyFill="1" applyBorder="1" applyAlignment="1">
      <alignment horizontal="justify" vertical="center" wrapText="1"/>
    </xf>
    <xf numFmtId="0" fontId="11" fillId="12" borderId="3" xfId="0" applyFont="1" applyFill="1" applyBorder="1" applyAlignment="1">
      <alignment horizontal="justify" vertical="center" wrapText="1"/>
    </xf>
    <xf numFmtId="9" fontId="10" fillId="0" borderId="3" xfId="0" applyNumberFormat="1" applyFont="1" applyBorder="1" applyAlignment="1">
      <alignment horizontal="justify" vertical="center" wrapText="1"/>
    </xf>
    <xf numFmtId="0" fontId="8" fillId="0" borderId="4" xfId="0" applyFont="1" applyBorder="1" applyAlignment="1">
      <alignment horizontal="justify" vertical="center" wrapText="1"/>
    </xf>
    <xf numFmtId="0" fontId="10" fillId="11" borderId="4" xfId="0" applyFont="1" applyFill="1" applyBorder="1" applyAlignment="1">
      <alignment horizontal="center" vertical="center" wrapText="1"/>
    </xf>
    <xf numFmtId="0" fontId="11" fillId="11" borderId="4" xfId="0" applyFont="1" applyFill="1" applyBorder="1" applyAlignment="1">
      <alignment horizontal="center" vertical="center" wrapText="1"/>
    </xf>
    <xf numFmtId="0" fontId="11" fillId="0" borderId="4" xfId="0" applyFont="1" applyBorder="1" applyAlignment="1">
      <alignment horizontal="center" vertical="center" wrapText="1"/>
    </xf>
    <xf numFmtId="0" fontId="11" fillId="0" borderId="4" xfId="0" applyFont="1" applyBorder="1" applyAlignment="1">
      <alignment horizontal="justify" vertical="center" wrapText="1"/>
    </xf>
    <xf numFmtId="0" fontId="9" fillId="0" borderId="4" xfId="0" applyFont="1" applyBorder="1" applyAlignment="1">
      <alignment horizontal="justify" vertical="center" wrapText="1"/>
    </xf>
    <xf numFmtId="0" fontId="11" fillId="12" borderId="4" xfId="0" applyFont="1" applyFill="1" applyBorder="1" applyAlignment="1">
      <alignment horizontal="justify" vertical="center" wrapText="1"/>
    </xf>
    <xf numFmtId="0" fontId="3" fillId="0" borderId="3" xfId="3" applyBorder="1" applyAlignment="1">
      <alignment vertical="center" wrapText="1"/>
    </xf>
    <xf numFmtId="0" fontId="13" fillId="0" borderId="3" xfId="0" applyFont="1" applyBorder="1" applyAlignment="1">
      <alignment vertical="center" wrapText="1"/>
    </xf>
    <xf numFmtId="0" fontId="15" fillId="0" borderId="3" xfId="0" applyFont="1" applyBorder="1" applyAlignment="1">
      <alignment vertical="center" wrapText="1"/>
    </xf>
    <xf numFmtId="0" fontId="10" fillId="11" borderId="3" xfId="3" applyFont="1" applyFill="1" applyBorder="1" applyAlignment="1">
      <alignment horizontal="center" vertical="center" wrapText="1"/>
    </xf>
    <xf numFmtId="0" fontId="11" fillId="11" borderId="3" xfId="3" applyFont="1" applyFill="1" applyBorder="1" applyAlignment="1">
      <alignment horizontal="center" vertical="center" wrapText="1"/>
    </xf>
    <xf numFmtId="0" fontId="11" fillId="11" borderId="4" xfId="3" applyFont="1" applyFill="1" applyBorder="1" applyAlignment="1">
      <alignment horizontal="center" vertical="center" wrapText="1"/>
    </xf>
    <xf numFmtId="0" fontId="10" fillId="11" borderId="4" xfId="3" applyFont="1" applyFill="1" applyBorder="1" applyAlignment="1">
      <alignment horizontal="center" vertical="center" wrapText="1"/>
    </xf>
    <xf numFmtId="0" fontId="11" fillId="0" borderId="3" xfId="3" applyFont="1" applyBorder="1" applyAlignment="1">
      <alignment horizontal="center" vertical="center" wrapText="1"/>
    </xf>
    <xf numFmtId="0" fontId="11" fillId="0" borderId="3" xfId="3" applyFont="1" applyBorder="1" applyAlignment="1">
      <alignment horizontal="justify" vertical="center" wrapText="1"/>
    </xf>
    <xf numFmtId="0" fontId="11" fillId="11" borderId="3" xfId="3" applyFont="1" applyFill="1" applyBorder="1" applyAlignment="1">
      <alignment vertical="center" wrapText="1"/>
    </xf>
    <xf numFmtId="0" fontId="11" fillId="0" borderId="3" xfId="3" applyFont="1" applyBorder="1" applyAlignment="1">
      <alignment vertical="center" wrapText="1"/>
    </xf>
    <xf numFmtId="0" fontId="11" fillId="12" borderId="3" xfId="3" applyFont="1" applyFill="1" applyBorder="1" applyAlignment="1">
      <alignment vertical="center" wrapText="1"/>
    </xf>
    <xf numFmtId="0" fontId="11" fillId="12" borderId="3" xfId="3" applyFont="1" applyFill="1" applyBorder="1" applyAlignment="1">
      <alignment horizontal="justify" vertical="center" wrapText="1"/>
    </xf>
    <xf numFmtId="2" fontId="11" fillId="0" borderId="3" xfId="3" applyNumberFormat="1" applyFont="1" applyBorder="1" applyAlignment="1">
      <alignment horizontal="justify" vertical="center" wrapText="1"/>
    </xf>
    <xf numFmtId="10" fontId="11" fillId="12" borderId="3" xfId="3" applyNumberFormat="1" applyFont="1" applyFill="1" applyBorder="1" applyAlignment="1">
      <alignment horizontal="justify" vertical="center" wrapText="1"/>
    </xf>
    <xf numFmtId="0" fontId="10" fillId="13" borderId="3" xfId="3" applyFont="1" applyFill="1" applyBorder="1" applyAlignment="1">
      <alignment horizontal="justify" vertical="center" wrapText="1"/>
    </xf>
    <xf numFmtId="0" fontId="13" fillId="0" borderId="3" xfId="0" applyFont="1" applyBorder="1" applyAlignment="1">
      <alignment horizontal="center" vertical="center" wrapText="1"/>
    </xf>
    <xf numFmtId="164" fontId="11" fillId="0" borderId="3" xfId="1" applyNumberFormat="1" applyFont="1" applyBorder="1" applyAlignment="1">
      <alignment horizontal="center" vertical="center" wrapText="1"/>
    </xf>
    <xf numFmtId="9" fontId="11" fillId="12" borderId="3" xfId="2" applyFont="1" applyFill="1" applyBorder="1" applyAlignment="1">
      <alignment horizontal="center" vertical="center" wrapText="1"/>
    </xf>
    <xf numFmtId="164" fontId="11" fillId="0" borderId="3" xfId="1" applyNumberFormat="1" applyFont="1" applyBorder="1" applyAlignment="1">
      <alignment horizontal="justify" vertical="center" wrapText="1"/>
    </xf>
    <xf numFmtId="9" fontId="11" fillId="0" borderId="3" xfId="2" applyFont="1" applyBorder="1" applyAlignment="1">
      <alignment horizontal="center" vertical="center" wrapText="1"/>
    </xf>
    <xf numFmtId="165" fontId="11" fillId="0" borderId="3" xfId="2" applyNumberFormat="1" applyFont="1" applyBorder="1" applyAlignment="1">
      <alignment horizontal="center" vertical="center" wrapText="1"/>
    </xf>
    <xf numFmtId="165" fontId="11" fillId="12" borderId="3" xfId="2" applyNumberFormat="1" applyFont="1" applyFill="1" applyBorder="1" applyAlignment="1">
      <alignment horizontal="center" vertical="center" wrapText="1"/>
    </xf>
    <xf numFmtId="9" fontId="11" fillId="0" borderId="3" xfId="3" applyNumberFormat="1" applyFont="1" applyBorder="1" applyAlignment="1">
      <alignment horizontal="justify" vertical="center" wrapText="1"/>
    </xf>
    <xf numFmtId="0" fontId="8" fillId="0" borderId="4" xfId="0" applyFont="1" applyBorder="1" applyAlignment="1">
      <alignment horizontal="center" vertical="center" wrapText="1"/>
    </xf>
    <xf numFmtId="0" fontId="8" fillId="0" borderId="4" xfId="0" applyFont="1" applyBorder="1" applyAlignment="1">
      <alignment vertical="center" wrapText="1"/>
    </xf>
    <xf numFmtId="0" fontId="16" fillId="0" borderId="4" xfId="0" applyFont="1" applyBorder="1" applyAlignment="1">
      <alignment vertical="center" wrapText="1"/>
    </xf>
    <xf numFmtId="0" fontId="14" fillId="0" borderId="5" xfId="0" applyFont="1" applyBorder="1" applyAlignment="1">
      <alignment vertical="center" wrapText="1"/>
    </xf>
    <xf numFmtId="0" fontId="11" fillId="11" borderId="5" xfId="0" applyFont="1" applyFill="1" applyBorder="1" applyAlignment="1">
      <alignment horizontal="left" vertical="center" wrapText="1"/>
    </xf>
    <xf numFmtId="0" fontId="11" fillId="11" borderId="3" xfId="0" applyFont="1" applyFill="1" applyBorder="1" applyAlignment="1">
      <alignment horizontal="left" vertical="center" wrapText="1"/>
    </xf>
    <xf numFmtId="0" fontId="11" fillId="11" borderId="5" xfId="0" applyFont="1" applyFill="1" applyBorder="1" applyAlignment="1">
      <alignment horizontal="center" vertical="center" wrapText="1"/>
    </xf>
    <xf numFmtId="0" fontId="11" fillId="0" borderId="4" xfId="0" applyFont="1" applyBorder="1" applyAlignment="1">
      <alignment vertical="center" wrapText="1"/>
    </xf>
    <xf numFmtId="9" fontId="11" fillId="0" borderId="3" xfId="0" applyNumberFormat="1" applyFont="1" applyBorder="1" applyAlignment="1">
      <alignment vertical="center" wrapText="1"/>
    </xf>
    <xf numFmtId="10" fontId="11" fillId="0" borderId="3" xfId="0" applyNumberFormat="1" applyFont="1" applyBorder="1" applyAlignment="1">
      <alignment vertical="center" wrapText="1"/>
    </xf>
    <xf numFmtId="0" fontId="11" fillId="0" borderId="3" xfId="0" applyFont="1" applyBorder="1" applyAlignment="1">
      <alignment vertical="center" wrapText="1"/>
    </xf>
    <xf numFmtId="0" fontId="11" fillId="0" borderId="5" xfId="0" applyFont="1" applyBorder="1" applyAlignment="1">
      <alignment vertical="center" wrapText="1"/>
    </xf>
    <xf numFmtId="0" fontId="11" fillId="0" borderId="5" xfId="0" applyFont="1" applyBorder="1" applyAlignment="1">
      <alignment horizontal="justify" vertical="center" wrapText="1"/>
    </xf>
    <xf numFmtId="0" fontId="11" fillId="12" borderId="5" xfId="0" applyFont="1" applyFill="1" applyBorder="1" applyAlignment="1">
      <alignment horizontal="justify" vertical="center" wrapText="1"/>
    </xf>
    <xf numFmtId="0" fontId="8" fillId="0" borderId="3" xfId="0" applyFont="1" applyBorder="1" applyAlignment="1">
      <alignment horizontal="center" vertical="center" wrapText="1"/>
    </xf>
    <xf numFmtId="0" fontId="9" fillId="0" borderId="6" xfId="0" applyFont="1" applyBorder="1" applyAlignment="1">
      <alignment horizontal="center" vertical="center" wrapText="1"/>
    </xf>
    <xf numFmtId="0" fontId="11" fillId="11" borderId="6" xfId="0" applyFont="1" applyFill="1" applyBorder="1" applyAlignment="1">
      <alignment horizontal="left" vertical="center" wrapText="1"/>
    </xf>
    <xf numFmtId="0" fontId="11" fillId="11" borderId="6" xfId="0" applyFont="1" applyFill="1" applyBorder="1" applyAlignment="1">
      <alignment horizontal="center" vertical="center" wrapText="1"/>
    </xf>
    <xf numFmtId="0" fontId="18" fillId="0" borderId="3" xfId="0" applyFont="1" applyBorder="1" applyAlignment="1">
      <alignment horizontal="center" vertical="center" wrapText="1"/>
    </xf>
    <xf numFmtId="0" fontId="9" fillId="0" borderId="3" xfId="0" applyFont="1" applyBorder="1" applyAlignment="1">
      <alignment horizontal="center" vertical="center" wrapText="1"/>
    </xf>
    <xf numFmtId="0" fontId="11" fillId="12" borderId="3" xfId="0" applyFont="1" applyFill="1" applyBorder="1" applyAlignment="1">
      <alignment vertical="center" wrapText="1"/>
    </xf>
    <xf numFmtId="0" fontId="10" fillId="11" borderId="3" xfId="0" applyFont="1" applyFill="1" applyBorder="1" applyAlignment="1">
      <alignment horizontal="left" vertical="center" wrapText="1"/>
    </xf>
    <xf numFmtId="0" fontId="10" fillId="11" borderId="4" xfId="0" applyFont="1" applyFill="1" applyBorder="1" applyAlignment="1">
      <alignment horizontal="left" vertical="center" wrapText="1"/>
    </xf>
    <xf numFmtId="0" fontId="8" fillId="0" borderId="3" xfId="0" applyFont="1" applyBorder="1" applyAlignment="1">
      <alignment vertical="center" wrapText="1"/>
    </xf>
    <xf numFmtId="0" fontId="17" fillId="0" borderId="3" xfId="0" applyFont="1" applyBorder="1" applyAlignment="1">
      <alignment vertical="center" wrapText="1"/>
    </xf>
    <xf numFmtId="0" fontId="19" fillId="0" borderId="3" xfId="0" applyFont="1" applyBorder="1" applyAlignment="1">
      <alignment vertical="center" wrapText="1"/>
    </xf>
    <xf numFmtId="0" fontId="10" fillId="11" borderId="6" xfId="0" applyFont="1" applyFill="1" applyBorder="1" applyAlignment="1">
      <alignment horizontal="center" vertical="center" wrapText="1"/>
    </xf>
    <xf numFmtId="0" fontId="11" fillId="14" borderId="3" xfId="0" applyFont="1" applyFill="1" applyBorder="1" applyAlignment="1">
      <alignment horizontal="center" vertical="center" wrapText="1"/>
    </xf>
    <xf numFmtId="0" fontId="10" fillId="0" borderId="3" xfId="0" applyFont="1" applyBorder="1" applyAlignment="1">
      <alignment horizontal="justify" vertical="center" wrapText="1"/>
    </xf>
    <xf numFmtId="0" fontId="10" fillId="15" borderId="3" xfId="0" applyFont="1" applyFill="1" applyBorder="1" applyAlignment="1">
      <alignment horizontal="center" vertical="center" wrapText="1"/>
    </xf>
    <xf numFmtId="9" fontId="11" fillId="0" borderId="3" xfId="2" applyFont="1" applyBorder="1" applyAlignment="1">
      <alignment horizontal="justify" vertical="center" wrapText="1"/>
    </xf>
    <xf numFmtId="9" fontId="11" fillId="12" borderId="3" xfId="2" applyFont="1" applyFill="1" applyBorder="1" applyAlignment="1">
      <alignment horizontal="justify" vertical="center" wrapText="1"/>
    </xf>
    <xf numFmtId="0" fontId="11" fillId="15" borderId="3" xfId="0" applyFont="1" applyFill="1" applyBorder="1" applyAlignment="1">
      <alignment horizontal="center" vertical="center" wrapText="1"/>
    </xf>
    <xf numFmtId="0" fontId="11" fillId="15" borderId="6" xfId="0" applyFont="1" applyFill="1" applyBorder="1" applyAlignment="1">
      <alignment horizontal="center" vertical="center" wrapText="1"/>
    </xf>
    <xf numFmtId="9" fontId="11" fillId="0" borderId="3" xfId="0" applyNumberFormat="1" applyFont="1" applyBorder="1" applyAlignment="1">
      <alignment horizontal="center" vertical="center" wrapText="1"/>
    </xf>
    <xf numFmtId="10" fontId="11" fillId="0" borderId="3" xfId="0" applyNumberFormat="1" applyFont="1" applyBorder="1" applyAlignment="1">
      <alignment horizontal="center" vertical="center" wrapText="1"/>
    </xf>
    <xf numFmtId="10" fontId="11" fillId="12" borderId="3" xfId="0" applyNumberFormat="1" applyFont="1" applyFill="1" applyBorder="1" applyAlignment="1">
      <alignment horizontal="center" vertical="center" wrapText="1"/>
    </xf>
    <xf numFmtId="0" fontId="17" fillId="0" borderId="4" xfId="0" applyFont="1" applyBorder="1" applyAlignment="1">
      <alignment vertical="center" wrapText="1"/>
    </xf>
    <xf numFmtId="0" fontId="15" fillId="0" borderId="4" xfId="0" applyFont="1" applyBorder="1" applyAlignment="1">
      <alignment vertical="center" wrapText="1"/>
    </xf>
    <xf numFmtId="0" fontId="10" fillId="11" borderId="5" xfId="0" applyFont="1" applyFill="1" applyBorder="1" applyAlignment="1">
      <alignment horizontal="center" vertical="center" wrapText="1"/>
    </xf>
    <xf numFmtId="0" fontId="11" fillId="12" borderId="4" xfId="0" applyFont="1" applyFill="1" applyBorder="1" applyAlignment="1">
      <alignment vertical="center" wrapText="1"/>
    </xf>
    <xf numFmtId="0" fontId="11" fillId="16" borderId="3" xfId="0" applyFont="1" applyFill="1" applyBorder="1" applyAlignment="1">
      <alignment horizontal="justify" vertical="center" wrapText="1"/>
    </xf>
    <xf numFmtId="0" fontId="17" fillId="0" borderId="3" xfId="0" applyFont="1" applyBorder="1" applyAlignment="1">
      <alignment horizontal="center" vertical="center" wrapText="1"/>
    </xf>
    <xf numFmtId="0" fontId="20" fillId="0" borderId="3" xfId="0" applyFont="1" applyBorder="1"/>
    <xf numFmtId="0" fontId="13" fillId="0" borderId="3" xfId="3" applyFont="1" applyBorder="1" applyAlignment="1">
      <alignment vertical="center" wrapText="1"/>
    </xf>
    <xf numFmtId="0" fontId="15" fillId="0" borderId="3" xfId="3" applyFont="1" applyBorder="1" applyAlignment="1">
      <alignment vertical="center" wrapText="1"/>
    </xf>
    <xf numFmtId="9" fontId="11" fillId="0" borderId="3" xfId="3" applyNumberFormat="1" applyFont="1" applyBorder="1" applyAlignment="1">
      <alignment vertical="center" wrapText="1"/>
    </xf>
    <xf numFmtId="0" fontId="10" fillId="11" borderId="3" xfId="3" applyFont="1" applyFill="1" applyBorder="1" applyAlignment="1">
      <alignment vertical="center" wrapText="1"/>
    </xf>
    <xf numFmtId="0" fontId="10" fillId="11" borderId="6" xfId="3" applyFont="1" applyFill="1" applyBorder="1" applyAlignment="1">
      <alignment horizontal="center" vertical="center" wrapText="1"/>
    </xf>
    <xf numFmtId="0" fontId="11" fillId="11" borderId="6" xfId="3" applyFont="1" applyFill="1" applyBorder="1" applyAlignment="1">
      <alignment vertical="center" wrapText="1"/>
    </xf>
    <xf numFmtId="0" fontId="11" fillId="11" borderId="6" xfId="3" applyFont="1" applyFill="1" applyBorder="1" applyAlignment="1">
      <alignment horizontal="center" vertical="center" wrapText="1"/>
    </xf>
    <xf numFmtId="0" fontId="11" fillId="12" borderId="0" xfId="3" applyFont="1" applyFill="1" applyAlignment="1">
      <alignment vertical="center" wrapText="1"/>
    </xf>
    <xf numFmtId="0" fontId="21" fillId="17" borderId="7" xfId="0" applyFont="1" applyFill="1" applyBorder="1" applyAlignment="1">
      <alignment horizontal="center" vertical="center" wrapText="1"/>
    </xf>
    <xf numFmtId="0" fontId="21" fillId="12" borderId="7" xfId="0" applyFont="1" applyFill="1" applyBorder="1" applyAlignment="1">
      <alignment horizontal="center" vertical="center" wrapText="1"/>
    </xf>
    <xf numFmtId="10" fontId="11" fillId="0" borderId="3" xfId="3" applyNumberFormat="1" applyFont="1" applyBorder="1" applyAlignment="1">
      <alignment vertical="center" wrapText="1"/>
    </xf>
    <xf numFmtId="165" fontId="11" fillId="0" borderId="3" xfId="3" applyNumberFormat="1" applyFont="1" applyBorder="1" applyAlignment="1">
      <alignment vertical="center" wrapText="1"/>
    </xf>
    <xf numFmtId="165" fontId="11" fillId="12" borderId="3" xfId="3" applyNumberFormat="1" applyFont="1" applyFill="1" applyBorder="1" applyAlignment="1">
      <alignment vertical="center" wrapText="1"/>
    </xf>
    <xf numFmtId="0" fontId="16" fillId="0" borderId="3" xfId="0" applyFont="1" applyBorder="1" applyAlignment="1">
      <alignment vertical="center" wrapText="1"/>
    </xf>
    <xf numFmtId="0" fontId="10" fillId="0" borderId="3" xfId="0" applyFont="1" applyBorder="1" applyAlignment="1">
      <alignment vertical="center" wrapText="1"/>
    </xf>
    <xf numFmtId="0" fontId="10" fillId="11" borderId="3" xfId="0" applyFont="1" applyFill="1" applyBorder="1" applyAlignment="1">
      <alignment vertical="center" wrapText="1"/>
    </xf>
    <xf numFmtId="0" fontId="11" fillId="11" borderId="3" xfId="0" applyFont="1" applyFill="1" applyBorder="1" applyAlignment="1">
      <alignment vertical="center" wrapText="1"/>
    </xf>
    <xf numFmtId="0" fontId="17" fillId="0" borderId="4" xfId="0" applyFont="1" applyBorder="1" applyAlignment="1">
      <alignment horizontal="center" vertical="center" wrapText="1"/>
    </xf>
    <xf numFmtId="0" fontId="14" fillId="0" borderId="4" xfId="0" applyFont="1" applyBorder="1" applyAlignment="1">
      <alignment vertical="center" wrapText="1"/>
    </xf>
    <xf numFmtId="0" fontId="16" fillId="0" borderId="3" xfId="0" applyFont="1" applyBorder="1" applyAlignment="1">
      <alignment horizontal="center" vertical="center" wrapText="1"/>
    </xf>
    <xf numFmtId="9" fontId="11" fillId="0" borderId="4" xfId="0" applyNumberFormat="1" applyFont="1" applyBorder="1" applyAlignment="1">
      <alignment vertical="center" wrapText="1"/>
    </xf>
    <xf numFmtId="9" fontId="11" fillId="12" borderId="4" xfId="0" applyNumberFormat="1" applyFont="1" applyFill="1" applyBorder="1" applyAlignment="1">
      <alignment vertical="center" wrapText="1"/>
    </xf>
    <xf numFmtId="9" fontId="11" fillId="0" borderId="4" xfId="0" applyNumberFormat="1" applyFont="1" applyBorder="1" applyAlignment="1">
      <alignment horizontal="justify" vertical="center" wrapText="1"/>
    </xf>
    <xf numFmtId="9" fontId="11" fillId="12" borderId="4" xfId="0" applyNumberFormat="1" applyFont="1" applyFill="1" applyBorder="1" applyAlignment="1">
      <alignment horizontal="justify" vertical="center" wrapText="1"/>
    </xf>
    <xf numFmtId="10" fontId="11" fillId="0" borderId="4" xfId="0" applyNumberFormat="1" applyFont="1" applyBorder="1" applyAlignment="1">
      <alignment horizontal="justify" vertical="center" wrapText="1"/>
    </xf>
    <xf numFmtId="0" fontId="17" fillId="0" borderId="3" xfId="0" applyFont="1" applyBorder="1" applyAlignment="1">
      <alignment horizontal="left" vertical="center" wrapText="1"/>
    </xf>
    <xf numFmtId="0" fontId="17" fillId="18" borderId="3" xfId="0" applyFont="1" applyFill="1" applyBorder="1" applyAlignment="1">
      <alignment vertical="center" wrapText="1"/>
    </xf>
    <xf numFmtId="0" fontId="15" fillId="18" borderId="3" xfId="0" applyFont="1" applyFill="1" applyBorder="1" applyAlignment="1">
      <alignment vertical="center" wrapText="1"/>
    </xf>
    <xf numFmtId="0" fontId="17" fillId="18" borderId="4" xfId="0" applyFont="1" applyFill="1" applyBorder="1" applyAlignment="1">
      <alignment vertical="center" wrapText="1"/>
    </xf>
    <xf numFmtId="0" fontId="15" fillId="18" borderId="4" xfId="0" applyFont="1" applyFill="1" applyBorder="1" applyAlignment="1">
      <alignment vertical="center" wrapText="1"/>
    </xf>
    <xf numFmtId="0" fontId="11" fillId="19" borderId="3" xfId="0" applyFont="1" applyFill="1" applyBorder="1" applyAlignment="1">
      <alignment vertical="center" wrapText="1"/>
    </xf>
    <xf numFmtId="0" fontId="11" fillId="19" borderId="3" xfId="0" applyFont="1" applyFill="1" applyBorder="1" applyAlignment="1">
      <alignment horizontal="justify" vertical="center" wrapText="1"/>
    </xf>
    <xf numFmtId="9" fontId="11" fillId="12" borderId="3" xfId="0" applyNumberFormat="1" applyFont="1" applyFill="1" applyBorder="1" applyAlignment="1">
      <alignment vertical="center" wrapText="1"/>
    </xf>
    <xf numFmtId="9" fontId="11" fillId="12" borderId="3" xfId="2" applyFont="1" applyFill="1" applyBorder="1" applyAlignment="1">
      <alignment vertical="center" wrapText="1"/>
    </xf>
    <xf numFmtId="0" fontId="11" fillId="11" borderId="6" xfId="0" applyFont="1" applyFill="1" applyBorder="1" applyAlignment="1">
      <alignment vertical="center" wrapText="1"/>
    </xf>
    <xf numFmtId="0" fontId="17" fillId="0" borderId="3" xfId="0" applyFont="1" applyBorder="1" applyAlignment="1">
      <alignment vertical="top" wrapText="1"/>
    </xf>
    <xf numFmtId="0" fontId="15" fillId="0" borderId="3" xfId="0" applyFont="1" applyBorder="1" applyAlignment="1">
      <alignment vertical="top" wrapText="1"/>
    </xf>
    <xf numFmtId="0" fontId="17" fillId="0" borderId="4" xfId="0" applyFont="1" applyBorder="1" applyAlignment="1">
      <alignment vertical="top" wrapText="1"/>
    </xf>
    <xf numFmtId="0" fontId="11" fillId="0" borderId="4" xfId="0" applyFont="1" applyBorder="1" applyAlignment="1">
      <alignment wrapText="1"/>
    </xf>
    <xf numFmtId="10" fontId="11" fillId="12" borderId="3" xfId="3" applyNumberFormat="1" applyFont="1" applyFill="1" applyBorder="1" applyAlignment="1">
      <alignment vertical="center" wrapText="1"/>
    </xf>
    <xf numFmtId="10" fontId="11" fillId="12" borderId="3" xfId="0" applyNumberFormat="1" applyFont="1" applyFill="1" applyBorder="1" applyAlignment="1">
      <alignment vertical="center" wrapText="1"/>
    </xf>
    <xf numFmtId="10" fontId="11" fillId="0" borderId="4" xfId="0" applyNumberFormat="1" applyFont="1" applyBorder="1" applyAlignment="1">
      <alignment vertical="center" wrapText="1"/>
    </xf>
    <xf numFmtId="0" fontId="10" fillId="20" borderId="3" xfId="0" applyFont="1" applyFill="1" applyBorder="1" applyAlignment="1">
      <alignment horizontal="center" vertical="center" wrapText="1"/>
    </xf>
    <xf numFmtId="9" fontId="11" fillId="0" borderId="4" xfId="0" applyNumberFormat="1" applyFont="1" applyBorder="1" applyAlignment="1">
      <alignment wrapText="1"/>
    </xf>
    <xf numFmtId="10" fontId="11" fillId="12" borderId="4" xfId="0" applyNumberFormat="1" applyFont="1" applyFill="1" applyBorder="1" applyAlignment="1">
      <alignment vertical="center" wrapText="1"/>
    </xf>
    <xf numFmtId="10" fontId="11" fillId="0" borderId="3" xfId="0" applyNumberFormat="1" applyFont="1" applyBorder="1" applyAlignment="1">
      <alignment horizontal="justify" vertical="center" wrapText="1"/>
    </xf>
    <xf numFmtId="0" fontId="10" fillId="21" borderId="3" xfId="0" applyFont="1" applyFill="1" applyBorder="1" applyAlignment="1">
      <alignment horizontal="center" vertical="center" wrapText="1"/>
    </xf>
    <xf numFmtId="0" fontId="4" fillId="2" borderId="1" xfId="3" applyFont="1" applyFill="1" applyBorder="1" applyAlignment="1">
      <alignment horizontal="center" vertical="center" wrapText="1"/>
    </xf>
    <xf numFmtId="0" fontId="0" fillId="0" borderId="2" xfId="0" applyBorder="1"/>
    <xf numFmtId="0" fontId="11" fillId="0" borderId="4" xfId="0" applyFont="1" applyBorder="1" applyAlignment="1">
      <alignment horizontal="justify" vertical="center" wrapText="1"/>
    </xf>
    <xf numFmtId="0" fontId="0" fillId="0" borderId="5" xfId="0" applyBorder="1"/>
  </cellXfs>
  <cellStyles count="4">
    <cellStyle name="Millares" xfId="1" builtinId="3"/>
    <cellStyle name="Normal" xfId="0" builtinId="0"/>
    <cellStyle name="Normal 2" xfId="3" xr:uid="{00000000-0005-0000-0000-000003000000}"/>
    <cellStyle name="Porcentaje" xfId="2" builtinId="5"/>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249977111117893"/>
  </sheetPr>
  <dimension ref="A1:S63"/>
  <sheetViews>
    <sheetView tabSelected="1" zoomScale="73" zoomScaleNormal="98" workbookViewId="0">
      <pane xSplit="4" ySplit="2" topLeftCell="E25" activePane="bottomRight" state="frozen"/>
      <selection pane="topRight" activeCell="E1" sqref="E1"/>
      <selection pane="bottomLeft" activeCell="A3" sqref="A3"/>
      <selection pane="bottomRight" activeCell="B27" sqref="B27"/>
    </sheetView>
  </sheetViews>
  <sheetFormatPr baseColWidth="10" defaultColWidth="11.5546875" defaultRowHeight="14.4" x14ac:dyDescent="0.3"/>
  <cols>
    <col min="1" max="1" width="39.5546875" style="2" customWidth="1"/>
    <col min="2" max="2" width="30.88671875" style="2" customWidth="1"/>
    <col min="3" max="3" width="82" style="2" customWidth="1"/>
    <col min="4" max="7" width="34.5546875" style="2" customWidth="1"/>
    <col min="8" max="9" width="34.5546875" style="2" hidden="1" customWidth="1"/>
    <col min="10" max="10" width="23.6640625" style="2" hidden="1" customWidth="1"/>
    <col min="11" max="11" width="26.44140625" style="2" hidden="1" customWidth="1"/>
    <col min="12" max="12" width="22.33203125" style="2" customWidth="1"/>
    <col min="13" max="13" width="27.21875" style="2" hidden="1" customWidth="1"/>
    <col min="14" max="14" width="13.77734375" style="2" customWidth="1"/>
    <col min="15" max="19" width="16.5546875" style="2" customWidth="1"/>
    <col min="20" max="20" width="11.5546875" style="2" customWidth="1"/>
    <col min="21" max="16384" width="11.5546875" style="2"/>
  </cols>
  <sheetData>
    <row r="1" spans="1:19" ht="46.2" customHeight="1" x14ac:dyDescent="0.3">
      <c r="A1" s="1"/>
      <c r="B1" s="1"/>
      <c r="C1" s="1"/>
      <c r="D1" s="1"/>
      <c r="E1" s="1"/>
      <c r="F1" s="1"/>
      <c r="G1" s="1"/>
      <c r="H1" s="1"/>
      <c r="I1" s="1"/>
      <c r="J1" s="1"/>
      <c r="K1" s="1"/>
      <c r="L1" s="1"/>
      <c r="M1" s="1"/>
      <c r="N1" s="147" t="s">
        <v>0</v>
      </c>
      <c r="O1" s="148"/>
      <c r="P1" s="148"/>
      <c r="Q1" s="148"/>
      <c r="R1" s="148"/>
      <c r="S1" s="148"/>
    </row>
    <row r="2" spans="1:19" ht="31.2" customHeight="1" x14ac:dyDescent="0.3">
      <c r="A2" s="3" t="s">
        <v>1</v>
      </c>
      <c r="B2" s="4" t="s">
        <v>2</v>
      </c>
      <c r="C2" s="5" t="s">
        <v>3</v>
      </c>
      <c r="D2" s="6" t="s">
        <v>4</v>
      </c>
      <c r="E2" s="6" t="s">
        <v>5</v>
      </c>
      <c r="F2" s="6" t="s">
        <v>6</v>
      </c>
      <c r="G2" s="7" t="s">
        <v>7</v>
      </c>
      <c r="H2" s="6" t="s">
        <v>8</v>
      </c>
      <c r="I2" s="6" t="s">
        <v>9</v>
      </c>
      <c r="J2" s="6" t="s">
        <v>10</v>
      </c>
      <c r="K2" s="6" t="s">
        <v>11</v>
      </c>
      <c r="L2" s="8" t="s">
        <v>12</v>
      </c>
      <c r="M2" s="8" t="s">
        <v>13</v>
      </c>
      <c r="N2" s="13">
        <v>2025</v>
      </c>
      <c r="O2" s="13">
        <v>2026</v>
      </c>
      <c r="P2" s="13">
        <v>2027</v>
      </c>
      <c r="Q2" s="13">
        <v>2028</v>
      </c>
      <c r="R2" s="13">
        <v>2029</v>
      </c>
      <c r="S2" s="13">
        <v>2030</v>
      </c>
    </row>
    <row r="3" spans="1:19" ht="78" customHeight="1" x14ac:dyDescent="0.3">
      <c r="A3" s="14" t="s">
        <v>14</v>
      </c>
      <c r="B3" s="14" t="s">
        <v>15</v>
      </c>
      <c r="C3" s="14" t="s">
        <v>16</v>
      </c>
      <c r="D3" s="16" t="s">
        <v>17</v>
      </c>
      <c r="E3" s="17"/>
      <c r="F3" s="17" t="s">
        <v>18</v>
      </c>
      <c r="G3" s="17" t="s">
        <v>19</v>
      </c>
      <c r="H3" s="17" t="s">
        <v>20</v>
      </c>
      <c r="I3" s="17" t="s">
        <v>21</v>
      </c>
      <c r="J3" s="18"/>
      <c r="K3" s="19" t="s">
        <v>22</v>
      </c>
      <c r="L3" s="19" t="s">
        <v>23</v>
      </c>
      <c r="M3" s="20" t="s">
        <v>24</v>
      </c>
      <c r="N3" s="21">
        <v>0.95</v>
      </c>
      <c r="O3" s="21" t="s">
        <v>25</v>
      </c>
      <c r="P3" s="21">
        <v>0.95</v>
      </c>
      <c r="Q3" s="19" t="s">
        <v>25</v>
      </c>
      <c r="R3" s="21">
        <v>0.95</v>
      </c>
      <c r="S3" s="19" t="s">
        <v>25</v>
      </c>
    </row>
    <row r="4" spans="1:19" ht="62.4" customHeight="1" x14ac:dyDescent="0.3">
      <c r="A4" s="14" t="s">
        <v>14</v>
      </c>
      <c r="B4" s="14" t="s">
        <v>26</v>
      </c>
      <c r="C4" s="14" t="s">
        <v>27</v>
      </c>
      <c r="D4" s="16" t="s">
        <v>28</v>
      </c>
      <c r="E4" s="17"/>
      <c r="F4" s="17" t="s">
        <v>18</v>
      </c>
      <c r="G4" s="17" t="s">
        <v>29</v>
      </c>
      <c r="H4" s="17" t="s">
        <v>20</v>
      </c>
      <c r="I4" s="17" t="s">
        <v>21</v>
      </c>
      <c r="J4" s="18"/>
      <c r="K4" s="19" t="s">
        <v>22</v>
      </c>
      <c r="L4" s="19" t="s">
        <v>30</v>
      </c>
      <c r="M4" s="15"/>
      <c r="N4" s="19" t="s">
        <v>25</v>
      </c>
      <c r="O4" s="24">
        <v>0.93</v>
      </c>
      <c r="P4" s="19" t="s">
        <v>25</v>
      </c>
      <c r="Q4" s="21">
        <v>0.94</v>
      </c>
      <c r="R4" s="19" t="s">
        <v>25</v>
      </c>
      <c r="S4" s="21">
        <v>0.95</v>
      </c>
    </row>
    <row r="5" spans="1:19" ht="46.8" customHeight="1" x14ac:dyDescent="0.3">
      <c r="A5" s="14" t="s">
        <v>14</v>
      </c>
      <c r="B5" s="25" t="s">
        <v>31</v>
      </c>
      <c r="C5" s="25" t="s">
        <v>32</v>
      </c>
      <c r="D5" s="26" t="s">
        <v>33</v>
      </c>
      <c r="E5" s="17"/>
      <c r="F5" s="17" t="s">
        <v>34</v>
      </c>
      <c r="G5" s="27" t="s">
        <v>35</v>
      </c>
      <c r="H5" s="27" t="s">
        <v>34</v>
      </c>
      <c r="I5" s="17" t="s">
        <v>21</v>
      </c>
      <c r="J5" s="28"/>
      <c r="K5" s="28" t="s">
        <v>36</v>
      </c>
      <c r="L5" s="29" t="s">
        <v>30</v>
      </c>
      <c r="M5" s="30" t="s">
        <v>37</v>
      </c>
      <c r="N5" s="29"/>
      <c r="O5" s="29"/>
      <c r="P5" s="29"/>
      <c r="Q5" s="29"/>
      <c r="R5" s="29"/>
      <c r="S5" s="29"/>
    </row>
    <row r="6" spans="1:19" ht="69" customHeight="1" x14ac:dyDescent="0.3">
      <c r="A6" s="14" t="s">
        <v>14</v>
      </c>
      <c r="B6" s="25" t="s">
        <v>31</v>
      </c>
      <c r="C6" s="25" t="s">
        <v>32</v>
      </c>
      <c r="D6" s="26" t="s">
        <v>38</v>
      </c>
      <c r="E6" s="17"/>
      <c r="F6" s="17" t="s">
        <v>34</v>
      </c>
      <c r="G6" s="27" t="s">
        <v>35</v>
      </c>
      <c r="H6" s="27" t="s">
        <v>34</v>
      </c>
      <c r="I6" s="17" t="s">
        <v>21</v>
      </c>
      <c r="J6" s="28"/>
      <c r="K6" s="28" t="s">
        <v>39</v>
      </c>
      <c r="L6" s="29" t="s">
        <v>40</v>
      </c>
      <c r="M6" s="30" t="s">
        <v>37</v>
      </c>
      <c r="N6" s="29"/>
      <c r="O6" s="29"/>
      <c r="P6" s="29"/>
      <c r="Q6" s="29"/>
      <c r="R6" s="29"/>
      <c r="S6" s="29"/>
    </row>
    <row r="7" spans="1:19" ht="93.6" customHeight="1" x14ac:dyDescent="0.3">
      <c r="A7" s="32" t="s">
        <v>41</v>
      </c>
      <c r="B7" s="32" t="s">
        <v>42</v>
      </c>
      <c r="C7" s="33" t="s">
        <v>43</v>
      </c>
      <c r="D7" s="35" t="s">
        <v>44</v>
      </c>
      <c r="E7" s="36"/>
      <c r="F7" s="37" t="s">
        <v>34</v>
      </c>
      <c r="G7" s="38"/>
      <c r="H7" s="27" t="s">
        <v>34</v>
      </c>
      <c r="I7" s="27" t="s">
        <v>21</v>
      </c>
      <c r="J7" s="39"/>
      <c r="K7" s="39"/>
      <c r="L7" s="40"/>
      <c r="M7" s="34"/>
      <c r="N7" s="47"/>
      <c r="O7" s="40"/>
      <c r="P7" s="40"/>
      <c r="Q7" s="40"/>
      <c r="R7" s="40"/>
      <c r="S7" s="40"/>
    </row>
    <row r="8" spans="1:19" ht="78" customHeight="1" x14ac:dyDescent="0.3">
      <c r="A8" s="32" t="s">
        <v>41</v>
      </c>
      <c r="B8" s="48" t="s">
        <v>45</v>
      </c>
      <c r="C8" s="33" t="s">
        <v>46</v>
      </c>
      <c r="D8" s="35" t="s">
        <v>47</v>
      </c>
      <c r="E8" s="36">
        <v>528</v>
      </c>
      <c r="F8" s="37" t="s">
        <v>18</v>
      </c>
      <c r="G8" s="38" t="s">
        <v>48</v>
      </c>
      <c r="H8" s="35" t="s">
        <v>49</v>
      </c>
      <c r="I8" s="27" t="s">
        <v>21</v>
      </c>
      <c r="J8" s="39" t="s">
        <v>50</v>
      </c>
      <c r="K8" s="39"/>
      <c r="L8" s="40" t="s">
        <v>51</v>
      </c>
      <c r="M8" s="34" t="s">
        <v>52</v>
      </c>
      <c r="N8" s="49">
        <v>1158</v>
      </c>
      <c r="O8" s="51">
        <v>1200</v>
      </c>
      <c r="P8" s="40">
        <v>1212</v>
      </c>
      <c r="Q8" s="40">
        <v>1224</v>
      </c>
      <c r="R8" s="40">
        <v>1234</v>
      </c>
      <c r="S8" s="40">
        <v>1250</v>
      </c>
    </row>
    <row r="9" spans="1:19" ht="46.8" customHeight="1" x14ac:dyDescent="0.3">
      <c r="A9" s="32" t="s">
        <v>41</v>
      </c>
      <c r="B9" s="48" t="s">
        <v>45</v>
      </c>
      <c r="C9" s="33" t="s">
        <v>46</v>
      </c>
      <c r="D9" s="35" t="s">
        <v>53</v>
      </c>
      <c r="E9" s="36"/>
      <c r="F9" s="37" t="s">
        <v>18</v>
      </c>
      <c r="G9" s="38" t="s">
        <v>48</v>
      </c>
      <c r="H9" s="35" t="s">
        <v>34</v>
      </c>
      <c r="I9" s="27" t="s">
        <v>21</v>
      </c>
      <c r="J9" s="39" t="s">
        <v>54</v>
      </c>
      <c r="K9" s="39"/>
      <c r="L9" s="40" t="s">
        <v>51</v>
      </c>
      <c r="M9" s="34" t="s">
        <v>52</v>
      </c>
      <c r="N9" s="52">
        <v>0.85</v>
      </c>
      <c r="O9" s="55">
        <v>0.9</v>
      </c>
      <c r="P9" s="55">
        <v>0.9</v>
      </c>
      <c r="Q9" s="55">
        <v>0.95</v>
      </c>
      <c r="R9" s="55">
        <v>0.95</v>
      </c>
      <c r="S9" s="55">
        <v>0.95</v>
      </c>
    </row>
    <row r="10" spans="1:19" ht="78" customHeight="1" x14ac:dyDescent="0.3">
      <c r="A10" s="32" t="s">
        <v>41</v>
      </c>
      <c r="B10" s="48" t="s">
        <v>45</v>
      </c>
      <c r="C10" s="33" t="s">
        <v>46</v>
      </c>
      <c r="D10" s="35" t="s">
        <v>55</v>
      </c>
      <c r="E10" s="36"/>
      <c r="F10" s="37" t="s">
        <v>18</v>
      </c>
      <c r="G10" s="38" t="s">
        <v>48</v>
      </c>
      <c r="H10" s="27" t="s">
        <v>34</v>
      </c>
      <c r="I10" s="27" t="s">
        <v>21</v>
      </c>
      <c r="J10" s="39" t="s">
        <v>56</v>
      </c>
      <c r="K10" s="39" t="s">
        <v>57</v>
      </c>
      <c r="L10" s="40" t="s">
        <v>51</v>
      </c>
      <c r="M10" s="34" t="s">
        <v>52</v>
      </c>
      <c r="N10" s="40" t="s">
        <v>58</v>
      </c>
      <c r="O10" s="40"/>
      <c r="P10" s="40"/>
      <c r="Q10" s="40"/>
      <c r="R10" s="40"/>
      <c r="S10" s="40"/>
    </row>
    <row r="11" spans="1:19" ht="62.4" customHeight="1" x14ac:dyDescent="0.3">
      <c r="A11" s="56" t="s">
        <v>59</v>
      </c>
      <c r="B11" s="57" t="s">
        <v>60</v>
      </c>
      <c r="C11" s="58" t="s">
        <v>61</v>
      </c>
      <c r="D11" s="60" t="s">
        <v>62</v>
      </c>
      <c r="E11" s="61">
        <v>456</v>
      </c>
      <c r="F11" s="37" t="s">
        <v>18</v>
      </c>
      <c r="G11" s="60" t="s">
        <v>63</v>
      </c>
      <c r="H11" s="62" t="s">
        <v>49</v>
      </c>
      <c r="I11" s="27" t="s">
        <v>21</v>
      </c>
      <c r="J11" s="63"/>
      <c r="K11" s="63" t="s">
        <v>64</v>
      </c>
      <c r="L11" s="149" t="s">
        <v>65</v>
      </c>
      <c r="M11" s="59" t="s">
        <v>37</v>
      </c>
      <c r="N11" s="64">
        <v>1</v>
      </c>
      <c r="O11" s="64">
        <v>1</v>
      </c>
      <c r="P11" s="64">
        <v>1</v>
      </c>
      <c r="Q11" s="64">
        <v>1</v>
      </c>
      <c r="R11" s="64">
        <v>1</v>
      </c>
      <c r="S11" s="64">
        <v>1</v>
      </c>
    </row>
    <row r="12" spans="1:19" ht="62.4" customHeight="1" x14ac:dyDescent="0.3">
      <c r="A12" s="56" t="s">
        <v>59</v>
      </c>
      <c r="B12" s="57" t="s">
        <v>60</v>
      </c>
      <c r="C12" s="58" t="s">
        <v>61</v>
      </c>
      <c r="D12" s="61" t="s">
        <v>66</v>
      </c>
      <c r="E12" s="61">
        <v>457</v>
      </c>
      <c r="F12" s="37" t="s">
        <v>18</v>
      </c>
      <c r="G12" s="60" t="s">
        <v>63</v>
      </c>
      <c r="H12" s="62" t="s">
        <v>49</v>
      </c>
      <c r="I12" s="27" t="s">
        <v>21</v>
      </c>
      <c r="J12" s="67"/>
      <c r="K12" s="63" t="s">
        <v>64</v>
      </c>
      <c r="L12" s="150"/>
      <c r="M12" s="59" t="s">
        <v>37</v>
      </c>
      <c r="N12" s="64">
        <v>1</v>
      </c>
      <c r="O12" s="64">
        <v>1</v>
      </c>
      <c r="P12" s="64">
        <v>1</v>
      </c>
      <c r="Q12" s="64">
        <v>1</v>
      </c>
      <c r="R12" s="64">
        <v>1</v>
      </c>
      <c r="S12" s="64">
        <v>1</v>
      </c>
    </row>
    <row r="13" spans="1:19" ht="31.2" customHeight="1" x14ac:dyDescent="0.3">
      <c r="A13" s="56" t="s">
        <v>59</v>
      </c>
      <c r="B13" s="57" t="s">
        <v>60</v>
      </c>
      <c r="C13" s="58" t="s">
        <v>61</v>
      </c>
      <c r="D13" s="61" t="s">
        <v>67</v>
      </c>
      <c r="E13" s="61">
        <v>524</v>
      </c>
      <c r="F13" s="37" t="s">
        <v>18</v>
      </c>
      <c r="G13" s="60" t="s">
        <v>63</v>
      </c>
      <c r="H13" s="62" t="s">
        <v>49</v>
      </c>
      <c r="I13" s="27" t="s">
        <v>21</v>
      </c>
      <c r="J13" s="67"/>
      <c r="K13" s="68" t="s">
        <v>68</v>
      </c>
      <c r="L13" s="68" t="s">
        <v>68</v>
      </c>
      <c r="M13" s="59" t="s">
        <v>37</v>
      </c>
      <c r="N13" s="64">
        <v>1</v>
      </c>
      <c r="O13" s="64">
        <v>1</v>
      </c>
      <c r="P13" s="64">
        <v>1</v>
      </c>
      <c r="Q13" s="64">
        <v>1</v>
      </c>
      <c r="R13" s="64">
        <v>1</v>
      </c>
      <c r="S13" s="64">
        <v>1</v>
      </c>
    </row>
    <row r="14" spans="1:19" ht="31.2" customHeight="1" x14ac:dyDescent="0.3">
      <c r="A14" s="56" t="s">
        <v>59</v>
      </c>
      <c r="B14" s="70" t="s">
        <v>69</v>
      </c>
      <c r="C14" s="70" t="s">
        <v>70</v>
      </c>
      <c r="D14" s="72" t="s">
        <v>71</v>
      </c>
      <c r="E14" s="61">
        <v>626</v>
      </c>
      <c r="F14" s="37" t="s">
        <v>18</v>
      </c>
      <c r="G14" s="72" t="s">
        <v>48</v>
      </c>
      <c r="H14" s="73" t="s">
        <v>49</v>
      </c>
      <c r="I14" s="27" t="s">
        <v>21</v>
      </c>
      <c r="J14" s="18"/>
      <c r="K14" s="18"/>
      <c r="L14" s="19" t="s">
        <v>72</v>
      </c>
      <c r="M14" s="71" t="s">
        <v>37</v>
      </c>
      <c r="N14" s="19"/>
      <c r="O14" s="19"/>
      <c r="P14" s="19"/>
      <c r="Q14" s="19"/>
      <c r="R14" s="19"/>
      <c r="S14" s="19"/>
    </row>
    <row r="15" spans="1:19" ht="31.2" customHeight="1" x14ac:dyDescent="0.3">
      <c r="A15" s="56" t="s">
        <v>59</v>
      </c>
      <c r="B15" s="70" t="s">
        <v>69</v>
      </c>
      <c r="C15" s="74" t="s">
        <v>73</v>
      </c>
      <c r="D15" s="61" t="s">
        <v>74</v>
      </c>
      <c r="E15" s="61">
        <v>109</v>
      </c>
      <c r="F15" s="37" t="s">
        <v>18</v>
      </c>
      <c r="G15" s="61" t="s">
        <v>75</v>
      </c>
      <c r="H15" s="17" t="s">
        <v>49</v>
      </c>
      <c r="I15" s="27" t="s">
        <v>21</v>
      </c>
      <c r="J15" s="66"/>
      <c r="K15" s="18" t="s">
        <v>76</v>
      </c>
      <c r="L15" s="19"/>
      <c r="M15" s="75"/>
      <c r="N15" s="64">
        <v>0.8</v>
      </c>
      <c r="O15" s="21">
        <v>0.85</v>
      </c>
      <c r="P15" s="21">
        <v>0.85</v>
      </c>
      <c r="Q15" s="21">
        <v>0.87</v>
      </c>
      <c r="R15" s="21">
        <v>0.87</v>
      </c>
      <c r="S15" s="21">
        <v>0.9</v>
      </c>
    </row>
    <row r="16" spans="1:19" ht="46.8" customHeight="1" x14ac:dyDescent="0.3">
      <c r="A16" s="56" t="s">
        <v>59</v>
      </c>
      <c r="B16" s="70" t="s">
        <v>77</v>
      </c>
      <c r="C16" s="70" t="s">
        <v>78</v>
      </c>
      <c r="D16" s="77" t="s">
        <v>79</v>
      </c>
      <c r="E16" s="61"/>
      <c r="F16" s="37" t="s">
        <v>18</v>
      </c>
      <c r="G16" s="72"/>
      <c r="H16" s="73" t="s">
        <v>34</v>
      </c>
      <c r="I16" s="27" t="s">
        <v>34</v>
      </c>
      <c r="J16" s="18"/>
      <c r="K16" s="18"/>
      <c r="L16" s="19"/>
      <c r="M16" s="75" t="s">
        <v>52</v>
      </c>
      <c r="N16" s="19"/>
      <c r="O16" s="19"/>
      <c r="P16" s="19"/>
      <c r="Q16" s="19"/>
      <c r="R16" s="19"/>
      <c r="S16" s="19"/>
    </row>
    <row r="17" spans="1:19" ht="187.2" customHeight="1" x14ac:dyDescent="0.3">
      <c r="A17" s="56" t="s">
        <v>59</v>
      </c>
      <c r="B17" s="56" t="s">
        <v>77</v>
      </c>
      <c r="C17" s="56" t="s">
        <v>78</v>
      </c>
      <c r="D17" s="78" t="s">
        <v>80</v>
      </c>
      <c r="E17" s="61"/>
      <c r="F17" s="37" t="s">
        <v>18</v>
      </c>
      <c r="G17" s="60" t="s">
        <v>81</v>
      </c>
      <c r="H17" s="73" t="s">
        <v>34</v>
      </c>
      <c r="I17" s="27" t="s">
        <v>34</v>
      </c>
      <c r="J17" s="28" t="s">
        <v>82</v>
      </c>
      <c r="K17" s="28"/>
      <c r="L17" s="29"/>
      <c r="M17" s="75" t="s">
        <v>52</v>
      </c>
      <c r="N17" s="29"/>
      <c r="O17" s="29"/>
      <c r="P17" s="29"/>
      <c r="Q17" s="29"/>
      <c r="R17" s="29"/>
      <c r="S17" s="29"/>
    </row>
    <row r="18" spans="1:19" ht="140.4" customHeight="1" x14ac:dyDescent="0.3">
      <c r="A18" s="79" t="s">
        <v>83</v>
      </c>
      <c r="B18" s="79" t="s">
        <v>84</v>
      </c>
      <c r="C18" s="80" t="s">
        <v>85</v>
      </c>
      <c r="D18" s="17" t="s">
        <v>86</v>
      </c>
      <c r="E18" s="17"/>
      <c r="F18" s="37" t="s">
        <v>18</v>
      </c>
      <c r="G18" s="73" t="s">
        <v>48</v>
      </c>
      <c r="H18" s="73" t="s">
        <v>34</v>
      </c>
      <c r="I18" s="73" t="s">
        <v>21</v>
      </c>
      <c r="J18" s="66" t="s">
        <v>87</v>
      </c>
      <c r="K18" s="19" t="s">
        <v>88</v>
      </c>
      <c r="L18" s="19" t="s">
        <v>89</v>
      </c>
      <c r="M18" s="34"/>
      <c r="N18" s="64">
        <v>0.95</v>
      </c>
      <c r="O18" s="64">
        <v>0.95</v>
      </c>
      <c r="P18" s="64">
        <v>0.95</v>
      </c>
      <c r="Q18" s="64">
        <v>0.95</v>
      </c>
      <c r="R18" s="64">
        <v>0.95</v>
      </c>
      <c r="S18" s="64">
        <v>0.95</v>
      </c>
    </row>
    <row r="19" spans="1:19" ht="78" customHeight="1" x14ac:dyDescent="0.3">
      <c r="A19" s="79" t="s">
        <v>83</v>
      </c>
      <c r="B19" s="79" t="s">
        <v>90</v>
      </c>
      <c r="C19" s="80" t="s">
        <v>91</v>
      </c>
      <c r="D19" s="18" t="s">
        <v>92</v>
      </c>
      <c r="E19" s="17"/>
      <c r="F19" s="37" t="s">
        <v>18</v>
      </c>
      <c r="G19" s="73" t="s">
        <v>48</v>
      </c>
      <c r="H19" s="73" t="s">
        <v>34</v>
      </c>
      <c r="I19" s="73" t="s">
        <v>21</v>
      </c>
      <c r="J19" s="66" t="s">
        <v>93</v>
      </c>
      <c r="K19" s="19" t="s">
        <v>94</v>
      </c>
      <c r="L19" s="19" t="s">
        <v>88</v>
      </c>
      <c r="M19" s="34"/>
      <c r="N19" s="18"/>
      <c r="O19" s="21">
        <v>1</v>
      </c>
      <c r="P19" s="21">
        <v>1</v>
      </c>
      <c r="Q19" s="21">
        <v>1</v>
      </c>
      <c r="R19" s="21">
        <v>1</v>
      </c>
      <c r="S19" s="21">
        <v>1</v>
      </c>
    </row>
    <row r="20" spans="1:19" ht="78" customHeight="1" x14ac:dyDescent="0.3">
      <c r="A20" s="79" t="s">
        <v>83</v>
      </c>
      <c r="B20" s="79" t="s">
        <v>95</v>
      </c>
      <c r="C20" s="81" t="s">
        <v>96</v>
      </c>
      <c r="D20" s="16" t="s">
        <v>97</v>
      </c>
      <c r="E20" s="16"/>
      <c r="F20" s="37" t="s">
        <v>18</v>
      </c>
      <c r="G20" s="82" t="s">
        <v>48</v>
      </c>
      <c r="H20" s="82" t="s">
        <v>34</v>
      </c>
      <c r="I20" s="73" t="s">
        <v>21</v>
      </c>
      <c r="J20" s="83" t="s">
        <v>98</v>
      </c>
      <c r="K20" s="18" t="s">
        <v>99</v>
      </c>
      <c r="L20" s="19" t="s">
        <v>100</v>
      </c>
      <c r="M20" s="34"/>
      <c r="N20" s="19"/>
      <c r="O20" s="84" t="s">
        <v>58</v>
      </c>
      <c r="P20" s="19"/>
      <c r="Q20" s="19"/>
      <c r="R20" s="19"/>
      <c r="S20" s="19"/>
    </row>
    <row r="21" spans="1:19" ht="62.4" customHeight="1" x14ac:dyDescent="0.3">
      <c r="A21" s="79" t="s">
        <v>83</v>
      </c>
      <c r="B21" s="79" t="s">
        <v>95</v>
      </c>
      <c r="C21" s="80" t="s">
        <v>96</v>
      </c>
      <c r="D21" s="85" t="s">
        <v>101</v>
      </c>
      <c r="E21" s="85">
        <v>339</v>
      </c>
      <c r="F21" s="37" t="s">
        <v>18</v>
      </c>
      <c r="G21" s="85" t="s">
        <v>75</v>
      </c>
      <c r="H21" s="85" t="s">
        <v>49</v>
      </c>
      <c r="I21" s="73" t="s">
        <v>21</v>
      </c>
      <c r="J21" s="18" t="s">
        <v>102</v>
      </c>
      <c r="K21" s="18" t="s">
        <v>103</v>
      </c>
      <c r="L21" s="19" t="s">
        <v>100</v>
      </c>
      <c r="M21" s="34" t="s">
        <v>37</v>
      </c>
      <c r="N21" s="21">
        <v>0.33</v>
      </c>
      <c r="O21" s="86">
        <v>0.44</v>
      </c>
      <c r="P21" s="86">
        <v>0.45</v>
      </c>
      <c r="Q21" s="86">
        <v>0.5</v>
      </c>
      <c r="R21" s="86">
        <v>0.53</v>
      </c>
      <c r="S21" s="86">
        <v>0.55000000000000004</v>
      </c>
    </row>
    <row r="22" spans="1:19" ht="46.8" customHeight="1" x14ac:dyDescent="0.3">
      <c r="A22" s="79" t="s">
        <v>83</v>
      </c>
      <c r="B22" s="80" t="s">
        <v>104</v>
      </c>
      <c r="C22" s="80" t="s">
        <v>105</v>
      </c>
      <c r="D22" s="85" t="s">
        <v>106</v>
      </c>
      <c r="E22" s="88">
        <v>334</v>
      </c>
      <c r="F22" s="89" t="s">
        <v>18</v>
      </c>
      <c r="G22" s="89" t="s">
        <v>107</v>
      </c>
      <c r="H22" s="73" t="s">
        <v>48</v>
      </c>
      <c r="I22" s="73" t="s">
        <v>21</v>
      </c>
      <c r="J22" s="18" t="s">
        <v>108</v>
      </c>
      <c r="K22" s="18"/>
      <c r="L22" s="19"/>
      <c r="M22" s="34" t="s">
        <v>52</v>
      </c>
      <c r="N22" s="90">
        <v>0.89</v>
      </c>
      <c r="O22" s="21">
        <v>0.9</v>
      </c>
      <c r="P22" s="19"/>
      <c r="Q22" s="19"/>
      <c r="R22" s="19"/>
      <c r="S22" s="19"/>
    </row>
    <row r="23" spans="1:19" ht="62.4" customHeight="1" x14ac:dyDescent="0.3">
      <c r="A23" s="79" t="s">
        <v>83</v>
      </c>
      <c r="B23" s="80" t="s">
        <v>104</v>
      </c>
      <c r="C23" s="80" t="s">
        <v>109</v>
      </c>
      <c r="D23" s="88" t="s">
        <v>110</v>
      </c>
      <c r="E23" s="88">
        <v>283</v>
      </c>
      <c r="F23" s="89" t="s">
        <v>18</v>
      </c>
      <c r="G23" s="89" t="s">
        <v>107</v>
      </c>
      <c r="H23" s="88" t="s">
        <v>49</v>
      </c>
      <c r="I23" s="73" t="s">
        <v>21</v>
      </c>
      <c r="J23" s="18" t="s">
        <v>111</v>
      </c>
      <c r="K23" s="18" t="s">
        <v>112</v>
      </c>
      <c r="L23" s="19" t="s">
        <v>100</v>
      </c>
      <c r="M23" s="34"/>
      <c r="N23" s="19">
        <v>4.5999999999999996</v>
      </c>
      <c r="O23" s="19">
        <v>4.66</v>
      </c>
      <c r="P23" s="19"/>
      <c r="Q23" s="19"/>
      <c r="R23" s="19"/>
      <c r="S23" s="19"/>
    </row>
    <row r="24" spans="1:19" ht="218.4" customHeight="1" x14ac:dyDescent="0.3">
      <c r="A24" s="79" t="s">
        <v>113</v>
      </c>
      <c r="B24" s="79" t="s">
        <v>114</v>
      </c>
      <c r="C24" s="113" t="s">
        <v>115</v>
      </c>
      <c r="D24" s="142" t="s">
        <v>116</v>
      </c>
      <c r="E24" s="17"/>
      <c r="F24" s="62" t="s">
        <v>34</v>
      </c>
      <c r="G24" s="16" t="s">
        <v>117</v>
      </c>
      <c r="H24" s="73" t="s">
        <v>34</v>
      </c>
      <c r="I24" s="27" t="s">
        <v>34</v>
      </c>
      <c r="J24" s="63"/>
      <c r="K24" s="29"/>
      <c r="L24" s="29" t="s">
        <v>118</v>
      </c>
      <c r="M24" s="94"/>
      <c r="N24" s="63"/>
      <c r="O24" s="29"/>
      <c r="P24" s="29"/>
      <c r="Q24" s="29"/>
      <c r="R24" s="29"/>
      <c r="S24" s="29"/>
    </row>
    <row r="25" spans="1:19" ht="140.4" customHeight="1" x14ac:dyDescent="0.3">
      <c r="A25" s="79" t="s">
        <v>113</v>
      </c>
      <c r="B25" s="79" t="s">
        <v>114</v>
      </c>
      <c r="C25" s="80" t="s">
        <v>115</v>
      </c>
      <c r="D25" s="142" t="s">
        <v>119</v>
      </c>
      <c r="E25" s="17"/>
      <c r="F25" s="62" t="s">
        <v>34</v>
      </c>
      <c r="G25" s="16" t="s">
        <v>120</v>
      </c>
      <c r="H25" s="73" t="s">
        <v>34</v>
      </c>
      <c r="I25" s="27" t="s">
        <v>34</v>
      </c>
      <c r="J25" s="63"/>
      <c r="K25" s="29"/>
      <c r="L25" s="29" t="s">
        <v>118</v>
      </c>
      <c r="M25" s="94"/>
      <c r="N25" s="63"/>
      <c r="O25" s="29"/>
      <c r="P25" s="29"/>
      <c r="Q25" s="29"/>
      <c r="R25" s="29"/>
      <c r="S25" s="29"/>
    </row>
    <row r="26" spans="1:19" ht="93.6" customHeight="1" x14ac:dyDescent="0.3">
      <c r="A26" s="79" t="s">
        <v>113</v>
      </c>
      <c r="B26" s="79" t="s">
        <v>114</v>
      </c>
      <c r="C26" s="80" t="s">
        <v>121</v>
      </c>
      <c r="D26" s="16" t="s">
        <v>122</v>
      </c>
      <c r="E26" s="17"/>
      <c r="F26" s="62" t="s">
        <v>34</v>
      </c>
      <c r="G26" s="82" t="s">
        <v>123</v>
      </c>
      <c r="H26" s="73" t="s">
        <v>34</v>
      </c>
      <c r="I26" s="27" t="s">
        <v>34</v>
      </c>
      <c r="J26" s="18" t="s">
        <v>124</v>
      </c>
      <c r="K26" s="19" t="s">
        <v>125</v>
      </c>
      <c r="L26" s="19" t="s">
        <v>126</v>
      </c>
      <c r="M26" s="34" t="s">
        <v>52</v>
      </c>
      <c r="N26" s="66"/>
      <c r="O26" s="19"/>
      <c r="P26" s="19"/>
      <c r="Q26" s="19"/>
      <c r="R26" s="19"/>
      <c r="S26" s="19"/>
    </row>
    <row r="27" spans="1:19" ht="78" customHeight="1" x14ac:dyDescent="0.3">
      <c r="A27" s="79" t="s">
        <v>113</v>
      </c>
      <c r="B27" s="79" t="s">
        <v>127</v>
      </c>
      <c r="C27" s="80" t="s">
        <v>128</v>
      </c>
      <c r="D27" s="16" t="s">
        <v>129</v>
      </c>
      <c r="E27" s="17"/>
      <c r="F27" s="62" t="s">
        <v>34</v>
      </c>
      <c r="G27" s="73" t="s">
        <v>48</v>
      </c>
      <c r="H27" s="73" t="s">
        <v>34</v>
      </c>
      <c r="I27" s="27" t="s">
        <v>34</v>
      </c>
      <c r="J27" s="18" t="s">
        <v>129</v>
      </c>
      <c r="K27" s="18" t="s">
        <v>130</v>
      </c>
      <c r="L27" s="19" t="s">
        <v>131</v>
      </c>
      <c r="M27" s="34"/>
      <c r="N27" s="19"/>
      <c r="O27" s="19">
        <v>23</v>
      </c>
      <c r="P27" s="19">
        <v>28</v>
      </c>
      <c r="Q27" s="19">
        <v>22</v>
      </c>
      <c r="R27" s="97">
        <v>27</v>
      </c>
      <c r="S27" s="97">
        <v>15</v>
      </c>
    </row>
    <row r="28" spans="1:19" ht="62.4" customHeight="1" x14ac:dyDescent="0.3">
      <c r="A28" s="79" t="s">
        <v>113</v>
      </c>
      <c r="B28" s="98" t="s">
        <v>132</v>
      </c>
      <c r="C28" s="80" t="s">
        <v>133</v>
      </c>
      <c r="D28" s="16" t="s">
        <v>134</v>
      </c>
      <c r="E28" s="17">
        <v>325</v>
      </c>
      <c r="F28" s="17" t="s">
        <v>18</v>
      </c>
      <c r="G28" s="16" t="s">
        <v>75</v>
      </c>
      <c r="H28" s="17" t="s">
        <v>49</v>
      </c>
      <c r="I28" s="27" t="s">
        <v>21</v>
      </c>
      <c r="J28" s="18"/>
      <c r="K28" s="18" t="s">
        <v>130</v>
      </c>
      <c r="L28" s="19" t="s">
        <v>131</v>
      </c>
      <c r="M28" s="34"/>
      <c r="N28" s="19">
        <v>12</v>
      </c>
      <c r="O28" s="19">
        <v>7</v>
      </c>
      <c r="P28" s="19">
        <v>11</v>
      </c>
      <c r="Q28" s="19">
        <v>7</v>
      </c>
      <c r="R28" s="19">
        <v>7</v>
      </c>
      <c r="S28" s="19">
        <v>7</v>
      </c>
    </row>
    <row r="29" spans="1:19" ht="62.4" customHeight="1" x14ac:dyDescent="0.3">
      <c r="A29" s="79" t="s">
        <v>113</v>
      </c>
      <c r="B29" s="98" t="s">
        <v>132</v>
      </c>
      <c r="C29" s="80" t="s">
        <v>133</v>
      </c>
      <c r="D29" s="16" t="s">
        <v>135</v>
      </c>
      <c r="E29" s="17">
        <v>323</v>
      </c>
      <c r="F29" s="17" t="s">
        <v>18</v>
      </c>
      <c r="G29" s="16" t="s">
        <v>75</v>
      </c>
      <c r="H29" s="17" t="s">
        <v>49</v>
      </c>
      <c r="I29" s="27" t="s">
        <v>21</v>
      </c>
      <c r="J29" s="18"/>
      <c r="K29" s="18" t="s">
        <v>130</v>
      </c>
      <c r="L29" s="19" t="s">
        <v>131</v>
      </c>
      <c r="M29" s="34"/>
      <c r="N29" s="99">
        <v>7</v>
      </c>
      <c r="O29" s="99">
        <v>14</v>
      </c>
      <c r="P29" s="99">
        <v>5</v>
      </c>
      <c r="Q29" s="99">
        <v>29</v>
      </c>
      <c r="R29" s="99">
        <v>20</v>
      </c>
      <c r="S29" s="99">
        <v>8</v>
      </c>
    </row>
    <row r="30" spans="1:19" ht="78" customHeight="1" x14ac:dyDescent="0.3">
      <c r="A30" s="33" t="s">
        <v>136</v>
      </c>
      <c r="B30" s="48" t="s">
        <v>137</v>
      </c>
      <c r="C30" s="100" t="s">
        <v>138</v>
      </c>
      <c r="D30" s="35" t="s">
        <v>139</v>
      </c>
      <c r="E30" s="36">
        <v>148</v>
      </c>
      <c r="F30" s="17" t="s">
        <v>18</v>
      </c>
      <c r="G30" s="35" t="s">
        <v>140</v>
      </c>
      <c r="H30" s="36" t="s">
        <v>49</v>
      </c>
      <c r="I30" s="36" t="s">
        <v>21</v>
      </c>
      <c r="J30" s="42" t="s">
        <v>141</v>
      </c>
      <c r="K30" s="40" t="s">
        <v>142</v>
      </c>
      <c r="L30" s="40" t="s">
        <v>142</v>
      </c>
      <c r="M30" s="101" t="s">
        <v>37</v>
      </c>
      <c r="N30" s="102">
        <v>0.05</v>
      </c>
      <c r="O30" s="55">
        <v>0.08</v>
      </c>
      <c r="P30" s="55">
        <v>0.1</v>
      </c>
      <c r="Q30" s="55">
        <v>0.12</v>
      </c>
      <c r="R30" s="55">
        <v>0.13</v>
      </c>
      <c r="S30" s="55">
        <v>0.14000000000000001</v>
      </c>
    </row>
    <row r="31" spans="1:19" ht="62.4" customHeight="1" x14ac:dyDescent="0.3">
      <c r="A31" s="33" t="s">
        <v>136</v>
      </c>
      <c r="B31" s="48" t="s">
        <v>143</v>
      </c>
      <c r="C31" s="100" t="s">
        <v>138</v>
      </c>
      <c r="D31" s="103" t="s">
        <v>144</v>
      </c>
      <c r="E31" s="41"/>
      <c r="F31" s="17" t="s">
        <v>18</v>
      </c>
      <c r="G31" s="104" t="s">
        <v>48</v>
      </c>
      <c r="H31" s="73" t="s">
        <v>34</v>
      </c>
      <c r="I31" s="36" t="s">
        <v>21</v>
      </c>
      <c r="J31" s="42"/>
      <c r="K31" s="40" t="s">
        <v>142</v>
      </c>
      <c r="L31" s="40" t="s">
        <v>142</v>
      </c>
      <c r="M31" s="101"/>
      <c r="N31" s="55" t="s">
        <v>58</v>
      </c>
      <c r="O31" s="55">
        <v>0.57999999999999996</v>
      </c>
      <c r="P31" s="55">
        <v>0.57999999999999996</v>
      </c>
      <c r="Q31" s="55">
        <v>0.76</v>
      </c>
      <c r="R31" s="55">
        <v>0.76</v>
      </c>
      <c r="S31" s="55">
        <v>1</v>
      </c>
    </row>
    <row r="32" spans="1:19" ht="124.8" customHeight="1" x14ac:dyDescent="0.3">
      <c r="A32" s="33" t="s">
        <v>136</v>
      </c>
      <c r="B32" s="48" t="s">
        <v>143</v>
      </c>
      <c r="C32" s="100" t="s">
        <v>138</v>
      </c>
      <c r="D32" s="35" t="s">
        <v>145</v>
      </c>
      <c r="E32" s="36"/>
      <c r="F32" s="105" t="s">
        <v>18</v>
      </c>
      <c r="G32" s="106" t="s">
        <v>146</v>
      </c>
      <c r="H32" s="73" t="s">
        <v>34</v>
      </c>
      <c r="I32" s="36" t="s">
        <v>21</v>
      </c>
      <c r="J32" s="39"/>
      <c r="K32" s="40" t="s">
        <v>142</v>
      </c>
      <c r="L32" s="40" t="s">
        <v>142</v>
      </c>
      <c r="M32" s="101" t="s">
        <v>147</v>
      </c>
      <c r="N32" s="42" t="s">
        <v>58</v>
      </c>
      <c r="O32" s="40">
        <v>116</v>
      </c>
      <c r="P32" s="40">
        <v>110</v>
      </c>
      <c r="Q32" s="40">
        <v>110</v>
      </c>
      <c r="R32" s="40">
        <v>115</v>
      </c>
      <c r="S32" s="40">
        <v>120</v>
      </c>
    </row>
    <row r="33" spans="1:19" ht="140.4" customHeight="1" x14ac:dyDescent="0.3">
      <c r="A33" s="33" t="s">
        <v>136</v>
      </c>
      <c r="B33" s="48" t="s">
        <v>143</v>
      </c>
      <c r="C33" s="100" t="s">
        <v>138</v>
      </c>
      <c r="D33" s="35" t="s">
        <v>148</v>
      </c>
      <c r="E33" s="36"/>
      <c r="F33" s="105" t="s">
        <v>18</v>
      </c>
      <c r="G33" s="106" t="s">
        <v>149</v>
      </c>
      <c r="H33" s="73" t="s">
        <v>34</v>
      </c>
      <c r="I33" s="36" t="s">
        <v>21</v>
      </c>
      <c r="J33" s="39"/>
      <c r="K33" s="40" t="s">
        <v>142</v>
      </c>
      <c r="L33" s="40" t="s">
        <v>142</v>
      </c>
      <c r="M33" s="101"/>
      <c r="N33" s="42" t="s">
        <v>58</v>
      </c>
      <c r="O33" s="108">
        <v>34</v>
      </c>
      <c r="P33" s="108">
        <v>68</v>
      </c>
      <c r="Q33" s="108">
        <v>102</v>
      </c>
      <c r="R33" s="108">
        <v>136</v>
      </c>
      <c r="S33" s="108">
        <v>136</v>
      </c>
    </row>
    <row r="34" spans="1:19" ht="62.4" customHeight="1" x14ac:dyDescent="0.3">
      <c r="A34" s="33" t="s">
        <v>136</v>
      </c>
      <c r="B34" s="48" t="s">
        <v>143</v>
      </c>
      <c r="C34" s="100" t="s">
        <v>138</v>
      </c>
      <c r="D34" s="41" t="s">
        <v>150</v>
      </c>
      <c r="E34" s="41"/>
      <c r="F34" s="105" t="s">
        <v>18</v>
      </c>
      <c r="G34" s="104" t="s">
        <v>48</v>
      </c>
      <c r="H34" s="73" t="s">
        <v>34</v>
      </c>
      <c r="I34" s="36" t="s">
        <v>21</v>
      </c>
      <c r="J34" s="42"/>
      <c r="K34" s="40" t="s">
        <v>142</v>
      </c>
      <c r="L34" s="40" t="s">
        <v>142</v>
      </c>
      <c r="M34" s="101" t="s">
        <v>147</v>
      </c>
      <c r="N34" s="42" t="s">
        <v>58</v>
      </c>
      <c r="O34" s="55">
        <v>0.44</v>
      </c>
      <c r="P34" s="55">
        <v>0.44</v>
      </c>
      <c r="Q34" s="55">
        <v>0.65</v>
      </c>
      <c r="R34" s="55">
        <v>0.65</v>
      </c>
      <c r="S34" s="55">
        <v>0.8</v>
      </c>
    </row>
    <row r="35" spans="1:19" ht="296.39999999999998" customHeight="1" x14ac:dyDescent="0.3">
      <c r="A35" s="80" t="s">
        <v>151</v>
      </c>
      <c r="B35" s="98" t="s">
        <v>152</v>
      </c>
      <c r="C35" s="113" t="s">
        <v>153</v>
      </c>
      <c r="D35" s="16" t="s">
        <v>154</v>
      </c>
      <c r="E35" s="17"/>
      <c r="F35" s="73" t="s">
        <v>34</v>
      </c>
      <c r="G35" s="95" t="s">
        <v>155</v>
      </c>
      <c r="H35" s="73" t="s">
        <v>34</v>
      </c>
      <c r="I35" s="27" t="s">
        <v>21</v>
      </c>
      <c r="J35" s="114" t="s">
        <v>156</v>
      </c>
      <c r="K35" s="19"/>
      <c r="L35" s="19"/>
      <c r="M35" s="34"/>
      <c r="N35" s="66"/>
      <c r="O35" s="19"/>
      <c r="P35" s="19"/>
      <c r="Q35" s="19"/>
      <c r="R35" s="19"/>
      <c r="S35" s="19"/>
    </row>
    <row r="36" spans="1:19" ht="93.6" customHeight="1" x14ac:dyDescent="0.3">
      <c r="A36" s="80" t="s">
        <v>151</v>
      </c>
      <c r="B36" s="98" t="s">
        <v>152</v>
      </c>
      <c r="C36" s="80" t="s">
        <v>157</v>
      </c>
      <c r="D36" s="115" t="s">
        <v>158</v>
      </c>
      <c r="E36" s="116"/>
      <c r="F36" s="73" t="s">
        <v>18</v>
      </c>
      <c r="G36" s="17" t="s">
        <v>159</v>
      </c>
      <c r="H36" s="73" t="s">
        <v>34</v>
      </c>
      <c r="I36" s="27" t="s">
        <v>21</v>
      </c>
      <c r="J36" s="18"/>
      <c r="K36" s="18"/>
      <c r="L36" s="19"/>
      <c r="M36" s="34" t="s">
        <v>52</v>
      </c>
      <c r="N36" s="19"/>
      <c r="O36" s="19"/>
      <c r="P36" s="19"/>
      <c r="Q36" s="19"/>
      <c r="R36" s="19"/>
      <c r="S36" s="19"/>
    </row>
    <row r="37" spans="1:19" ht="46.95" customHeight="1" x14ac:dyDescent="0.3">
      <c r="A37" s="93" t="s">
        <v>160</v>
      </c>
      <c r="B37" s="117" t="s">
        <v>161</v>
      </c>
      <c r="C37" s="93" t="s">
        <v>162</v>
      </c>
      <c r="D37" s="27" t="s">
        <v>163</v>
      </c>
      <c r="E37" s="17">
        <v>318</v>
      </c>
      <c r="F37" s="27" t="s">
        <v>18</v>
      </c>
      <c r="G37" s="27" t="s">
        <v>48</v>
      </c>
      <c r="H37" s="16" t="s">
        <v>49</v>
      </c>
      <c r="I37" s="27" t="s">
        <v>21</v>
      </c>
      <c r="J37" s="63" t="s">
        <v>164</v>
      </c>
      <c r="K37" s="19" t="s">
        <v>165</v>
      </c>
      <c r="L37" s="19" t="s">
        <v>165</v>
      </c>
      <c r="M37" s="94" t="s">
        <v>52</v>
      </c>
      <c r="N37" s="120">
        <v>0.85</v>
      </c>
      <c r="O37" s="120">
        <v>0.85</v>
      </c>
      <c r="P37" s="120">
        <v>0.85</v>
      </c>
      <c r="Q37" s="120">
        <v>0.85</v>
      </c>
      <c r="R37" s="120">
        <v>0.85</v>
      </c>
      <c r="S37" s="120">
        <v>0.85</v>
      </c>
    </row>
    <row r="38" spans="1:19" ht="62.4" customHeight="1" x14ac:dyDescent="0.3">
      <c r="A38" s="93" t="s">
        <v>160</v>
      </c>
      <c r="B38" s="119" t="s">
        <v>161</v>
      </c>
      <c r="C38" s="113" t="s">
        <v>166</v>
      </c>
      <c r="D38" s="16" t="s">
        <v>167</v>
      </c>
      <c r="E38" s="17">
        <v>532</v>
      </c>
      <c r="F38" s="27" t="s">
        <v>18</v>
      </c>
      <c r="G38" s="16"/>
      <c r="H38" s="16" t="s">
        <v>49</v>
      </c>
      <c r="I38" s="27" t="s">
        <v>21</v>
      </c>
      <c r="J38" s="66" t="s">
        <v>168</v>
      </c>
      <c r="K38" s="19" t="s">
        <v>165</v>
      </c>
      <c r="L38" s="19" t="s">
        <v>165</v>
      </c>
      <c r="M38" s="94" t="s">
        <v>52</v>
      </c>
      <c r="N38" s="64">
        <v>1</v>
      </c>
      <c r="O38" s="64">
        <v>1</v>
      </c>
      <c r="P38" s="64">
        <v>1</v>
      </c>
      <c r="Q38" s="64">
        <v>1</v>
      </c>
      <c r="R38" s="64">
        <v>1</v>
      </c>
      <c r="S38" s="64">
        <v>1</v>
      </c>
    </row>
    <row r="39" spans="1:19" ht="109.2" customHeight="1" x14ac:dyDescent="0.3">
      <c r="A39" s="93" t="s">
        <v>160</v>
      </c>
      <c r="B39" s="98" t="s">
        <v>169</v>
      </c>
      <c r="C39" s="80" t="s">
        <v>166</v>
      </c>
      <c r="D39" s="16" t="s">
        <v>170</v>
      </c>
      <c r="E39" s="17">
        <v>533</v>
      </c>
      <c r="F39" s="27" t="s">
        <v>18</v>
      </c>
      <c r="G39" s="16"/>
      <c r="H39" s="16" t="s">
        <v>49</v>
      </c>
      <c r="I39" s="27" t="s">
        <v>21</v>
      </c>
      <c r="J39" s="66" t="s">
        <v>171</v>
      </c>
      <c r="K39" s="19" t="s">
        <v>165</v>
      </c>
      <c r="L39" s="19" t="s">
        <v>165</v>
      </c>
      <c r="M39" s="34" t="s">
        <v>37</v>
      </c>
      <c r="N39" s="64">
        <v>1</v>
      </c>
      <c r="O39" s="64">
        <v>1</v>
      </c>
      <c r="P39" s="64">
        <v>1</v>
      </c>
      <c r="Q39" s="64">
        <v>1</v>
      </c>
      <c r="R39" s="64">
        <v>1</v>
      </c>
      <c r="S39" s="64">
        <v>1</v>
      </c>
    </row>
    <row r="40" spans="1:19" ht="93.6" customHeight="1" x14ac:dyDescent="0.3">
      <c r="A40" s="93" t="s">
        <v>160</v>
      </c>
      <c r="B40" s="98" t="s">
        <v>169</v>
      </c>
      <c r="C40" s="80" t="s">
        <v>166</v>
      </c>
      <c r="D40" s="16" t="s">
        <v>172</v>
      </c>
      <c r="E40" s="17">
        <v>534</v>
      </c>
      <c r="F40" s="27" t="s">
        <v>18</v>
      </c>
      <c r="G40" s="16"/>
      <c r="H40" s="16" t="s">
        <v>49</v>
      </c>
      <c r="I40" s="27" t="s">
        <v>21</v>
      </c>
      <c r="J40" s="18" t="s">
        <v>173</v>
      </c>
      <c r="K40" s="19" t="s">
        <v>165</v>
      </c>
      <c r="L40" s="19" t="s">
        <v>165</v>
      </c>
      <c r="M40" s="34" t="s">
        <v>37</v>
      </c>
      <c r="N40" s="64">
        <v>1</v>
      </c>
      <c r="O40" s="64">
        <v>1</v>
      </c>
      <c r="P40" s="64">
        <v>1</v>
      </c>
      <c r="Q40" s="64">
        <v>1</v>
      </c>
      <c r="R40" s="64">
        <v>1</v>
      </c>
      <c r="S40" s="64">
        <v>1</v>
      </c>
    </row>
    <row r="41" spans="1:19" ht="93.6" customHeight="1" x14ac:dyDescent="0.3">
      <c r="A41" s="93" t="s">
        <v>160</v>
      </c>
      <c r="B41" s="98" t="s">
        <v>169</v>
      </c>
      <c r="C41" s="80" t="s">
        <v>166</v>
      </c>
      <c r="D41" s="16" t="s">
        <v>174</v>
      </c>
      <c r="E41" s="17">
        <v>535</v>
      </c>
      <c r="F41" s="27" t="s">
        <v>18</v>
      </c>
      <c r="G41" s="16"/>
      <c r="H41" s="16" t="s">
        <v>49</v>
      </c>
      <c r="I41" s="27" t="s">
        <v>21</v>
      </c>
      <c r="J41" s="18" t="s">
        <v>175</v>
      </c>
      <c r="K41" s="19" t="s">
        <v>165</v>
      </c>
      <c r="L41" s="19" t="s">
        <v>165</v>
      </c>
      <c r="M41" s="34" t="s">
        <v>37</v>
      </c>
      <c r="N41" s="64">
        <v>1</v>
      </c>
      <c r="O41" s="64">
        <v>1</v>
      </c>
      <c r="P41" s="64">
        <v>1</v>
      </c>
      <c r="Q41" s="64">
        <v>1</v>
      </c>
      <c r="R41" s="64">
        <v>1</v>
      </c>
      <c r="S41" s="64">
        <v>1</v>
      </c>
    </row>
    <row r="42" spans="1:19" ht="93.6" customHeight="1" x14ac:dyDescent="0.3">
      <c r="A42" s="93" t="s">
        <v>160</v>
      </c>
      <c r="B42" s="98" t="s">
        <v>169</v>
      </c>
      <c r="C42" s="80" t="s">
        <v>166</v>
      </c>
      <c r="D42" s="16" t="s">
        <v>176</v>
      </c>
      <c r="E42" s="17">
        <v>536</v>
      </c>
      <c r="F42" s="27" t="s">
        <v>18</v>
      </c>
      <c r="G42" s="16"/>
      <c r="H42" s="16" t="s">
        <v>49</v>
      </c>
      <c r="I42" s="27" t="s">
        <v>21</v>
      </c>
      <c r="J42" s="18" t="s">
        <v>177</v>
      </c>
      <c r="K42" s="19" t="s">
        <v>165</v>
      </c>
      <c r="L42" s="19" t="s">
        <v>165</v>
      </c>
      <c r="M42" s="34" t="s">
        <v>37</v>
      </c>
      <c r="N42" s="64">
        <v>1</v>
      </c>
      <c r="O42" s="64">
        <v>1</v>
      </c>
      <c r="P42" s="64">
        <v>1</v>
      </c>
      <c r="Q42" s="64">
        <v>1</v>
      </c>
      <c r="R42" s="64">
        <v>1</v>
      </c>
      <c r="S42" s="64">
        <v>1</v>
      </c>
    </row>
    <row r="43" spans="1:19" ht="88.8" customHeight="1" x14ac:dyDescent="0.3">
      <c r="A43" s="93" t="s">
        <v>178</v>
      </c>
      <c r="B43" s="117" t="s">
        <v>179</v>
      </c>
      <c r="C43" s="93" t="s">
        <v>180</v>
      </c>
      <c r="D43" s="26" t="s">
        <v>181</v>
      </c>
      <c r="E43" s="17"/>
      <c r="F43" s="62" t="s">
        <v>18</v>
      </c>
      <c r="G43" s="95" t="s">
        <v>48</v>
      </c>
      <c r="H43" s="73" t="s">
        <v>34</v>
      </c>
      <c r="I43" s="62" t="s">
        <v>21</v>
      </c>
      <c r="J43" s="63" t="s">
        <v>182</v>
      </c>
      <c r="K43" s="29"/>
      <c r="L43" s="29" t="s">
        <v>183</v>
      </c>
      <c r="M43" s="94"/>
      <c r="N43" s="63"/>
      <c r="O43" s="29"/>
      <c r="P43" s="29"/>
      <c r="Q43" s="29"/>
      <c r="R43" s="29"/>
      <c r="S43" s="29"/>
    </row>
    <row r="44" spans="1:19" ht="130.80000000000001" customHeight="1" x14ac:dyDescent="0.3">
      <c r="A44" s="80" t="s">
        <v>178</v>
      </c>
      <c r="B44" s="98" t="s">
        <v>179</v>
      </c>
      <c r="C44" s="80" t="s">
        <v>180</v>
      </c>
      <c r="D44" s="17" t="s">
        <v>184</v>
      </c>
      <c r="E44" s="17">
        <v>597</v>
      </c>
      <c r="F44" s="73" t="s">
        <v>18</v>
      </c>
      <c r="G44" s="82" t="s">
        <v>48</v>
      </c>
      <c r="H44" s="73" t="s">
        <v>34</v>
      </c>
      <c r="I44" s="62" t="s">
        <v>21</v>
      </c>
      <c r="J44" s="66" t="s">
        <v>185</v>
      </c>
      <c r="K44" s="19"/>
      <c r="L44" s="19" t="s">
        <v>183</v>
      </c>
      <c r="M44" s="34"/>
      <c r="N44" s="66"/>
      <c r="O44" s="19" t="s">
        <v>58</v>
      </c>
      <c r="P44" s="19"/>
      <c r="Q44" s="19"/>
      <c r="R44" s="19"/>
      <c r="S44" s="19"/>
    </row>
    <row r="45" spans="1:19" ht="132.6" customHeight="1" x14ac:dyDescent="0.3">
      <c r="A45" s="93" t="s">
        <v>178</v>
      </c>
      <c r="B45" s="117" t="s">
        <v>179</v>
      </c>
      <c r="C45" s="93" t="s">
        <v>186</v>
      </c>
      <c r="D45" s="17" t="s">
        <v>187</v>
      </c>
      <c r="E45" s="17">
        <v>500</v>
      </c>
      <c r="F45" s="73" t="s">
        <v>18</v>
      </c>
      <c r="G45" s="82" t="s">
        <v>188</v>
      </c>
      <c r="H45" s="17" t="s">
        <v>20</v>
      </c>
      <c r="I45" s="62" t="s">
        <v>21</v>
      </c>
      <c r="J45" s="63" t="s">
        <v>189</v>
      </c>
      <c r="K45" s="29" t="s">
        <v>190</v>
      </c>
      <c r="L45" s="29" t="s">
        <v>191</v>
      </c>
      <c r="M45" s="94"/>
      <c r="N45" s="120">
        <v>0.8</v>
      </c>
      <c r="O45" s="122">
        <v>0.85</v>
      </c>
      <c r="P45" s="29"/>
      <c r="Q45" s="29"/>
      <c r="R45" s="29"/>
      <c r="S45" s="29"/>
    </row>
    <row r="46" spans="1:19" ht="132.6" customHeight="1" x14ac:dyDescent="0.3">
      <c r="A46" s="93" t="s">
        <v>178</v>
      </c>
      <c r="B46" s="117" t="s">
        <v>179</v>
      </c>
      <c r="C46" s="93" t="s">
        <v>186</v>
      </c>
      <c r="D46" s="17" t="s">
        <v>192</v>
      </c>
      <c r="E46" s="17"/>
      <c r="F46" s="73" t="s">
        <v>18</v>
      </c>
      <c r="G46" s="82" t="s">
        <v>188</v>
      </c>
      <c r="H46" s="17" t="s">
        <v>20</v>
      </c>
      <c r="I46" s="62" t="s">
        <v>21</v>
      </c>
      <c r="J46" s="63" t="s">
        <v>189</v>
      </c>
      <c r="K46" s="29" t="s">
        <v>190</v>
      </c>
      <c r="L46" s="29" t="s">
        <v>193</v>
      </c>
      <c r="M46" s="94"/>
      <c r="N46" s="120">
        <v>0.8</v>
      </c>
      <c r="O46" s="122">
        <v>0.85</v>
      </c>
      <c r="P46" s="29"/>
      <c r="Q46" s="29"/>
      <c r="R46" s="29"/>
      <c r="S46" s="29"/>
    </row>
    <row r="47" spans="1:19" ht="93.6" customHeight="1" x14ac:dyDescent="0.3">
      <c r="A47" s="80" t="s">
        <v>178</v>
      </c>
      <c r="B47" s="98" t="s">
        <v>179</v>
      </c>
      <c r="C47" s="80" t="s">
        <v>186</v>
      </c>
      <c r="D47" s="16" t="s">
        <v>194</v>
      </c>
      <c r="E47" s="17"/>
      <c r="F47" s="73" t="s">
        <v>18</v>
      </c>
      <c r="G47" s="82" t="s">
        <v>48</v>
      </c>
      <c r="H47" s="73" t="s">
        <v>34</v>
      </c>
      <c r="I47" s="62" t="s">
        <v>21</v>
      </c>
      <c r="J47" s="114" t="s">
        <v>195</v>
      </c>
      <c r="K47" s="19"/>
      <c r="L47" s="19" t="s">
        <v>183</v>
      </c>
      <c r="M47" s="34"/>
      <c r="N47" s="66"/>
      <c r="O47" s="19"/>
      <c r="P47" s="19"/>
      <c r="Q47" s="19"/>
      <c r="R47" s="19"/>
      <c r="S47" s="19"/>
    </row>
    <row r="48" spans="1:19" ht="109.2" customHeight="1" x14ac:dyDescent="0.3">
      <c r="A48" s="80" t="s">
        <v>196</v>
      </c>
      <c r="B48" s="125" t="s">
        <v>197</v>
      </c>
      <c r="C48" s="126" t="s">
        <v>198</v>
      </c>
      <c r="D48" s="17" t="s">
        <v>199</v>
      </c>
      <c r="E48" s="17">
        <v>576</v>
      </c>
      <c r="F48" s="62" t="s">
        <v>18</v>
      </c>
      <c r="G48" s="73" t="s">
        <v>48</v>
      </c>
      <c r="H48" s="73" t="s">
        <v>49</v>
      </c>
      <c r="I48" s="73" t="s">
        <v>21</v>
      </c>
      <c r="J48" s="66" t="s">
        <v>200</v>
      </c>
      <c r="K48" s="19" t="s">
        <v>112</v>
      </c>
      <c r="L48" s="19" t="s">
        <v>112</v>
      </c>
      <c r="M48" s="127"/>
      <c r="N48" s="66" t="s">
        <v>58</v>
      </c>
      <c r="O48" s="21">
        <v>1</v>
      </c>
      <c r="P48" s="21">
        <v>1</v>
      </c>
      <c r="Q48" s="21">
        <v>1</v>
      </c>
      <c r="R48" s="21">
        <v>1</v>
      </c>
      <c r="S48" s="21">
        <v>1</v>
      </c>
    </row>
    <row r="49" spans="1:19" ht="78" customHeight="1" x14ac:dyDescent="0.3">
      <c r="A49" s="93" t="s">
        <v>196</v>
      </c>
      <c r="B49" s="93" t="s">
        <v>201</v>
      </c>
      <c r="C49" s="128" t="s">
        <v>202</v>
      </c>
      <c r="D49" s="26" t="s">
        <v>203</v>
      </c>
      <c r="E49" s="17">
        <v>573</v>
      </c>
      <c r="F49" s="62" t="s">
        <v>18</v>
      </c>
      <c r="G49" s="95" t="s">
        <v>48</v>
      </c>
      <c r="H49" s="73" t="s">
        <v>49</v>
      </c>
      <c r="I49" s="73" t="s">
        <v>21</v>
      </c>
      <c r="J49" s="63" t="s">
        <v>204</v>
      </c>
      <c r="K49" s="29" t="s">
        <v>112</v>
      </c>
      <c r="L49" s="29" t="s">
        <v>112</v>
      </c>
      <c r="M49" s="129"/>
      <c r="N49" s="63"/>
      <c r="O49" s="29">
        <v>112</v>
      </c>
      <c r="P49" s="29">
        <v>99</v>
      </c>
      <c r="Q49" s="29">
        <v>88</v>
      </c>
      <c r="R49" s="29">
        <v>75</v>
      </c>
      <c r="S49" s="29">
        <v>75</v>
      </c>
    </row>
    <row r="50" spans="1:19" ht="109.2" customHeight="1" x14ac:dyDescent="0.3">
      <c r="A50" s="80" t="s">
        <v>196</v>
      </c>
      <c r="B50" s="98" t="s">
        <v>205</v>
      </c>
      <c r="C50" s="80" t="s">
        <v>206</v>
      </c>
      <c r="D50" s="17" t="s">
        <v>207</v>
      </c>
      <c r="E50" s="17">
        <v>460</v>
      </c>
      <c r="F50" s="73" t="s">
        <v>18</v>
      </c>
      <c r="G50" s="73" t="s">
        <v>75</v>
      </c>
      <c r="H50" s="73" t="s">
        <v>49</v>
      </c>
      <c r="I50" s="73" t="s">
        <v>21</v>
      </c>
      <c r="J50" s="18" t="s">
        <v>208</v>
      </c>
      <c r="K50" s="19" t="s">
        <v>209</v>
      </c>
      <c r="L50" s="19" t="s">
        <v>209</v>
      </c>
      <c r="M50" s="34"/>
      <c r="N50" s="64">
        <v>0.8</v>
      </c>
      <c r="O50" s="21">
        <v>0.82</v>
      </c>
      <c r="P50" s="21">
        <v>0.83</v>
      </c>
      <c r="Q50" s="21">
        <v>0.83</v>
      </c>
      <c r="R50" s="21">
        <v>0.84</v>
      </c>
      <c r="S50" s="21">
        <v>0.84</v>
      </c>
    </row>
    <row r="51" spans="1:19" ht="124.8" customHeight="1" x14ac:dyDescent="0.3">
      <c r="A51" s="80" t="s">
        <v>196</v>
      </c>
      <c r="B51" s="98" t="s">
        <v>210</v>
      </c>
      <c r="C51" s="80" t="s">
        <v>211</v>
      </c>
      <c r="D51" s="73" t="s">
        <v>212</v>
      </c>
      <c r="E51" s="17"/>
      <c r="F51" s="73" t="s">
        <v>34</v>
      </c>
      <c r="G51" s="73" t="s">
        <v>48</v>
      </c>
      <c r="H51" s="73" t="s">
        <v>34</v>
      </c>
      <c r="I51" s="73" t="s">
        <v>21</v>
      </c>
      <c r="J51" s="18" t="s">
        <v>213</v>
      </c>
      <c r="K51" s="19"/>
      <c r="L51" s="19"/>
      <c r="M51" s="34" t="s">
        <v>52</v>
      </c>
      <c r="N51" s="66"/>
      <c r="O51" s="19"/>
      <c r="P51" s="19"/>
      <c r="Q51" s="19"/>
      <c r="R51" s="19"/>
      <c r="S51" s="19"/>
    </row>
    <row r="52" spans="1:19" ht="93.6" customHeight="1" x14ac:dyDescent="0.3">
      <c r="A52" s="80" t="s">
        <v>214</v>
      </c>
      <c r="B52" s="98" t="s">
        <v>215</v>
      </c>
      <c r="C52" s="80" t="s">
        <v>216</v>
      </c>
      <c r="D52" s="116" t="s">
        <v>217</v>
      </c>
      <c r="E52" s="116"/>
      <c r="F52" s="134" t="s">
        <v>18</v>
      </c>
      <c r="G52" s="134" t="s">
        <v>48</v>
      </c>
      <c r="H52" s="73" t="s">
        <v>34</v>
      </c>
      <c r="I52" s="73" t="s">
        <v>21</v>
      </c>
      <c r="J52" s="66" t="s">
        <v>217</v>
      </c>
      <c r="K52" s="19"/>
      <c r="L52" s="19"/>
      <c r="M52" s="34"/>
      <c r="N52" s="66"/>
      <c r="O52" s="19"/>
      <c r="P52" s="19"/>
      <c r="Q52" s="19"/>
      <c r="R52" s="19"/>
      <c r="S52" s="19"/>
    </row>
    <row r="53" spans="1:19" ht="46.8" customHeight="1" x14ac:dyDescent="0.3">
      <c r="A53" s="80" t="s">
        <v>214</v>
      </c>
      <c r="B53" s="80" t="s">
        <v>218</v>
      </c>
      <c r="C53" s="80" t="s">
        <v>219</v>
      </c>
      <c r="D53" s="17" t="s">
        <v>220</v>
      </c>
      <c r="E53" s="17">
        <v>553</v>
      </c>
      <c r="F53" s="134" t="s">
        <v>18</v>
      </c>
      <c r="G53" s="82" t="s">
        <v>48</v>
      </c>
      <c r="H53" s="73" t="s">
        <v>34</v>
      </c>
      <c r="I53" s="73" t="s">
        <v>21</v>
      </c>
      <c r="J53" s="66" t="s">
        <v>221</v>
      </c>
      <c r="K53" s="19" t="s">
        <v>222</v>
      </c>
      <c r="L53" s="19" t="s">
        <v>223</v>
      </c>
      <c r="M53" s="34"/>
      <c r="N53" s="66"/>
      <c r="O53" s="21">
        <v>0.85</v>
      </c>
      <c r="P53" s="19"/>
      <c r="Q53" s="19"/>
      <c r="R53" s="19"/>
      <c r="S53" s="19"/>
    </row>
    <row r="54" spans="1:19" ht="124.8" customHeight="1" x14ac:dyDescent="0.3">
      <c r="A54" s="80" t="s">
        <v>214</v>
      </c>
      <c r="B54" s="80" t="s">
        <v>218</v>
      </c>
      <c r="C54" s="135" t="s">
        <v>224</v>
      </c>
      <c r="D54" s="17" t="s">
        <v>225</v>
      </c>
      <c r="E54" s="17"/>
      <c r="F54" s="134" t="s">
        <v>18</v>
      </c>
      <c r="G54" s="82" t="s">
        <v>48</v>
      </c>
      <c r="H54" s="17" t="s">
        <v>49</v>
      </c>
      <c r="I54" s="73" t="s">
        <v>21</v>
      </c>
      <c r="J54" s="66" t="s">
        <v>226</v>
      </c>
      <c r="K54" s="19" t="s">
        <v>227</v>
      </c>
      <c r="L54" s="19" t="s">
        <v>227</v>
      </c>
      <c r="M54" s="136" t="s">
        <v>228</v>
      </c>
      <c r="N54" s="65">
        <v>0.86099999999999999</v>
      </c>
      <c r="O54" s="145">
        <v>0.86599999999999999</v>
      </c>
      <c r="P54" s="19"/>
      <c r="Q54" s="19"/>
      <c r="R54" s="19"/>
      <c r="S54" s="19"/>
    </row>
    <row r="55" spans="1:19" ht="124.8" customHeight="1" x14ac:dyDescent="0.3">
      <c r="A55" s="80" t="s">
        <v>214</v>
      </c>
      <c r="B55" s="80" t="s">
        <v>218</v>
      </c>
      <c r="C55" s="135" t="s">
        <v>224</v>
      </c>
      <c r="D55" s="16" t="s">
        <v>229</v>
      </c>
      <c r="E55" s="17"/>
      <c r="F55" s="73" t="s">
        <v>34</v>
      </c>
      <c r="G55" s="82" t="s">
        <v>48</v>
      </c>
      <c r="H55" s="17" t="s">
        <v>49</v>
      </c>
      <c r="I55" s="73" t="s">
        <v>21</v>
      </c>
      <c r="J55" s="66" t="s">
        <v>226</v>
      </c>
      <c r="K55" s="19" t="s">
        <v>227</v>
      </c>
      <c r="L55" s="19" t="s">
        <v>227</v>
      </c>
      <c r="M55" s="136" t="s">
        <v>228</v>
      </c>
      <c r="N55" s="66"/>
      <c r="O55" s="19"/>
      <c r="P55" s="19"/>
      <c r="Q55" s="19"/>
      <c r="R55" s="19"/>
      <c r="S55" s="19"/>
    </row>
    <row r="56" spans="1:19" ht="124.95" customHeight="1" x14ac:dyDescent="0.3">
      <c r="A56" s="93" t="s">
        <v>214</v>
      </c>
      <c r="B56" s="93" t="s">
        <v>218</v>
      </c>
      <c r="C56" s="137" t="s">
        <v>224</v>
      </c>
      <c r="D56" s="26" t="s">
        <v>230</v>
      </c>
      <c r="E56" s="17"/>
      <c r="F56" s="134" t="s">
        <v>231</v>
      </c>
      <c r="G56" s="27" t="s">
        <v>48</v>
      </c>
      <c r="H56" s="27" t="s">
        <v>34</v>
      </c>
      <c r="I56" s="73" t="s">
        <v>21</v>
      </c>
      <c r="J56" s="63"/>
      <c r="K56" s="29" t="s">
        <v>227</v>
      </c>
      <c r="L56" s="29" t="s">
        <v>227</v>
      </c>
      <c r="M56" s="136" t="s">
        <v>228</v>
      </c>
      <c r="N56" s="63"/>
      <c r="O56" s="29"/>
      <c r="P56" s="29"/>
      <c r="Q56" s="29"/>
      <c r="R56" s="29"/>
      <c r="S56" s="29"/>
    </row>
    <row r="57" spans="1:19" ht="109.2" customHeight="1" x14ac:dyDescent="0.3">
      <c r="A57" s="80" t="s">
        <v>214</v>
      </c>
      <c r="B57" s="80" t="s">
        <v>218</v>
      </c>
      <c r="C57" s="135" t="s">
        <v>224</v>
      </c>
      <c r="D57" s="17" t="s">
        <v>232</v>
      </c>
      <c r="E57" s="17"/>
      <c r="F57" s="17" t="s">
        <v>18</v>
      </c>
      <c r="G57" s="17" t="s">
        <v>75</v>
      </c>
      <c r="H57" s="17" t="s">
        <v>49</v>
      </c>
      <c r="I57" s="73" t="s">
        <v>21</v>
      </c>
      <c r="J57" s="66" t="s">
        <v>233</v>
      </c>
      <c r="K57" s="19" t="s">
        <v>227</v>
      </c>
      <c r="L57" s="19" t="s">
        <v>227</v>
      </c>
      <c r="M57" s="136"/>
      <c r="N57" s="145">
        <v>0.74199999999999999</v>
      </c>
      <c r="O57" s="145">
        <v>0.748</v>
      </c>
      <c r="P57" s="19"/>
      <c r="Q57" s="19"/>
      <c r="R57" s="19"/>
      <c r="S57" s="19"/>
    </row>
    <row r="58" spans="1:19" ht="93.6" customHeight="1" x14ac:dyDescent="0.3">
      <c r="A58" s="80" t="s">
        <v>214</v>
      </c>
      <c r="B58" s="98" t="s">
        <v>234</v>
      </c>
      <c r="C58" s="126" t="s">
        <v>235</v>
      </c>
      <c r="D58" s="16" t="s">
        <v>236</v>
      </c>
      <c r="E58" s="17"/>
      <c r="F58" s="27" t="s">
        <v>34</v>
      </c>
      <c r="G58" s="27" t="s">
        <v>48</v>
      </c>
      <c r="H58" s="73" t="s">
        <v>34</v>
      </c>
      <c r="I58" s="73" t="s">
        <v>21</v>
      </c>
      <c r="J58" s="66" t="s">
        <v>237</v>
      </c>
      <c r="K58" s="19"/>
      <c r="L58" s="19" t="s">
        <v>238</v>
      </c>
      <c r="M58" s="127" t="s">
        <v>239</v>
      </c>
      <c r="N58" s="66"/>
      <c r="O58" s="19"/>
      <c r="P58" s="19"/>
      <c r="Q58" s="19"/>
      <c r="R58" s="19"/>
      <c r="S58" s="19"/>
    </row>
    <row r="59" spans="1:19" ht="140.4" customHeight="1" x14ac:dyDescent="0.3">
      <c r="A59" s="93" t="s">
        <v>240</v>
      </c>
      <c r="B59" s="117" t="s">
        <v>241</v>
      </c>
      <c r="C59" s="93" t="s">
        <v>242</v>
      </c>
      <c r="D59" s="26" t="s">
        <v>243</v>
      </c>
      <c r="E59" s="17">
        <v>546</v>
      </c>
      <c r="F59" s="134" t="s">
        <v>18</v>
      </c>
      <c r="G59" s="27" t="s">
        <v>75</v>
      </c>
      <c r="H59" s="27" t="s">
        <v>49</v>
      </c>
      <c r="I59" s="27" t="s">
        <v>21</v>
      </c>
      <c r="J59" s="28" t="s">
        <v>244</v>
      </c>
      <c r="K59" s="29" t="s">
        <v>245</v>
      </c>
      <c r="L59" s="29" t="s">
        <v>245</v>
      </c>
      <c r="M59" s="94"/>
      <c r="N59" s="138" t="s">
        <v>246</v>
      </c>
      <c r="O59" s="122">
        <v>1</v>
      </c>
      <c r="P59" s="122">
        <v>1</v>
      </c>
      <c r="Q59" s="122">
        <v>1</v>
      </c>
      <c r="R59" s="122">
        <v>1</v>
      </c>
      <c r="S59" s="122">
        <v>1</v>
      </c>
    </row>
    <row r="60" spans="1:19" ht="70.95" customHeight="1" x14ac:dyDescent="0.3">
      <c r="A60" s="93" t="s">
        <v>240</v>
      </c>
      <c r="B60" s="117" t="s">
        <v>247</v>
      </c>
      <c r="C60" s="93" t="s">
        <v>248</v>
      </c>
      <c r="D60" s="27" t="s">
        <v>249</v>
      </c>
      <c r="E60" s="17">
        <v>542</v>
      </c>
      <c r="F60" s="134" t="s">
        <v>18</v>
      </c>
      <c r="G60" s="27"/>
      <c r="H60" s="27" t="s">
        <v>48</v>
      </c>
      <c r="I60" s="27" t="s">
        <v>21</v>
      </c>
      <c r="J60" s="28" t="s">
        <v>250</v>
      </c>
      <c r="K60" s="29"/>
      <c r="L60" s="29"/>
      <c r="M60" s="118" t="s">
        <v>52</v>
      </c>
      <c r="N60" s="63"/>
      <c r="O60" s="29"/>
      <c r="P60" s="29"/>
      <c r="Q60" s="29"/>
      <c r="R60" s="29"/>
      <c r="S60" s="29"/>
    </row>
    <row r="61" spans="1:19" ht="187.2" customHeight="1" x14ac:dyDescent="0.3">
      <c r="A61" s="93" t="s">
        <v>240</v>
      </c>
      <c r="B61" s="117" t="s">
        <v>247</v>
      </c>
      <c r="C61" s="93" t="s">
        <v>251</v>
      </c>
      <c r="D61" s="146" t="s">
        <v>252</v>
      </c>
      <c r="E61" s="17">
        <v>541</v>
      </c>
      <c r="F61" s="134" t="s">
        <v>18</v>
      </c>
      <c r="G61" s="62" t="s">
        <v>253</v>
      </c>
      <c r="H61" s="73" t="s">
        <v>49</v>
      </c>
      <c r="I61" s="27" t="s">
        <v>21</v>
      </c>
      <c r="J61" s="63" t="s">
        <v>254</v>
      </c>
      <c r="K61" s="29" t="s">
        <v>245</v>
      </c>
      <c r="L61" s="29" t="s">
        <v>245</v>
      </c>
      <c r="M61" s="94"/>
      <c r="N61" s="63"/>
      <c r="O61" s="122">
        <v>0.09</v>
      </c>
      <c r="P61" s="29"/>
      <c r="Q61" s="29"/>
      <c r="R61" s="29"/>
      <c r="S61" s="29"/>
    </row>
    <row r="62" spans="1:19" ht="46.8" customHeight="1" x14ac:dyDescent="0.3">
      <c r="A62" s="80" t="s">
        <v>240</v>
      </c>
      <c r="B62" s="98" t="s">
        <v>255</v>
      </c>
      <c r="C62" s="80" t="s">
        <v>256</v>
      </c>
      <c r="D62" s="17" t="s">
        <v>257</v>
      </c>
      <c r="E62" s="17">
        <v>547</v>
      </c>
      <c r="F62" s="134" t="s">
        <v>18</v>
      </c>
      <c r="G62" s="73"/>
      <c r="H62" s="73" t="s">
        <v>49</v>
      </c>
      <c r="I62" s="27" t="s">
        <v>21</v>
      </c>
      <c r="J62" s="66" t="s">
        <v>258</v>
      </c>
      <c r="K62" s="19" t="s">
        <v>245</v>
      </c>
      <c r="L62" s="19" t="s">
        <v>245</v>
      </c>
      <c r="M62" s="34" t="s">
        <v>52</v>
      </c>
      <c r="N62" s="64">
        <v>0.8</v>
      </c>
      <c r="O62" s="64">
        <v>0.85</v>
      </c>
      <c r="P62" s="64"/>
      <c r="Q62" s="64"/>
      <c r="R62" s="64"/>
      <c r="S62" s="64"/>
    </row>
    <row r="63" spans="1:19" ht="46.8" customHeight="1" x14ac:dyDescent="0.3">
      <c r="A63" s="56" t="s">
        <v>59</v>
      </c>
      <c r="B63" s="70" t="s">
        <v>77</v>
      </c>
      <c r="C63" s="70" t="s">
        <v>78</v>
      </c>
      <c r="D63" s="77" t="s">
        <v>259</v>
      </c>
      <c r="E63" s="61"/>
      <c r="F63" s="37" t="s">
        <v>18</v>
      </c>
      <c r="G63" s="72"/>
      <c r="H63" s="19"/>
      <c r="I63" s="19"/>
      <c r="J63" s="19"/>
      <c r="K63" s="19"/>
      <c r="L63" s="21" t="s">
        <v>260</v>
      </c>
      <c r="M63" s="19"/>
      <c r="N63" s="21">
        <v>0.97</v>
      </c>
      <c r="O63" s="21">
        <v>0.97</v>
      </c>
      <c r="P63" s="21">
        <v>0.97</v>
      </c>
    </row>
  </sheetData>
  <autoFilter ref="A2:S2" xr:uid="{00000000-0001-0000-0000-000000000000}"/>
  <mergeCells count="2">
    <mergeCell ref="N1:S1"/>
    <mergeCell ref="L11:L12"/>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theme="8" tint="-0.249977111117893"/>
  </sheetPr>
  <dimension ref="A1:S67"/>
  <sheetViews>
    <sheetView topLeftCell="G1" zoomScale="73" zoomScaleNormal="98" workbookViewId="0">
      <selection activeCell="Q62" sqref="Q62"/>
    </sheetView>
  </sheetViews>
  <sheetFormatPr baseColWidth="10" defaultColWidth="11.5546875" defaultRowHeight="14.4" x14ac:dyDescent="0.3"/>
  <cols>
    <col min="1" max="1" width="39.5546875" style="2" customWidth="1"/>
    <col min="2" max="2" width="30.88671875" style="2" customWidth="1"/>
    <col min="3" max="3" width="58.6640625" style="2" customWidth="1"/>
    <col min="4" max="9" width="34.5546875" style="2" customWidth="1"/>
    <col min="10" max="10" width="23.6640625" style="2" customWidth="1"/>
    <col min="11" max="11" width="26.44140625" style="2" customWidth="1"/>
    <col min="12" max="12" width="22.33203125" style="2" customWidth="1"/>
    <col min="13" max="13" width="27.21875" style="2" customWidth="1"/>
    <col min="14" max="14" width="13.77734375" style="2" customWidth="1"/>
    <col min="15" max="16" width="11.5546875" style="2" customWidth="1"/>
    <col min="17" max="19" width="16.5546875" style="2" customWidth="1"/>
    <col min="20" max="20" width="11.5546875" style="2" customWidth="1"/>
    <col min="21" max="16384" width="11.5546875" style="2"/>
  </cols>
  <sheetData>
    <row r="1" spans="1:19" ht="46.2" customHeight="1" x14ac:dyDescent="0.3">
      <c r="A1" s="1"/>
      <c r="B1" s="1"/>
      <c r="C1" s="1"/>
      <c r="D1" s="1"/>
      <c r="E1" s="1"/>
      <c r="F1" s="1"/>
      <c r="G1" s="1"/>
      <c r="H1" s="1"/>
      <c r="I1" s="1"/>
      <c r="J1" s="1"/>
      <c r="K1" s="1"/>
      <c r="L1" s="1"/>
      <c r="M1" s="1"/>
      <c r="N1" s="147" t="s">
        <v>0</v>
      </c>
      <c r="O1" s="148"/>
      <c r="P1" s="148"/>
      <c r="Q1" s="148"/>
      <c r="R1" s="148"/>
      <c r="S1" s="148"/>
    </row>
    <row r="2" spans="1:19" ht="36" customHeight="1" x14ac:dyDescent="0.3">
      <c r="A2" s="3" t="s">
        <v>1</v>
      </c>
      <c r="B2" s="4" t="s">
        <v>2</v>
      </c>
      <c r="C2" s="5" t="s">
        <v>3</v>
      </c>
      <c r="D2" s="6" t="s">
        <v>4</v>
      </c>
      <c r="E2" s="6" t="s">
        <v>5</v>
      </c>
      <c r="F2" s="6" t="s">
        <v>261</v>
      </c>
      <c r="G2" s="7" t="s">
        <v>7</v>
      </c>
      <c r="H2" s="6" t="s">
        <v>8</v>
      </c>
      <c r="I2" s="6" t="s">
        <v>9</v>
      </c>
      <c r="J2" s="6" t="s">
        <v>10</v>
      </c>
      <c r="K2" s="6" t="s">
        <v>11</v>
      </c>
      <c r="L2" s="8" t="s">
        <v>12</v>
      </c>
      <c r="M2" s="8" t="s">
        <v>13</v>
      </c>
      <c r="N2" s="9" t="s">
        <v>262</v>
      </c>
      <c r="O2" s="10" t="s">
        <v>263</v>
      </c>
      <c r="P2" s="10" t="s">
        <v>264</v>
      </c>
      <c r="Q2" s="11" t="s">
        <v>265</v>
      </c>
      <c r="R2" s="12" t="s">
        <v>266</v>
      </c>
      <c r="S2" s="12" t="s">
        <v>267</v>
      </c>
    </row>
    <row r="3" spans="1:19" ht="78" hidden="1" customHeight="1" x14ac:dyDescent="0.3">
      <c r="A3" s="14" t="s">
        <v>14</v>
      </c>
      <c r="B3" s="14" t="s">
        <v>15</v>
      </c>
      <c r="C3" s="14" t="s">
        <v>16</v>
      </c>
      <c r="D3" s="16" t="s">
        <v>17</v>
      </c>
      <c r="E3" s="17"/>
      <c r="F3" s="17" t="s">
        <v>18</v>
      </c>
      <c r="G3" s="17" t="s">
        <v>19</v>
      </c>
      <c r="H3" s="17" t="s">
        <v>20</v>
      </c>
      <c r="I3" s="17" t="s">
        <v>21</v>
      </c>
      <c r="J3" s="18"/>
      <c r="K3" s="19" t="s">
        <v>22</v>
      </c>
      <c r="L3" s="19" t="s">
        <v>23</v>
      </c>
      <c r="M3" s="20" t="s">
        <v>24</v>
      </c>
      <c r="N3" s="21">
        <v>0.95</v>
      </c>
      <c r="O3" s="21">
        <v>0.98</v>
      </c>
      <c r="P3" s="22">
        <f>O3/N3</f>
        <v>1.0315789473684212</v>
      </c>
      <c r="Q3" s="21" t="s">
        <v>25</v>
      </c>
      <c r="R3" s="21" t="s">
        <v>25</v>
      </c>
      <c r="S3" s="22" t="s">
        <v>25</v>
      </c>
    </row>
    <row r="4" spans="1:19" ht="62.4" hidden="1" customHeight="1" x14ac:dyDescent="0.3">
      <c r="A4" s="14" t="s">
        <v>14</v>
      </c>
      <c r="B4" s="14" t="s">
        <v>26</v>
      </c>
      <c r="C4" s="14" t="s">
        <v>27</v>
      </c>
      <c r="D4" s="16" t="s">
        <v>28</v>
      </c>
      <c r="E4" s="17"/>
      <c r="F4" s="17" t="s">
        <v>18</v>
      </c>
      <c r="G4" s="17" t="s">
        <v>29</v>
      </c>
      <c r="H4" s="17" t="s">
        <v>20</v>
      </c>
      <c r="I4" s="17" t="s">
        <v>21</v>
      </c>
      <c r="J4" s="18"/>
      <c r="K4" s="19" t="s">
        <v>22</v>
      </c>
      <c r="L4" s="19" t="s">
        <v>30</v>
      </c>
      <c r="M4" s="15"/>
      <c r="N4" s="19" t="s">
        <v>25</v>
      </c>
      <c r="O4" s="19" t="s">
        <v>25</v>
      </c>
      <c r="P4" s="23" t="s">
        <v>25</v>
      </c>
      <c r="Q4" s="24">
        <v>0.93</v>
      </c>
      <c r="R4" s="21"/>
      <c r="S4" s="22"/>
    </row>
    <row r="5" spans="1:19" ht="46.8" hidden="1" customHeight="1" x14ac:dyDescent="0.3">
      <c r="A5" s="14" t="s">
        <v>14</v>
      </c>
      <c r="B5" s="25" t="s">
        <v>31</v>
      </c>
      <c r="C5" s="25" t="s">
        <v>32</v>
      </c>
      <c r="D5" s="26" t="s">
        <v>33</v>
      </c>
      <c r="E5" s="17"/>
      <c r="F5" s="17" t="s">
        <v>18</v>
      </c>
      <c r="G5" s="27" t="s">
        <v>268</v>
      </c>
      <c r="H5" s="27" t="s">
        <v>34</v>
      </c>
      <c r="I5" s="17" t="s">
        <v>21</v>
      </c>
      <c r="J5" s="28"/>
      <c r="K5" s="28" t="s">
        <v>36</v>
      </c>
      <c r="L5" s="29" t="s">
        <v>30</v>
      </c>
      <c r="M5" s="30" t="s">
        <v>37</v>
      </c>
      <c r="N5" s="29"/>
      <c r="O5" s="29"/>
      <c r="P5" s="31"/>
      <c r="Q5" s="29"/>
      <c r="R5" s="29"/>
      <c r="S5" s="31"/>
    </row>
    <row r="6" spans="1:19" ht="69" hidden="1" customHeight="1" x14ac:dyDescent="0.3">
      <c r="A6" s="14" t="s">
        <v>14</v>
      </c>
      <c r="B6" s="25" t="s">
        <v>31</v>
      </c>
      <c r="C6" s="25" t="s">
        <v>32</v>
      </c>
      <c r="D6" s="26" t="s">
        <v>38</v>
      </c>
      <c r="E6" s="17"/>
      <c r="F6" s="17" t="s">
        <v>18</v>
      </c>
      <c r="G6" s="27" t="s">
        <v>268</v>
      </c>
      <c r="H6" s="27" t="s">
        <v>34</v>
      </c>
      <c r="I6" s="17" t="s">
        <v>21</v>
      </c>
      <c r="J6" s="28"/>
      <c r="K6" s="28" t="s">
        <v>269</v>
      </c>
      <c r="L6" s="29" t="s">
        <v>40</v>
      </c>
      <c r="M6" s="30" t="s">
        <v>37</v>
      </c>
      <c r="N6" s="29"/>
      <c r="O6" s="29"/>
      <c r="P6" s="31"/>
      <c r="Q6" s="29"/>
      <c r="R6" s="29"/>
      <c r="S6" s="31"/>
    </row>
    <row r="7" spans="1:19" ht="62.4" hidden="1" customHeight="1" x14ac:dyDescent="0.3">
      <c r="A7" s="32" t="s">
        <v>41</v>
      </c>
      <c r="B7" s="32" t="s">
        <v>42</v>
      </c>
      <c r="C7" s="33" t="s">
        <v>43</v>
      </c>
      <c r="D7" s="35" t="s">
        <v>270</v>
      </c>
      <c r="E7" s="36">
        <v>527</v>
      </c>
      <c r="F7" s="37" t="s">
        <v>18</v>
      </c>
      <c r="G7" s="38"/>
      <c r="H7" s="27" t="s">
        <v>49</v>
      </c>
      <c r="I7" s="27" t="s">
        <v>21</v>
      </c>
      <c r="J7" s="39" t="s">
        <v>271</v>
      </c>
      <c r="K7" s="39" t="s">
        <v>272</v>
      </c>
      <c r="L7" s="40" t="s">
        <v>51</v>
      </c>
      <c r="M7" s="34"/>
      <c r="N7" s="40">
        <v>3690</v>
      </c>
      <c r="O7" s="45">
        <v>7304</v>
      </c>
      <c r="P7" s="46">
        <f>O7/N7</f>
        <v>1.9794037940379403</v>
      </c>
      <c r="Q7" s="40"/>
      <c r="R7" s="40"/>
      <c r="S7" s="44"/>
    </row>
    <row r="8" spans="1:19" ht="93.6" hidden="1" customHeight="1" x14ac:dyDescent="0.3">
      <c r="A8" s="32" t="s">
        <v>41</v>
      </c>
      <c r="B8" s="32" t="s">
        <v>42</v>
      </c>
      <c r="C8" s="33" t="s">
        <v>43</v>
      </c>
      <c r="D8" s="35" t="s">
        <v>44</v>
      </c>
      <c r="E8" s="36"/>
      <c r="F8" s="37" t="s">
        <v>18</v>
      </c>
      <c r="G8" s="38"/>
      <c r="H8" s="27" t="s">
        <v>34</v>
      </c>
      <c r="I8" s="27" t="s">
        <v>21</v>
      </c>
      <c r="J8" s="39"/>
      <c r="K8" s="39"/>
      <c r="L8" s="40"/>
      <c r="M8" s="34"/>
      <c r="N8" s="47" t="s">
        <v>273</v>
      </c>
      <c r="O8" s="40"/>
      <c r="P8" s="44"/>
      <c r="Q8" s="40"/>
      <c r="R8" s="40"/>
      <c r="S8" s="44"/>
    </row>
    <row r="9" spans="1:19" ht="78" hidden="1" customHeight="1" x14ac:dyDescent="0.3">
      <c r="A9" s="32" t="s">
        <v>41</v>
      </c>
      <c r="B9" s="48" t="s">
        <v>45</v>
      </c>
      <c r="C9" s="33" t="s">
        <v>46</v>
      </c>
      <c r="D9" s="35" t="s">
        <v>47</v>
      </c>
      <c r="E9" s="36">
        <v>528</v>
      </c>
      <c r="F9" s="37" t="s">
        <v>18</v>
      </c>
      <c r="G9" s="38" t="s">
        <v>48</v>
      </c>
      <c r="H9" s="35" t="s">
        <v>49</v>
      </c>
      <c r="I9" s="27" t="s">
        <v>21</v>
      </c>
      <c r="J9" s="39" t="s">
        <v>50</v>
      </c>
      <c r="K9" s="39"/>
      <c r="L9" s="40" t="s">
        <v>51</v>
      </c>
      <c r="M9" s="34" t="s">
        <v>52</v>
      </c>
      <c r="N9" s="49">
        <v>1158</v>
      </c>
      <c r="O9" s="49">
        <v>2014</v>
      </c>
      <c r="P9" s="50">
        <f>O9/N9</f>
        <v>1.7392055267702937</v>
      </c>
      <c r="Q9" s="51">
        <v>1200</v>
      </c>
      <c r="R9" s="51">
        <v>1273</v>
      </c>
      <c r="S9" s="50">
        <f>R9/Q9</f>
        <v>1.0608333333333333</v>
      </c>
    </row>
    <row r="10" spans="1:19" ht="46.8" hidden="1" customHeight="1" x14ac:dyDescent="0.3">
      <c r="A10" s="32" t="s">
        <v>41</v>
      </c>
      <c r="B10" s="48" t="s">
        <v>45</v>
      </c>
      <c r="C10" s="33" t="s">
        <v>46</v>
      </c>
      <c r="D10" s="35" t="s">
        <v>53</v>
      </c>
      <c r="E10" s="36"/>
      <c r="F10" s="37" t="s">
        <v>18</v>
      </c>
      <c r="G10" s="38" t="s">
        <v>48</v>
      </c>
      <c r="H10" s="35" t="s">
        <v>34</v>
      </c>
      <c r="I10" s="27" t="s">
        <v>21</v>
      </c>
      <c r="J10" s="39" t="s">
        <v>54</v>
      </c>
      <c r="K10" s="39"/>
      <c r="L10" s="40" t="s">
        <v>51</v>
      </c>
      <c r="M10" s="34" t="s">
        <v>52</v>
      </c>
      <c r="N10" s="52">
        <v>0.85</v>
      </c>
      <c r="O10" s="53">
        <v>0.995</v>
      </c>
      <c r="P10" s="54">
        <f>O10/N10</f>
        <v>1.1705882352941177</v>
      </c>
      <c r="Q10" s="55">
        <v>0.9</v>
      </c>
      <c r="R10" s="40"/>
      <c r="S10" s="44"/>
    </row>
    <row r="11" spans="1:19" ht="78" hidden="1" customHeight="1" x14ac:dyDescent="0.3">
      <c r="A11" s="32" t="s">
        <v>41</v>
      </c>
      <c r="B11" s="48" t="s">
        <v>45</v>
      </c>
      <c r="C11" s="33" t="s">
        <v>46</v>
      </c>
      <c r="D11" s="35" t="s">
        <v>55</v>
      </c>
      <c r="E11" s="36"/>
      <c r="F11" s="37" t="s">
        <v>18</v>
      </c>
      <c r="G11" s="38" t="s">
        <v>48</v>
      </c>
      <c r="H11" s="27" t="s">
        <v>34</v>
      </c>
      <c r="I11" s="27" t="s">
        <v>21</v>
      </c>
      <c r="J11" s="39" t="s">
        <v>274</v>
      </c>
      <c r="K11" s="39" t="s">
        <v>57</v>
      </c>
      <c r="L11" s="40" t="s">
        <v>51</v>
      </c>
      <c r="M11" s="34" t="s">
        <v>52</v>
      </c>
      <c r="N11" s="40" t="s">
        <v>275</v>
      </c>
      <c r="O11" s="40"/>
      <c r="P11" s="44"/>
      <c r="Q11" s="40"/>
      <c r="R11" s="40"/>
      <c r="S11" s="44"/>
    </row>
    <row r="12" spans="1:19" ht="62.4" hidden="1" customHeight="1" x14ac:dyDescent="0.3">
      <c r="A12" s="56" t="s">
        <v>59</v>
      </c>
      <c r="B12" s="57" t="s">
        <v>60</v>
      </c>
      <c r="C12" s="58" t="s">
        <v>61</v>
      </c>
      <c r="D12" s="60" t="s">
        <v>62</v>
      </c>
      <c r="E12" s="61">
        <v>456</v>
      </c>
      <c r="F12" s="37" t="s">
        <v>18</v>
      </c>
      <c r="G12" s="60" t="s">
        <v>63</v>
      </c>
      <c r="H12" s="62" t="s">
        <v>49</v>
      </c>
      <c r="I12" s="27" t="s">
        <v>21</v>
      </c>
      <c r="J12" s="63"/>
      <c r="K12" s="63" t="s">
        <v>64</v>
      </c>
      <c r="L12" s="149" t="s">
        <v>65</v>
      </c>
      <c r="M12" s="59" t="s">
        <v>37</v>
      </c>
      <c r="N12" s="64">
        <v>1</v>
      </c>
      <c r="O12" s="65">
        <v>1.1152</v>
      </c>
      <c r="P12" s="23"/>
      <c r="Q12" s="64">
        <v>1</v>
      </c>
      <c r="R12" s="21">
        <v>1.22</v>
      </c>
      <c r="S12" s="22">
        <f>R12/Q12</f>
        <v>1.22</v>
      </c>
    </row>
    <row r="13" spans="1:19" ht="93.6" hidden="1" customHeight="1" x14ac:dyDescent="0.3">
      <c r="A13" s="56" t="s">
        <v>59</v>
      </c>
      <c r="B13" s="57" t="s">
        <v>60</v>
      </c>
      <c r="C13" s="58" t="s">
        <v>61</v>
      </c>
      <c r="D13" s="61" t="s">
        <v>66</v>
      </c>
      <c r="E13" s="61">
        <v>457</v>
      </c>
      <c r="F13" s="37" t="s">
        <v>18</v>
      </c>
      <c r="G13" s="60" t="s">
        <v>63</v>
      </c>
      <c r="H13" s="62" t="s">
        <v>49</v>
      </c>
      <c r="I13" s="27" t="s">
        <v>21</v>
      </c>
      <c r="J13" s="67"/>
      <c r="K13" s="63" t="s">
        <v>64</v>
      </c>
      <c r="L13" s="150"/>
      <c r="M13" s="59" t="s">
        <v>37</v>
      </c>
      <c r="N13" s="66"/>
      <c r="O13" s="66"/>
      <c r="P13" s="23"/>
      <c r="Q13" s="66" t="s">
        <v>276</v>
      </c>
      <c r="R13" s="19"/>
      <c r="S13" s="23"/>
    </row>
    <row r="14" spans="1:19" ht="46.8" hidden="1" customHeight="1" x14ac:dyDescent="0.3">
      <c r="A14" s="56" t="s">
        <v>59</v>
      </c>
      <c r="B14" s="57" t="s">
        <v>60</v>
      </c>
      <c r="C14" s="58" t="s">
        <v>61</v>
      </c>
      <c r="D14" s="61" t="s">
        <v>67</v>
      </c>
      <c r="E14" s="61">
        <v>524</v>
      </c>
      <c r="F14" s="37" t="s">
        <v>18</v>
      </c>
      <c r="G14" s="60" t="s">
        <v>63</v>
      </c>
      <c r="H14" s="62" t="s">
        <v>49</v>
      </c>
      <c r="I14" s="27" t="s">
        <v>21</v>
      </c>
      <c r="J14" s="67"/>
      <c r="K14" s="68" t="s">
        <v>68</v>
      </c>
      <c r="L14" s="68" t="s">
        <v>68</v>
      </c>
      <c r="M14" s="59" t="s">
        <v>37</v>
      </c>
      <c r="N14" s="68"/>
      <c r="O14" s="68"/>
      <c r="P14" s="69"/>
      <c r="Q14" s="68"/>
      <c r="R14" s="68"/>
      <c r="S14" s="69"/>
    </row>
    <row r="15" spans="1:19" ht="46.8" hidden="1" customHeight="1" x14ac:dyDescent="0.3">
      <c r="A15" s="56" t="s">
        <v>59</v>
      </c>
      <c r="B15" s="70" t="s">
        <v>69</v>
      </c>
      <c r="C15" s="70" t="s">
        <v>70</v>
      </c>
      <c r="D15" s="72" t="s">
        <v>71</v>
      </c>
      <c r="E15" s="61">
        <v>626</v>
      </c>
      <c r="F15" s="37" t="s">
        <v>18</v>
      </c>
      <c r="G15" s="72" t="s">
        <v>48</v>
      </c>
      <c r="H15" s="73" t="s">
        <v>49</v>
      </c>
      <c r="I15" s="27" t="s">
        <v>21</v>
      </c>
      <c r="J15" s="18"/>
      <c r="K15" s="18"/>
      <c r="L15" s="19" t="s">
        <v>72</v>
      </c>
      <c r="M15" s="71" t="s">
        <v>37</v>
      </c>
      <c r="N15" s="19"/>
      <c r="O15" s="19"/>
      <c r="P15" s="23"/>
      <c r="Q15" s="19"/>
      <c r="R15" s="19"/>
      <c r="S15" s="23"/>
    </row>
    <row r="16" spans="1:19" ht="31.2" hidden="1" customHeight="1" x14ac:dyDescent="0.3">
      <c r="A16" s="56" t="s">
        <v>59</v>
      </c>
      <c r="B16" s="70" t="s">
        <v>69</v>
      </c>
      <c r="C16" s="74" t="s">
        <v>73</v>
      </c>
      <c r="D16" s="61" t="s">
        <v>74</v>
      </c>
      <c r="E16" s="61">
        <v>109</v>
      </c>
      <c r="F16" s="37" t="s">
        <v>18</v>
      </c>
      <c r="G16" s="61" t="s">
        <v>75</v>
      </c>
      <c r="H16" s="17" t="s">
        <v>49</v>
      </c>
      <c r="I16" s="27" t="s">
        <v>21</v>
      </c>
      <c r="J16" s="66"/>
      <c r="K16" s="18" t="s">
        <v>76</v>
      </c>
      <c r="L16" s="19"/>
      <c r="M16" s="75"/>
      <c r="N16" s="66"/>
      <c r="O16" s="66"/>
      <c r="P16" s="76"/>
      <c r="Q16" s="19"/>
      <c r="R16" s="19"/>
      <c r="S16" s="23"/>
    </row>
    <row r="17" spans="1:19" ht="62.4" hidden="1" customHeight="1" x14ac:dyDescent="0.3">
      <c r="A17" s="56" t="s">
        <v>59</v>
      </c>
      <c r="B17" s="70" t="s">
        <v>77</v>
      </c>
      <c r="C17" s="70" t="s">
        <v>78</v>
      </c>
      <c r="D17" s="77" t="s">
        <v>277</v>
      </c>
      <c r="E17" s="61"/>
      <c r="F17" s="37" t="s">
        <v>18</v>
      </c>
      <c r="G17" s="72"/>
      <c r="H17" s="73" t="s">
        <v>34</v>
      </c>
      <c r="I17" s="27" t="s">
        <v>34</v>
      </c>
      <c r="J17" s="18"/>
      <c r="K17" s="18"/>
      <c r="L17" s="19"/>
      <c r="M17" s="75" t="s">
        <v>52</v>
      </c>
      <c r="N17" s="19"/>
      <c r="O17" s="19"/>
      <c r="P17" s="23"/>
      <c r="Q17" s="19"/>
      <c r="R17" s="19"/>
      <c r="S17" s="23"/>
    </row>
    <row r="18" spans="1:19" ht="187.2" hidden="1" customHeight="1" x14ac:dyDescent="0.3">
      <c r="A18" s="56" t="s">
        <v>59</v>
      </c>
      <c r="B18" s="56" t="s">
        <v>77</v>
      </c>
      <c r="C18" s="56" t="s">
        <v>78</v>
      </c>
      <c r="D18" s="78" t="s">
        <v>278</v>
      </c>
      <c r="E18" s="61"/>
      <c r="F18" s="37" t="s">
        <v>18</v>
      </c>
      <c r="G18" s="60" t="s">
        <v>81</v>
      </c>
      <c r="H18" s="73" t="s">
        <v>34</v>
      </c>
      <c r="I18" s="27" t="s">
        <v>34</v>
      </c>
      <c r="J18" s="28" t="s">
        <v>279</v>
      </c>
      <c r="K18" s="28"/>
      <c r="L18" s="29"/>
      <c r="M18" s="75" t="s">
        <v>52</v>
      </c>
      <c r="N18" s="29"/>
      <c r="O18" s="29"/>
      <c r="P18" s="31"/>
      <c r="Q18" s="29"/>
      <c r="R18" s="29"/>
      <c r="S18" s="31"/>
    </row>
    <row r="19" spans="1:19" ht="140.4" hidden="1" customHeight="1" x14ac:dyDescent="0.3">
      <c r="A19" s="79" t="s">
        <v>83</v>
      </c>
      <c r="B19" s="79" t="s">
        <v>84</v>
      </c>
      <c r="C19" s="80" t="s">
        <v>85</v>
      </c>
      <c r="D19" s="17" t="s">
        <v>86</v>
      </c>
      <c r="E19" s="17"/>
      <c r="F19" s="37" t="s">
        <v>18</v>
      </c>
      <c r="G19" s="73" t="s">
        <v>48</v>
      </c>
      <c r="H19" s="73" t="s">
        <v>34</v>
      </c>
      <c r="I19" s="73" t="s">
        <v>21</v>
      </c>
      <c r="J19" s="66" t="s">
        <v>280</v>
      </c>
      <c r="K19" s="19" t="s">
        <v>88</v>
      </c>
      <c r="L19" s="19" t="s">
        <v>89</v>
      </c>
      <c r="M19" s="34"/>
      <c r="N19" s="66"/>
      <c r="O19" s="66"/>
      <c r="P19" s="76"/>
      <c r="Q19" s="19"/>
      <c r="R19" s="19"/>
      <c r="S19" s="23"/>
    </row>
    <row r="20" spans="1:19" ht="109.2" hidden="1" customHeight="1" x14ac:dyDescent="0.3">
      <c r="A20" s="79" t="s">
        <v>83</v>
      </c>
      <c r="B20" s="79" t="s">
        <v>90</v>
      </c>
      <c r="C20" s="80" t="s">
        <v>91</v>
      </c>
      <c r="D20" s="16" t="s">
        <v>281</v>
      </c>
      <c r="E20" s="17"/>
      <c r="F20" s="37" t="s">
        <v>18</v>
      </c>
      <c r="G20" s="73" t="s">
        <v>48</v>
      </c>
      <c r="H20" s="73" t="s">
        <v>34</v>
      </c>
      <c r="I20" s="73" t="s">
        <v>21</v>
      </c>
      <c r="J20" s="66" t="s">
        <v>282</v>
      </c>
      <c r="K20" s="19" t="s">
        <v>283</v>
      </c>
      <c r="L20" s="19" t="s">
        <v>88</v>
      </c>
      <c r="M20" s="34"/>
      <c r="N20" s="18" t="s">
        <v>284</v>
      </c>
      <c r="O20" s="66"/>
      <c r="P20" s="76"/>
      <c r="Q20" s="21">
        <v>1</v>
      </c>
      <c r="R20" s="21"/>
      <c r="S20" s="22"/>
    </row>
    <row r="21" spans="1:19" ht="78" hidden="1" customHeight="1" x14ac:dyDescent="0.3">
      <c r="A21" s="79" t="s">
        <v>83</v>
      </c>
      <c r="B21" s="79" t="s">
        <v>95</v>
      </c>
      <c r="C21" s="81" t="s">
        <v>96</v>
      </c>
      <c r="D21" s="16" t="s">
        <v>97</v>
      </c>
      <c r="E21" s="16"/>
      <c r="F21" s="37" t="s">
        <v>18</v>
      </c>
      <c r="G21" s="82" t="s">
        <v>48</v>
      </c>
      <c r="H21" s="82" t="s">
        <v>34</v>
      </c>
      <c r="I21" s="73" t="s">
        <v>21</v>
      </c>
      <c r="J21" s="83" t="s">
        <v>98</v>
      </c>
      <c r="K21" s="18" t="s">
        <v>99</v>
      </c>
      <c r="L21" s="19" t="s">
        <v>100</v>
      </c>
      <c r="M21" s="34"/>
      <c r="N21" s="19"/>
      <c r="O21" s="19"/>
      <c r="P21" s="23"/>
      <c r="Q21" s="84" t="s">
        <v>275</v>
      </c>
      <c r="R21" s="19"/>
      <c r="S21" s="23"/>
    </row>
    <row r="22" spans="1:19" ht="62.4" hidden="1" customHeight="1" x14ac:dyDescent="0.3">
      <c r="A22" s="79" t="s">
        <v>83</v>
      </c>
      <c r="B22" s="79" t="s">
        <v>95</v>
      </c>
      <c r="C22" s="80" t="s">
        <v>96</v>
      </c>
      <c r="D22" s="85" t="s">
        <v>101</v>
      </c>
      <c r="E22" s="85">
        <v>339</v>
      </c>
      <c r="F22" s="37" t="s">
        <v>18</v>
      </c>
      <c r="G22" s="85" t="s">
        <v>75</v>
      </c>
      <c r="H22" s="85" t="s">
        <v>49</v>
      </c>
      <c r="I22" s="73" t="s">
        <v>21</v>
      </c>
      <c r="J22" s="18" t="s">
        <v>285</v>
      </c>
      <c r="K22" s="18" t="s">
        <v>103</v>
      </c>
      <c r="L22" s="19" t="s">
        <v>100</v>
      </c>
      <c r="M22" s="34" t="s">
        <v>37</v>
      </c>
      <c r="N22" s="21">
        <v>0.33</v>
      </c>
      <c r="O22" s="19"/>
      <c r="P22" s="23"/>
      <c r="Q22" s="86">
        <v>0.44</v>
      </c>
      <c r="R22" s="86"/>
      <c r="S22" s="87"/>
    </row>
    <row r="23" spans="1:19" ht="78" customHeight="1" x14ac:dyDescent="0.3">
      <c r="A23" s="79" t="s">
        <v>83</v>
      </c>
      <c r="B23" s="79" t="s">
        <v>95</v>
      </c>
      <c r="C23" s="81" t="s">
        <v>96</v>
      </c>
      <c r="D23" s="85" t="s">
        <v>286</v>
      </c>
      <c r="E23" s="88" t="s">
        <v>287</v>
      </c>
      <c r="F23" s="88" t="s">
        <v>287</v>
      </c>
      <c r="G23" s="89" t="s">
        <v>288</v>
      </c>
      <c r="H23" s="73" t="s">
        <v>34</v>
      </c>
      <c r="I23" s="73" t="s">
        <v>21</v>
      </c>
      <c r="J23" s="83" t="s">
        <v>289</v>
      </c>
      <c r="K23" s="18" t="s">
        <v>103</v>
      </c>
      <c r="L23" s="19" t="s">
        <v>100</v>
      </c>
      <c r="M23" s="34" t="s">
        <v>52</v>
      </c>
      <c r="N23" s="19"/>
      <c r="O23" s="19"/>
      <c r="P23" s="23"/>
      <c r="Q23" s="19"/>
      <c r="R23" s="19"/>
      <c r="S23" s="23"/>
    </row>
    <row r="24" spans="1:19" ht="46.8" hidden="1" customHeight="1" x14ac:dyDescent="0.3">
      <c r="A24" s="79" t="s">
        <v>83</v>
      </c>
      <c r="B24" s="80" t="s">
        <v>104</v>
      </c>
      <c r="C24" s="80" t="s">
        <v>105</v>
      </c>
      <c r="D24" s="85" t="s">
        <v>106</v>
      </c>
      <c r="E24" s="88">
        <v>334</v>
      </c>
      <c r="F24" s="89" t="s">
        <v>18</v>
      </c>
      <c r="G24" s="89" t="s">
        <v>107</v>
      </c>
      <c r="H24" s="73" t="s">
        <v>48</v>
      </c>
      <c r="I24" s="73" t="s">
        <v>21</v>
      </c>
      <c r="J24" s="18" t="s">
        <v>108</v>
      </c>
      <c r="K24" s="18"/>
      <c r="L24" s="19"/>
      <c r="M24" s="34" t="s">
        <v>52</v>
      </c>
      <c r="N24" s="90">
        <v>0.89</v>
      </c>
      <c r="O24" s="91">
        <v>0.90100000000000002</v>
      </c>
      <c r="P24" s="92">
        <f>O24/N24</f>
        <v>1.0123595505617977</v>
      </c>
      <c r="Q24" s="21">
        <v>0.9</v>
      </c>
      <c r="R24" s="19"/>
      <c r="S24" s="23"/>
    </row>
    <row r="25" spans="1:19" ht="62.4" hidden="1" customHeight="1" x14ac:dyDescent="0.3">
      <c r="A25" s="79" t="s">
        <v>83</v>
      </c>
      <c r="B25" s="80" t="s">
        <v>104</v>
      </c>
      <c r="C25" s="80" t="s">
        <v>109</v>
      </c>
      <c r="D25" s="88" t="s">
        <v>110</v>
      </c>
      <c r="E25" s="88">
        <v>283</v>
      </c>
      <c r="F25" s="89" t="s">
        <v>18</v>
      </c>
      <c r="G25" s="89" t="s">
        <v>107</v>
      </c>
      <c r="H25" s="88" t="s">
        <v>49</v>
      </c>
      <c r="I25" s="73" t="s">
        <v>21</v>
      </c>
      <c r="J25" s="18" t="s">
        <v>111</v>
      </c>
      <c r="K25" s="18" t="s">
        <v>112</v>
      </c>
      <c r="L25" s="19" t="s">
        <v>100</v>
      </c>
      <c r="M25" s="34"/>
      <c r="N25" s="19">
        <v>4.5999999999999996</v>
      </c>
      <c r="O25" s="19">
        <v>4.67</v>
      </c>
      <c r="P25" s="92">
        <f>O25/N25</f>
        <v>1.0152173913043478</v>
      </c>
      <c r="Q25" s="19">
        <v>4.66</v>
      </c>
      <c r="R25" s="19">
        <v>4.63</v>
      </c>
      <c r="S25" s="92">
        <f>R25/Q25</f>
        <v>0.99356223175965663</v>
      </c>
    </row>
    <row r="26" spans="1:19" ht="109.2" hidden="1" customHeight="1" x14ac:dyDescent="0.3">
      <c r="A26" s="57" t="s">
        <v>113</v>
      </c>
      <c r="B26" s="57" t="s">
        <v>114</v>
      </c>
      <c r="C26" s="93" t="s">
        <v>115</v>
      </c>
      <c r="D26" s="26" t="s">
        <v>290</v>
      </c>
      <c r="E26" s="17"/>
      <c r="F26" s="62" t="s">
        <v>34</v>
      </c>
      <c r="G26" s="95" t="s">
        <v>291</v>
      </c>
      <c r="H26" s="73" t="s">
        <v>34</v>
      </c>
      <c r="I26" s="27" t="s">
        <v>34</v>
      </c>
      <c r="J26" s="63"/>
      <c r="K26" s="29"/>
      <c r="L26" s="29" t="s">
        <v>292</v>
      </c>
      <c r="M26" s="94"/>
      <c r="N26" s="63"/>
      <c r="O26" s="63"/>
      <c r="P26" s="96"/>
      <c r="Q26" s="29"/>
      <c r="R26" s="29"/>
      <c r="S26" s="31"/>
    </row>
    <row r="27" spans="1:19" ht="93.6" hidden="1" customHeight="1" x14ac:dyDescent="0.3">
      <c r="A27" s="79" t="s">
        <v>113</v>
      </c>
      <c r="B27" s="79" t="s">
        <v>114</v>
      </c>
      <c r="C27" s="80" t="s">
        <v>121</v>
      </c>
      <c r="D27" s="16" t="s">
        <v>293</v>
      </c>
      <c r="E27" s="17"/>
      <c r="F27" s="62" t="s">
        <v>34</v>
      </c>
      <c r="G27" s="82" t="s">
        <v>294</v>
      </c>
      <c r="H27" s="73" t="s">
        <v>34</v>
      </c>
      <c r="I27" s="27" t="s">
        <v>34</v>
      </c>
      <c r="J27" s="18" t="s">
        <v>124</v>
      </c>
      <c r="K27" s="19" t="s">
        <v>125</v>
      </c>
      <c r="L27" s="19" t="s">
        <v>126</v>
      </c>
      <c r="M27" s="34" t="s">
        <v>52</v>
      </c>
      <c r="N27" s="66"/>
      <c r="O27" s="66"/>
      <c r="P27" s="76"/>
      <c r="Q27" s="19"/>
      <c r="R27" s="19"/>
      <c r="S27" s="23"/>
    </row>
    <row r="28" spans="1:19" ht="78" hidden="1" customHeight="1" x14ac:dyDescent="0.3">
      <c r="A28" s="79" t="s">
        <v>113</v>
      </c>
      <c r="B28" s="79" t="s">
        <v>127</v>
      </c>
      <c r="C28" s="80" t="s">
        <v>128</v>
      </c>
      <c r="D28" s="16" t="s">
        <v>129</v>
      </c>
      <c r="E28" s="17"/>
      <c r="F28" s="62" t="s">
        <v>34</v>
      </c>
      <c r="G28" s="73" t="s">
        <v>48</v>
      </c>
      <c r="H28" s="73" t="s">
        <v>34</v>
      </c>
      <c r="I28" s="27" t="s">
        <v>34</v>
      </c>
      <c r="J28" s="18" t="s">
        <v>129</v>
      </c>
      <c r="K28" s="18" t="s">
        <v>130</v>
      </c>
      <c r="L28" s="19" t="s">
        <v>131</v>
      </c>
      <c r="M28" s="34"/>
      <c r="N28" s="19"/>
      <c r="O28" s="19"/>
      <c r="P28" s="23"/>
      <c r="Q28" s="19">
        <v>23</v>
      </c>
      <c r="R28" s="19"/>
      <c r="S28" s="23"/>
    </row>
    <row r="29" spans="1:19" ht="62.4" hidden="1" customHeight="1" x14ac:dyDescent="0.3">
      <c r="A29" s="79" t="s">
        <v>113</v>
      </c>
      <c r="B29" s="98" t="s">
        <v>132</v>
      </c>
      <c r="C29" s="80" t="s">
        <v>133</v>
      </c>
      <c r="D29" s="16" t="s">
        <v>134</v>
      </c>
      <c r="E29" s="17">
        <v>325</v>
      </c>
      <c r="F29" s="17" t="s">
        <v>18</v>
      </c>
      <c r="G29" s="16" t="s">
        <v>75</v>
      </c>
      <c r="H29" s="17" t="s">
        <v>49</v>
      </c>
      <c r="I29" s="27" t="s">
        <v>21</v>
      </c>
      <c r="J29" s="18"/>
      <c r="K29" s="18" t="s">
        <v>130</v>
      </c>
      <c r="L29" s="19" t="s">
        <v>131</v>
      </c>
      <c r="M29" s="34"/>
      <c r="N29" s="19">
        <v>12</v>
      </c>
      <c r="O29" s="19">
        <v>12</v>
      </c>
      <c r="P29" s="87">
        <f>O29/N29</f>
        <v>1</v>
      </c>
      <c r="Q29" s="19">
        <v>7</v>
      </c>
      <c r="R29" s="19"/>
      <c r="S29" s="87">
        <f>R29/Q29</f>
        <v>0</v>
      </c>
    </row>
    <row r="30" spans="1:19" ht="62.4" hidden="1" customHeight="1" x14ac:dyDescent="0.3">
      <c r="A30" s="79" t="s">
        <v>113</v>
      </c>
      <c r="B30" s="98" t="s">
        <v>132</v>
      </c>
      <c r="C30" s="80" t="s">
        <v>133</v>
      </c>
      <c r="D30" s="16" t="s">
        <v>135</v>
      </c>
      <c r="E30" s="17">
        <v>323</v>
      </c>
      <c r="F30" s="17" t="s">
        <v>18</v>
      </c>
      <c r="G30" s="16" t="s">
        <v>75</v>
      </c>
      <c r="H30" s="17" t="s">
        <v>49</v>
      </c>
      <c r="I30" s="27" t="s">
        <v>21</v>
      </c>
      <c r="J30" s="18"/>
      <c r="K30" s="18" t="s">
        <v>130</v>
      </c>
      <c r="L30" s="19" t="s">
        <v>131</v>
      </c>
      <c r="M30" s="34"/>
      <c r="N30" s="99">
        <v>7</v>
      </c>
      <c r="O30" s="99">
        <v>7</v>
      </c>
      <c r="P30" s="87">
        <f>O30/N30</f>
        <v>1</v>
      </c>
      <c r="Q30" s="99">
        <v>14</v>
      </c>
      <c r="R30" s="99">
        <v>2</v>
      </c>
      <c r="S30" s="87">
        <f>R30/Q30</f>
        <v>0.14285714285714285</v>
      </c>
    </row>
    <row r="31" spans="1:19" ht="78" hidden="1" customHeight="1" x14ac:dyDescent="0.3">
      <c r="A31" s="33" t="s">
        <v>136</v>
      </c>
      <c r="B31" s="48" t="s">
        <v>137</v>
      </c>
      <c r="C31" s="100" t="s">
        <v>138</v>
      </c>
      <c r="D31" s="35" t="s">
        <v>139</v>
      </c>
      <c r="E31" s="36">
        <v>148</v>
      </c>
      <c r="F31" s="17" t="s">
        <v>18</v>
      </c>
      <c r="G31" s="35" t="s">
        <v>295</v>
      </c>
      <c r="H31" s="36" t="s">
        <v>49</v>
      </c>
      <c r="I31" s="36" t="s">
        <v>21</v>
      </c>
      <c r="J31" s="42" t="s">
        <v>141</v>
      </c>
      <c r="K31" s="40" t="s">
        <v>142</v>
      </c>
      <c r="L31" s="40" t="s">
        <v>142</v>
      </c>
      <c r="M31" s="101" t="s">
        <v>37</v>
      </c>
      <c r="N31" s="102">
        <v>0.05</v>
      </c>
      <c r="O31" s="110">
        <v>6.7799999999999999E-2</v>
      </c>
      <c r="P31" s="139">
        <f>O31/N31</f>
        <v>1.3559999999999999</v>
      </c>
      <c r="Q31" s="55">
        <v>0.08</v>
      </c>
      <c r="R31" s="55">
        <v>8.1699999999999995E-2</v>
      </c>
      <c r="S31" s="139">
        <f>R31/Q31</f>
        <v>1.02125</v>
      </c>
    </row>
    <row r="32" spans="1:19" ht="62.4" hidden="1" customHeight="1" x14ac:dyDescent="0.3">
      <c r="A32" s="33" t="s">
        <v>136</v>
      </c>
      <c r="B32" s="48" t="s">
        <v>143</v>
      </c>
      <c r="C32" s="100" t="s">
        <v>138</v>
      </c>
      <c r="D32" s="103" t="s">
        <v>144</v>
      </c>
      <c r="E32" s="41"/>
      <c r="F32" s="17" t="s">
        <v>18</v>
      </c>
      <c r="G32" s="104" t="s">
        <v>48</v>
      </c>
      <c r="H32" s="73" t="s">
        <v>34</v>
      </c>
      <c r="I32" s="36" t="s">
        <v>21</v>
      </c>
      <c r="J32" s="42"/>
      <c r="K32" s="40" t="s">
        <v>142</v>
      </c>
      <c r="L32" s="40" t="s">
        <v>142</v>
      </c>
      <c r="M32" s="101"/>
      <c r="N32" s="55" t="s">
        <v>275</v>
      </c>
      <c r="O32" s="102">
        <v>0.57999999999999996</v>
      </c>
      <c r="P32" s="43"/>
      <c r="Q32" s="55">
        <v>0.57999999999999996</v>
      </c>
      <c r="R32" s="40"/>
      <c r="S32" s="44"/>
    </row>
    <row r="33" spans="1:19" ht="124.8" hidden="1" customHeight="1" x14ac:dyDescent="0.3">
      <c r="A33" s="33" t="s">
        <v>136</v>
      </c>
      <c r="B33" s="48" t="s">
        <v>143</v>
      </c>
      <c r="C33" s="100" t="s">
        <v>138</v>
      </c>
      <c r="D33" s="35" t="s">
        <v>145</v>
      </c>
      <c r="E33" s="36"/>
      <c r="F33" s="105" t="s">
        <v>18</v>
      </c>
      <c r="G33" s="106" t="s">
        <v>146</v>
      </c>
      <c r="H33" s="73" t="s">
        <v>34</v>
      </c>
      <c r="I33" s="36" t="s">
        <v>21</v>
      </c>
      <c r="J33" s="39"/>
      <c r="K33" s="40" t="s">
        <v>142</v>
      </c>
      <c r="L33" s="40" t="s">
        <v>142</v>
      </c>
      <c r="M33" s="101" t="s">
        <v>147</v>
      </c>
      <c r="N33" s="42" t="s">
        <v>275</v>
      </c>
      <c r="O33" s="42">
        <v>191</v>
      </c>
      <c r="P33" s="43"/>
      <c r="Q33" s="40">
        <v>116</v>
      </c>
      <c r="R33" s="40"/>
      <c r="S33" s="44"/>
    </row>
    <row r="34" spans="1:19" ht="140.4" hidden="1" customHeight="1" x14ac:dyDescent="0.3">
      <c r="A34" s="33" t="s">
        <v>136</v>
      </c>
      <c r="B34" s="48" t="s">
        <v>143</v>
      </c>
      <c r="C34" s="100" t="s">
        <v>138</v>
      </c>
      <c r="D34" s="35" t="s">
        <v>148</v>
      </c>
      <c r="E34" s="36"/>
      <c r="F34" s="105" t="s">
        <v>18</v>
      </c>
      <c r="G34" s="106" t="s">
        <v>149</v>
      </c>
      <c r="H34" s="73" t="s">
        <v>34</v>
      </c>
      <c r="I34" s="36" t="s">
        <v>21</v>
      </c>
      <c r="J34" s="39"/>
      <c r="K34" s="40" t="s">
        <v>142</v>
      </c>
      <c r="L34" s="40" t="s">
        <v>142</v>
      </c>
      <c r="M34" s="101"/>
      <c r="N34" s="42" t="s">
        <v>275</v>
      </c>
      <c r="O34" s="42">
        <v>33</v>
      </c>
      <c r="P34" s="107"/>
      <c r="Q34" s="108">
        <v>34</v>
      </c>
      <c r="R34" s="108"/>
      <c r="S34" s="109"/>
    </row>
    <row r="35" spans="1:19" ht="62.4" hidden="1" customHeight="1" x14ac:dyDescent="0.3">
      <c r="A35" s="33" t="s">
        <v>136</v>
      </c>
      <c r="B35" s="48" t="s">
        <v>143</v>
      </c>
      <c r="C35" s="100" t="s">
        <v>138</v>
      </c>
      <c r="D35" s="41" t="s">
        <v>150</v>
      </c>
      <c r="E35" s="41"/>
      <c r="F35" s="105" t="s">
        <v>18</v>
      </c>
      <c r="G35" s="104" t="s">
        <v>48</v>
      </c>
      <c r="H35" s="73" t="s">
        <v>34</v>
      </c>
      <c r="I35" s="36" t="s">
        <v>21</v>
      </c>
      <c r="J35" s="42"/>
      <c r="K35" s="40" t="s">
        <v>142</v>
      </c>
      <c r="L35" s="40" t="s">
        <v>142</v>
      </c>
      <c r="M35" s="101" t="s">
        <v>147</v>
      </c>
      <c r="N35" s="42" t="s">
        <v>275</v>
      </c>
      <c r="O35" s="111">
        <v>0.44</v>
      </c>
      <c r="P35" s="112"/>
      <c r="Q35" s="55">
        <v>0.44</v>
      </c>
      <c r="R35" s="40"/>
      <c r="S35" s="44"/>
    </row>
    <row r="36" spans="1:19" ht="124.8" hidden="1" customHeight="1" x14ac:dyDescent="0.3">
      <c r="A36" s="80" t="s">
        <v>151</v>
      </c>
      <c r="B36" s="98" t="s">
        <v>152</v>
      </c>
      <c r="C36" s="113" t="s">
        <v>153</v>
      </c>
      <c r="D36" s="16" t="s">
        <v>154</v>
      </c>
      <c r="E36" s="17"/>
      <c r="F36" s="73" t="s">
        <v>34</v>
      </c>
      <c r="G36" s="82" t="s">
        <v>296</v>
      </c>
      <c r="H36" s="73" t="s">
        <v>34</v>
      </c>
      <c r="I36" s="27" t="s">
        <v>21</v>
      </c>
      <c r="J36" s="114" t="s">
        <v>156</v>
      </c>
      <c r="K36" s="19"/>
      <c r="L36" s="19"/>
      <c r="M36" s="34"/>
      <c r="N36" s="66"/>
      <c r="O36" s="66"/>
      <c r="P36" s="76"/>
      <c r="Q36" s="19"/>
      <c r="R36" s="19"/>
      <c r="S36" s="23"/>
    </row>
    <row r="37" spans="1:19" ht="62.4" hidden="1" customHeight="1" x14ac:dyDescent="0.3">
      <c r="A37" s="80" t="s">
        <v>151</v>
      </c>
      <c r="B37" s="98" t="s">
        <v>152</v>
      </c>
      <c r="C37" s="80" t="s">
        <v>157</v>
      </c>
      <c r="D37" s="17" t="s">
        <v>297</v>
      </c>
      <c r="E37" s="17"/>
      <c r="F37" s="73" t="s">
        <v>18</v>
      </c>
      <c r="G37" s="82" t="s">
        <v>298</v>
      </c>
      <c r="H37" s="73" t="s">
        <v>34</v>
      </c>
      <c r="I37" s="27" t="s">
        <v>21</v>
      </c>
      <c r="J37" s="66" t="s">
        <v>299</v>
      </c>
      <c r="K37" s="19"/>
      <c r="L37" s="19"/>
      <c r="M37" s="34"/>
      <c r="N37" s="66"/>
      <c r="O37" s="66"/>
      <c r="P37" s="76"/>
      <c r="Q37" s="19"/>
      <c r="R37" s="19"/>
      <c r="S37" s="23"/>
    </row>
    <row r="38" spans="1:19" ht="93.6" hidden="1" customHeight="1" x14ac:dyDescent="0.3">
      <c r="A38" s="80" t="s">
        <v>151</v>
      </c>
      <c r="B38" s="98" t="s">
        <v>152</v>
      </c>
      <c r="C38" s="80" t="s">
        <v>157</v>
      </c>
      <c r="D38" s="115" t="s">
        <v>300</v>
      </c>
      <c r="E38" s="116"/>
      <c r="F38" s="73" t="s">
        <v>18</v>
      </c>
      <c r="G38" s="73" t="s">
        <v>159</v>
      </c>
      <c r="H38" s="73" t="s">
        <v>34</v>
      </c>
      <c r="I38" s="27" t="s">
        <v>21</v>
      </c>
      <c r="J38" s="18"/>
      <c r="K38" s="18"/>
      <c r="L38" s="19"/>
      <c r="M38" s="34" t="s">
        <v>52</v>
      </c>
      <c r="N38" s="19"/>
      <c r="O38" s="19"/>
      <c r="P38" s="23"/>
      <c r="Q38" s="19"/>
      <c r="R38" s="19"/>
      <c r="S38" s="23"/>
    </row>
    <row r="39" spans="1:19" ht="46.95" hidden="1" customHeight="1" x14ac:dyDescent="0.3">
      <c r="A39" s="93" t="s">
        <v>160</v>
      </c>
      <c r="B39" s="117" t="s">
        <v>161</v>
      </c>
      <c r="C39" s="93" t="s">
        <v>162</v>
      </c>
      <c r="D39" s="27" t="s">
        <v>163</v>
      </c>
      <c r="E39" s="17">
        <v>318</v>
      </c>
      <c r="F39" s="27" t="s">
        <v>18</v>
      </c>
      <c r="G39" s="27" t="s">
        <v>48</v>
      </c>
      <c r="H39" s="16" t="s">
        <v>49</v>
      </c>
      <c r="I39" s="27" t="s">
        <v>21</v>
      </c>
      <c r="J39" s="63" t="s">
        <v>301</v>
      </c>
      <c r="K39" s="19" t="s">
        <v>165</v>
      </c>
      <c r="L39" s="19" t="s">
        <v>165</v>
      </c>
      <c r="M39" s="94" t="s">
        <v>52</v>
      </c>
      <c r="N39" s="120">
        <v>0.85</v>
      </c>
      <c r="O39" s="141">
        <v>0.86160000000000003</v>
      </c>
      <c r="P39" s="140">
        <f t="shared" ref="P39:P44" si="0">O39/N39</f>
        <v>1.0136470588235296</v>
      </c>
      <c r="Q39" s="120">
        <v>0.85</v>
      </c>
      <c r="R39" s="29"/>
      <c r="S39" s="140">
        <f t="shared" ref="S39:S44" si="1">R39/Q39</f>
        <v>0</v>
      </c>
    </row>
    <row r="40" spans="1:19" ht="62.4" hidden="1" customHeight="1" x14ac:dyDescent="0.3">
      <c r="A40" s="93" t="s">
        <v>160</v>
      </c>
      <c r="B40" s="119" t="s">
        <v>161</v>
      </c>
      <c r="C40" s="113" t="s">
        <v>166</v>
      </c>
      <c r="D40" s="16" t="s">
        <v>167</v>
      </c>
      <c r="E40" s="17">
        <v>532</v>
      </c>
      <c r="F40" s="27" t="s">
        <v>18</v>
      </c>
      <c r="G40" s="16"/>
      <c r="H40" s="16" t="s">
        <v>49</v>
      </c>
      <c r="I40" s="27" t="s">
        <v>21</v>
      </c>
      <c r="J40" s="66" t="s">
        <v>168</v>
      </c>
      <c r="K40" s="19" t="s">
        <v>165</v>
      </c>
      <c r="L40" s="19" t="s">
        <v>165</v>
      </c>
      <c r="M40" s="94" t="s">
        <v>52</v>
      </c>
      <c r="N40" s="64">
        <v>1</v>
      </c>
      <c r="O40" s="65">
        <v>1.3392999999999999</v>
      </c>
      <c r="P40" s="140">
        <f t="shared" si="0"/>
        <v>1.3392999999999999</v>
      </c>
      <c r="Q40" s="64">
        <v>1</v>
      </c>
      <c r="R40" s="65">
        <v>1.099</v>
      </c>
      <c r="S40" s="140">
        <f t="shared" si="1"/>
        <v>1.099</v>
      </c>
    </row>
    <row r="41" spans="1:19" ht="124.8" hidden="1" customHeight="1" x14ac:dyDescent="0.3">
      <c r="A41" s="93" t="s">
        <v>160</v>
      </c>
      <c r="B41" s="98" t="s">
        <v>169</v>
      </c>
      <c r="C41" s="80" t="s">
        <v>166</v>
      </c>
      <c r="D41" s="16" t="s">
        <v>170</v>
      </c>
      <c r="E41" s="17">
        <v>533</v>
      </c>
      <c r="F41" s="27" t="s">
        <v>18</v>
      </c>
      <c r="G41" s="16"/>
      <c r="H41" s="16" t="s">
        <v>49</v>
      </c>
      <c r="I41" s="27" t="s">
        <v>21</v>
      </c>
      <c r="J41" s="66" t="s">
        <v>302</v>
      </c>
      <c r="K41" s="19" t="s">
        <v>165</v>
      </c>
      <c r="L41" s="19" t="s">
        <v>165</v>
      </c>
      <c r="M41" s="34" t="s">
        <v>37</v>
      </c>
      <c r="N41" s="64">
        <v>1</v>
      </c>
      <c r="O41" s="65">
        <v>1.5142</v>
      </c>
      <c r="P41" s="140">
        <f t="shared" si="0"/>
        <v>1.5142</v>
      </c>
      <c r="Q41" s="64">
        <v>1</v>
      </c>
      <c r="R41" s="65">
        <v>0.82269999999999999</v>
      </c>
      <c r="S41" s="140">
        <f t="shared" si="1"/>
        <v>0.82269999999999999</v>
      </c>
    </row>
    <row r="42" spans="1:19" ht="93.6" hidden="1" customHeight="1" x14ac:dyDescent="0.3">
      <c r="A42" s="93" t="s">
        <v>160</v>
      </c>
      <c r="B42" s="98" t="s">
        <v>169</v>
      </c>
      <c r="C42" s="80" t="s">
        <v>166</v>
      </c>
      <c r="D42" s="16" t="s">
        <v>172</v>
      </c>
      <c r="E42" s="17">
        <v>534</v>
      </c>
      <c r="F42" s="27" t="s">
        <v>18</v>
      </c>
      <c r="G42" s="16"/>
      <c r="H42" s="16" t="s">
        <v>49</v>
      </c>
      <c r="I42" s="27" t="s">
        <v>21</v>
      </c>
      <c r="J42" s="18" t="s">
        <v>173</v>
      </c>
      <c r="K42" s="19" t="s">
        <v>165</v>
      </c>
      <c r="L42" s="19" t="s">
        <v>165</v>
      </c>
      <c r="M42" s="34" t="s">
        <v>37</v>
      </c>
      <c r="N42" s="64">
        <v>1</v>
      </c>
      <c r="O42" s="65">
        <v>1.3431999999999999</v>
      </c>
      <c r="P42" s="140">
        <f t="shared" si="0"/>
        <v>1.3431999999999999</v>
      </c>
      <c r="Q42" s="64">
        <v>1</v>
      </c>
      <c r="R42" s="65">
        <v>1.3244</v>
      </c>
      <c r="S42" s="140">
        <f t="shared" si="1"/>
        <v>1.3244</v>
      </c>
    </row>
    <row r="43" spans="1:19" ht="93.6" hidden="1" customHeight="1" x14ac:dyDescent="0.3">
      <c r="A43" s="93" t="s">
        <v>160</v>
      </c>
      <c r="B43" s="98" t="s">
        <v>169</v>
      </c>
      <c r="C43" s="80" t="s">
        <v>166</v>
      </c>
      <c r="D43" s="16" t="s">
        <v>174</v>
      </c>
      <c r="E43" s="17">
        <v>535</v>
      </c>
      <c r="F43" s="27" t="s">
        <v>18</v>
      </c>
      <c r="G43" s="16"/>
      <c r="H43" s="16" t="s">
        <v>49</v>
      </c>
      <c r="I43" s="27" t="s">
        <v>21</v>
      </c>
      <c r="J43" s="18" t="s">
        <v>175</v>
      </c>
      <c r="K43" s="19" t="s">
        <v>165</v>
      </c>
      <c r="L43" s="19" t="s">
        <v>165</v>
      </c>
      <c r="M43" s="34" t="s">
        <v>37</v>
      </c>
      <c r="N43" s="64">
        <v>1</v>
      </c>
      <c r="O43" s="65">
        <v>1.6912</v>
      </c>
      <c r="P43" s="140">
        <f t="shared" si="0"/>
        <v>1.6912</v>
      </c>
      <c r="Q43" s="64">
        <v>1</v>
      </c>
      <c r="R43" s="65">
        <v>1.1175999999999999</v>
      </c>
      <c r="S43" s="140">
        <f t="shared" si="1"/>
        <v>1.1175999999999999</v>
      </c>
    </row>
    <row r="44" spans="1:19" ht="93.6" hidden="1" customHeight="1" x14ac:dyDescent="0.3">
      <c r="A44" s="93" t="s">
        <v>160</v>
      </c>
      <c r="B44" s="98" t="s">
        <v>169</v>
      </c>
      <c r="C44" s="80" t="s">
        <v>166</v>
      </c>
      <c r="D44" s="16" t="s">
        <v>176</v>
      </c>
      <c r="E44" s="17">
        <v>536</v>
      </c>
      <c r="F44" s="27" t="s">
        <v>18</v>
      </c>
      <c r="G44" s="16"/>
      <c r="H44" s="16" t="s">
        <v>49</v>
      </c>
      <c r="I44" s="27" t="s">
        <v>21</v>
      </c>
      <c r="J44" s="18" t="s">
        <v>177</v>
      </c>
      <c r="K44" s="19" t="s">
        <v>165</v>
      </c>
      <c r="L44" s="19" t="s">
        <v>165</v>
      </c>
      <c r="M44" s="34" t="s">
        <v>37</v>
      </c>
      <c r="N44" s="64">
        <v>1</v>
      </c>
      <c r="O44" s="120">
        <v>1.7237</v>
      </c>
      <c r="P44" s="140">
        <f t="shared" si="0"/>
        <v>1.7237</v>
      </c>
      <c r="Q44" s="64">
        <v>1</v>
      </c>
      <c r="R44" s="65">
        <v>0.72</v>
      </c>
      <c r="S44" s="140">
        <f t="shared" si="1"/>
        <v>0.72</v>
      </c>
    </row>
    <row r="45" spans="1:19" ht="88.8" hidden="1" customHeight="1" x14ac:dyDescent="0.3">
      <c r="A45" s="93" t="s">
        <v>178</v>
      </c>
      <c r="B45" s="117" t="s">
        <v>179</v>
      </c>
      <c r="C45" s="93" t="s">
        <v>180</v>
      </c>
      <c r="D45" s="26" t="s">
        <v>181</v>
      </c>
      <c r="E45" s="17"/>
      <c r="F45" s="62" t="s">
        <v>18</v>
      </c>
      <c r="G45" s="95" t="s">
        <v>48</v>
      </c>
      <c r="H45" s="73" t="s">
        <v>34</v>
      </c>
      <c r="I45" s="62" t="s">
        <v>21</v>
      </c>
      <c r="J45" s="63" t="s">
        <v>182</v>
      </c>
      <c r="K45" s="29"/>
      <c r="L45" s="29" t="s">
        <v>183</v>
      </c>
      <c r="M45" s="94"/>
      <c r="N45" s="63"/>
      <c r="O45" s="64">
        <v>1</v>
      </c>
      <c r="P45" s="96"/>
      <c r="Q45" s="29"/>
      <c r="R45" s="29"/>
      <c r="S45" s="31"/>
    </row>
    <row r="46" spans="1:19" ht="130.80000000000001" hidden="1" customHeight="1" x14ac:dyDescent="0.3">
      <c r="A46" s="80" t="s">
        <v>178</v>
      </c>
      <c r="B46" s="98" t="s">
        <v>179</v>
      </c>
      <c r="C46" s="80" t="s">
        <v>180</v>
      </c>
      <c r="D46" s="17" t="s">
        <v>303</v>
      </c>
      <c r="E46" s="17">
        <v>597</v>
      </c>
      <c r="F46" s="73" t="s">
        <v>18</v>
      </c>
      <c r="G46" s="82" t="s">
        <v>48</v>
      </c>
      <c r="H46" s="73" t="s">
        <v>34</v>
      </c>
      <c r="I46" s="62" t="s">
        <v>21</v>
      </c>
      <c r="J46" s="66" t="s">
        <v>185</v>
      </c>
      <c r="K46" s="19"/>
      <c r="L46" s="19" t="s">
        <v>183</v>
      </c>
      <c r="M46" s="34"/>
      <c r="N46" s="66"/>
      <c r="O46" s="64">
        <v>1</v>
      </c>
      <c r="P46" s="76"/>
      <c r="Q46" s="19" t="s">
        <v>275</v>
      </c>
      <c r="R46" s="19"/>
      <c r="S46" s="23"/>
    </row>
    <row r="47" spans="1:19" ht="132.6" hidden="1" customHeight="1" x14ac:dyDescent="0.3">
      <c r="A47" s="93" t="s">
        <v>178</v>
      </c>
      <c r="B47" s="117" t="s">
        <v>179</v>
      </c>
      <c r="C47" s="93" t="s">
        <v>186</v>
      </c>
      <c r="D47" s="17" t="s">
        <v>187</v>
      </c>
      <c r="E47" s="17">
        <v>500</v>
      </c>
      <c r="F47" s="73" t="s">
        <v>18</v>
      </c>
      <c r="G47" s="82" t="s">
        <v>188</v>
      </c>
      <c r="H47" s="17" t="s">
        <v>20</v>
      </c>
      <c r="I47" s="62" t="s">
        <v>21</v>
      </c>
      <c r="J47" s="63" t="s">
        <v>189</v>
      </c>
      <c r="K47" s="29" t="s">
        <v>190</v>
      </c>
      <c r="L47" s="29" t="s">
        <v>191</v>
      </c>
      <c r="M47" s="94"/>
      <c r="N47" s="120">
        <v>0.8</v>
      </c>
      <c r="O47" s="64">
        <v>1</v>
      </c>
      <c r="P47" s="121">
        <f>O47/N47</f>
        <v>1.25</v>
      </c>
      <c r="Q47" s="122">
        <v>0.85</v>
      </c>
      <c r="R47" s="122">
        <v>1</v>
      </c>
      <c r="S47" s="123">
        <f>R47/Q47</f>
        <v>1.1764705882352942</v>
      </c>
    </row>
    <row r="48" spans="1:19" ht="132.6" hidden="1" customHeight="1" x14ac:dyDescent="0.3">
      <c r="A48" s="93" t="s">
        <v>178</v>
      </c>
      <c r="B48" s="117" t="s">
        <v>179</v>
      </c>
      <c r="C48" s="93" t="s">
        <v>186</v>
      </c>
      <c r="D48" s="17" t="s">
        <v>192</v>
      </c>
      <c r="E48" s="17"/>
      <c r="F48" s="73" t="s">
        <v>18</v>
      </c>
      <c r="G48" s="82" t="s">
        <v>188</v>
      </c>
      <c r="H48" s="17" t="s">
        <v>20</v>
      </c>
      <c r="I48" s="62" t="s">
        <v>21</v>
      </c>
      <c r="J48" s="63" t="s">
        <v>189</v>
      </c>
      <c r="K48" s="29" t="s">
        <v>190</v>
      </c>
      <c r="L48" s="29" t="s">
        <v>193</v>
      </c>
      <c r="M48" s="94"/>
      <c r="N48" s="120">
        <v>0.8</v>
      </c>
      <c r="O48" s="64">
        <v>1</v>
      </c>
      <c r="P48" s="121">
        <f>O48/N48</f>
        <v>1.25</v>
      </c>
      <c r="Q48" s="122">
        <v>0.85</v>
      </c>
      <c r="R48" s="124">
        <v>0.97899999999999998</v>
      </c>
      <c r="S48" s="123">
        <f>R48/Q48</f>
        <v>1.151764705882353</v>
      </c>
    </row>
    <row r="49" spans="1:19" ht="93.6" hidden="1" customHeight="1" x14ac:dyDescent="0.3">
      <c r="A49" s="80" t="s">
        <v>178</v>
      </c>
      <c r="B49" s="98" t="s">
        <v>179</v>
      </c>
      <c r="C49" s="80" t="s">
        <v>186</v>
      </c>
      <c r="D49" s="16" t="s">
        <v>194</v>
      </c>
      <c r="E49" s="17"/>
      <c r="F49" s="73" t="s">
        <v>18</v>
      </c>
      <c r="G49" s="82" t="s">
        <v>48</v>
      </c>
      <c r="H49" s="73" t="s">
        <v>34</v>
      </c>
      <c r="I49" s="62" t="s">
        <v>21</v>
      </c>
      <c r="J49" s="114" t="s">
        <v>195</v>
      </c>
      <c r="K49" s="19"/>
      <c r="L49" s="19" t="s">
        <v>183</v>
      </c>
      <c r="M49" s="34"/>
      <c r="N49" s="66"/>
      <c r="O49" s="64">
        <v>1</v>
      </c>
      <c r="P49" s="76"/>
      <c r="Q49" s="19"/>
      <c r="R49" s="19"/>
      <c r="S49" s="23"/>
    </row>
    <row r="50" spans="1:19" ht="109.2" hidden="1" customHeight="1" x14ac:dyDescent="0.3">
      <c r="A50" s="80" t="s">
        <v>196</v>
      </c>
      <c r="B50" s="125" t="s">
        <v>197</v>
      </c>
      <c r="C50" s="126" t="s">
        <v>198</v>
      </c>
      <c r="D50" s="17" t="s">
        <v>199</v>
      </c>
      <c r="E50" s="17">
        <v>576</v>
      </c>
      <c r="F50" s="62" t="s">
        <v>18</v>
      </c>
      <c r="G50" s="73" t="s">
        <v>48</v>
      </c>
      <c r="H50" s="73" t="s">
        <v>49</v>
      </c>
      <c r="I50" s="73" t="s">
        <v>21</v>
      </c>
      <c r="J50" s="66" t="s">
        <v>200</v>
      </c>
      <c r="K50" s="19" t="s">
        <v>112</v>
      </c>
      <c r="L50" s="19" t="s">
        <v>112</v>
      </c>
      <c r="M50" s="127"/>
      <c r="N50" s="66" t="s">
        <v>58</v>
      </c>
      <c r="O50" s="66"/>
      <c r="P50" s="76"/>
      <c r="Q50" s="21">
        <v>1</v>
      </c>
      <c r="R50" s="21"/>
      <c r="S50" s="22"/>
    </row>
    <row r="51" spans="1:19" ht="78" hidden="1" customHeight="1" x14ac:dyDescent="0.3">
      <c r="A51" s="93" t="s">
        <v>196</v>
      </c>
      <c r="B51" s="93" t="s">
        <v>201</v>
      </c>
      <c r="C51" s="128" t="s">
        <v>202</v>
      </c>
      <c r="D51" s="26" t="s">
        <v>203</v>
      </c>
      <c r="E51" s="17">
        <v>573</v>
      </c>
      <c r="F51" s="62" t="s">
        <v>18</v>
      </c>
      <c r="G51" s="95" t="s">
        <v>48</v>
      </c>
      <c r="H51" s="73" t="s">
        <v>49</v>
      </c>
      <c r="I51" s="73" t="s">
        <v>21</v>
      </c>
      <c r="J51" s="63" t="s">
        <v>204</v>
      </c>
      <c r="K51" s="29" t="s">
        <v>112</v>
      </c>
      <c r="L51" s="29" t="s">
        <v>112</v>
      </c>
      <c r="M51" s="129"/>
      <c r="N51" s="63"/>
      <c r="O51" s="63"/>
      <c r="P51" s="96"/>
      <c r="Q51" s="29">
        <v>112</v>
      </c>
      <c r="R51" s="29"/>
      <c r="S51" s="31"/>
    </row>
    <row r="52" spans="1:19" ht="93.6" hidden="1" customHeight="1" x14ac:dyDescent="0.3">
      <c r="A52" s="80" t="s">
        <v>196</v>
      </c>
      <c r="B52" s="80" t="s">
        <v>201</v>
      </c>
      <c r="C52" s="126" t="s">
        <v>202</v>
      </c>
      <c r="D52" s="85" t="s">
        <v>304</v>
      </c>
      <c r="E52" s="88"/>
      <c r="F52" s="89" t="s">
        <v>287</v>
      </c>
      <c r="G52" s="89" t="s">
        <v>34</v>
      </c>
      <c r="H52" s="73" t="s">
        <v>305</v>
      </c>
      <c r="I52" s="73" t="s">
        <v>21</v>
      </c>
      <c r="J52" s="130" t="s">
        <v>306</v>
      </c>
      <c r="K52" s="131" t="s">
        <v>112</v>
      </c>
      <c r="L52" s="131" t="s">
        <v>112</v>
      </c>
      <c r="M52" s="127"/>
      <c r="N52" s="130" t="s">
        <v>307</v>
      </c>
      <c r="O52" s="130"/>
      <c r="P52" s="76"/>
      <c r="Q52" s="131"/>
      <c r="R52" s="131"/>
      <c r="S52" s="23"/>
    </row>
    <row r="53" spans="1:19" ht="62.4" hidden="1" customHeight="1" x14ac:dyDescent="0.3">
      <c r="A53" s="80" t="s">
        <v>196</v>
      </c>
      <c r="B53" s="80" t="s">
        <v>201</v>
      </c>
      <c r="C53" s="126" t="s">
        <v>202</v>
      </c>
      <c r="D53" s="88" t="s">
        <v>308</v>
      </c>
      <c r="E53" s="88"/>
      <c r="F53" s="89" t="s">
        <v>287</v>
      </c>
      <c r="G53" s="89" t="s">
        <v>48</v>
      </c>
      <c r="H53" s="73" t="s">
        <v>305</v>
      </c>
      <c r="I53" s="73" t="s">
        <v>21</v>
      </c>
      <c r="J53" s="130" t="s">
        <v>309</v>
      </c>
      <c r="K53" s="131" t="s">
        <v>112</v>
      </c>
      <c r="L53" s="131" t="s">
        <v>112</v>
      </c>
      <c r="M53" s="127"/>
      <c r="N53" s="64">
        <v>0.8</v>
      </c>
      <c r="O53" s="64"/>
      <c r="P53" s="132"/>
      <c r="Q53" s="64">
        <v>0.8</v>
      </c>
      <c r="R53" s="64"/>
      <c r="S53" s="132"/>
    </row>
    <row r="54" spans="1:19" ht="93.6" hidden="1" customHeight="1" x14ac:dyDescent="0.3">
      <c r="A54" s="80" t="s">
        <v>196</v>
      </c>
      <c r="B54" s="98" t="s">
        <v>310</v>
      </c>
      <c r="C54" s="80" t="s">
        <v>311</v>
      </c>
      <c r="D54" s="17" t="s">
        <v>312</v>
      </c>
      <c r="E54" s="17"/>
      <c r="F54" s="73" t="s">
        <v>34</v>
      </c>
      <c r="G54" s="73" t="s">
        <v>313</v>
      </c>
      <c r="H54" s="73" t="s">
        <v>34</v>
      </c>
      <c r="I54" s="73" t="s">
        <v>21</v>
      </c>
      <c r="J54" s="66" t="s">
        <v>314</v>
      </c>
      <c r="K54" s="19"/>
      <c r="L54" s="19" t="s">
        <v>112</v>
      </c>
      <c r="M54" s="34"/>
      <c r="N54" s="64">
        <v>1</v>
      </c>
      <c r="O54" s="64"/>
      <c r="P54" s="132"/>
      <c r="Q54" s="64">
        <v>1</v>
      </c>
      <c r="R54" s="64"/>
      <c r="S54" s="132"/>
    </row>
    <row r="55" spans="1:19" ht="109.2" hidden="1" customHeight="1" x14ac:dyDescent="0.3">
      <c r="A55" s="80" t="s">
        <v>196</v>
      </c>
      <c r="B55" s="98" t="s">
        <v>205</v>
      </c>
      <c r="C55" s="80" t="s">
        <v>206</v>
      </c>
      <c r="D55" s="17" t="s">
        <v>207</v>
      </c>
      <c r="E55" s="17">
        <v>460</v>
      </c>
      <c r="F55" s="73" t="s">
        <v>18</v>
      </c>
      <c r="G55" s="73" t="s">
        <v>75</v>
      </c>
      <c r="H55" s="73" t="s">
        <v>49</v>
      </c>
      <c r="I55" s="73" t="s">
        <v>21</v>
      </c>
      <c r="J55" s="18" t="s">
        <v>208</v>
      </c>
      <c r="K55" s="19" t="s">
        <v>209</v>
      </c>
      <c r="L55" s="19" t="s">
        <v>209</v>
      </c>
      <c r="M55" s="34"/>
      <c r="N55" s="64">
        <v>0.8</v>
      </c>
      <c r="O55" s="65">
        <v>0.84179999999999999</v>
      </c>
      <c r="P55" s="133">
        <f>O55/N55</f>
        <v>1.0522499999999999</v>
      </c>
      <c r="Q55" s="21">
        <v>0.82</v>
      </c>
      <c r="R55" s="19"/>
      <c r="S55" s="23"/>
    </row>
    <row r="56" spans="1:19" ht="124.8" hidden="1" customHeight="1" x14ac:dyDescent="0.3">
      <c r="A56" s="80" t="s">
        <v>196</v>
      </c>
      <c r="B56" s="98" t="s">
        <v>210</v>
      </c>
      <c r="C56" s="80" t="s">
        <v>211</v>
      </c>
      <c r="D56" s="73" t="s">
        <v>212</v>
      </c>
      <c r="E56" s="17"/>
      <c r="F56" s="73" t="s">
        <v>34</v>
      </c>
      <c r="G56" s="73" t="s">
        <v>48</v>
      </c>
      <c r="H56" s="73" t="s">
        <v>34</v>
      </c>
      <c r="I56" s="73" t="s">
        <v>21</v>
      </c>
      <c r="J56" s="18" t="s">
        <v>213</v>
      </c>
      <c r="K56" s="19"/>
      <c r="L56" s="19"/>
      <c r="M56" s="34" t="s">
        <v>52</v>
      </c>
      <c r="N56" s="66"/>
      <c r="O56" s="66"/>
      <c r="P56" s="76"/>
      <c r="Q56" s="19"/>
      <c r="R56" s="19"/>
      <c r="S56" s="23"/>
    </row>
    <row r="57" spans="1:19" ht="93.6" hidden="1" customHeight="1" x14ac:dyDescent="0.3">
      <c r="A57" s="80" t="s">
        <v>214</v>
      </c>
      <c r="B57" s="98" t="s">
        <v>215</v>
      </c>
      <c r="C57" s="80" t="s">
        <v>216</v>
      </c>
      <c r="D57" s="116" t="s">
        <v>217</v>
      </c>
      <c r="E57" s="116"/>
      <c r="F57" s="134" t="s">
        <v>18</v>
      </c>
      <c r="G57" s="134" t="s">
        <v>48</v>
      </c>
      <c r="H57" s="73" t="s">
        <v>34</v>
      </c>
      <c r="I57" s="73" t="s">
        <v>21</v>
      </c>
      <c r="J57" s="66" t="s">
        <v>217</v>
      </c>
      <c r="K57" s="19"/>
      <c r="L57" s="19"/>
      <c r="M57" s="34"/>
      <c r="N57" s="66"/>
      <c r="O57" s="66"/>
      <c r="P57" s="76"/>
      <c r="Q57" s="19"/>
      <c r="R57" s="19"/>
      <c r="S57" s="23"/>
    </row>
    <row r="58" spans="1:19" ht="46.8" hidden="1" customHeight="1" x14ac:dyDescent="0.3">
      <c r="A58" s="80" t="s">
        <v>214</v>
      </c>
      <c r="B58" s="80" t="s">
        <v>218</v>
      </c>
      <c r="C58" s="80" t="s">
        <v>219</v>
      </c>
      <c r="D58" s="17" t="s">
        <v>220</v>
      </c>
      <c r="E58" s="17">
        <v>553</v>
      </c>
      <c r="F58" s="134" t="s">
        <v>18</v>
      </c>
      <c r="G58" s="82" t="s">
        <v>48</v>
      </c>
      <c r="H58" s="73" t="s">
        <v>34</v>
      </c>
      <c r="I58" s="73" t="s">
        <v>21</v>
      </c>
      <c r="J58" s="66" t="s">
        <v>221</v>
      </c>
      <c r="K58" s="19" t="s">
        <v>222</v>
      </c>
      <c r="L58" s="19" t="s">
        <v>223</v>
      </c>
      <c r="M58" s="34"/>
      <c r="N58" s="66"/>
      <c r="O58" s="66"/>
      <c r="P58" s="76"/>
      <c r="Q58" s="21">
        <v>0.85</v>
      </c>
      <c r="R58" s="19"/>
      <c r="S58" s="23"/>
    </row>
    <row r="59" spans="1:19" ht="124.8" customHeight="1" x14ac:dyDescent="0.3">
      <c r="A59" s="80" t="s">
        <v>214</v>
      </c>
      <c r="B59" s="80" t="s">
        <v>218</v>
      </c>
      <c r="C59" s="135" t="s">
        <v>224</v>
      </c>
      <c r="D59" s="17" t="s">
        <v>225</v>
      </c>
      <c r="E59" s="17"/>
      <c r="F59" s="134" t="s">
        <v>18</v>
      </c>
      <c r="G59" s="82" t="s">
        <v>48</v>
      </c>
      <c r="H59" s="17" t="s">
        <v>49</v>
      </c>
      <c r="I59" s="73" t="s">
        <v>21</v>
      </c>
      <c r="J59" s="66" t="s">
        <v>226</v>
      </c>
      <c r="K59" s="19" t="s">
        <v>227</v>
      </c>
      <c r="L59" s="19" t="s">
        <v>227</v>
      </c>
      <c r="M59" s="136" t="s">
        <v>228</v>
      </c>
      <c r="N59" s="66">
        <v>86.1</v>
      </c>
      <c r="O59" s="66">
        <v>86.2</v>
      </c>
      <c r="P59" s="133">
        <f>O59/N59</f>
        <v>1.0011614401858304</v>
      </c>
      <c r="Q59" s="19">
        <v>86.6</v>
      </c>
      <c r="R59" s="19"/>
      <c r="S59" s="133">
        <f>R59/Q59</f>
        <v>0</v>
      </c>
    </row>
    <row r="60" spans="1:19" ht="124.8" hidden="1" customHeight="1" x14ac:dyDescent="0.3">
      <c r="A60" s="80" t="s">
        <v>214</v>
      </c>
      <c r="B60" s="80" t="s">
        <v>218</v>
      </c>
      <c r="C60" s="135" t="s">
        <v>224</v>
      </c>
      <c r="D60" s="16" t="s">
        <v>229</v>
      </c>
      <c r="E60" s="17"/>
      <c r="F60" s="73" t="s">
        <v>34</v>
      </c>
      <c r="G60" s="82" t="s">
        <v>48</v>
      </c>
      <c r="H60" s="17" t="s">
        <v>49</v>
      </c>
      <c r="I60" s="73" t="s">
        <v>21</v>
      </c>
      <c r="J60" s="66" t="s">
        <v>226</v>
      </c>
      <c r="K60" s="19" t="s">
        <v>227</v>
      </c>
      <c r="L60" s="19" t="s">
        <v>227</v>
      </c>
      <c r="M60" s="136" t="s">
        <v>228</v>
      </c>
      <c r="N60" s="66"/>
      <c r="O60" s="66"/>
      <c r="P60" s="76"/>
      <c r="Q60" s="19"/>
      <c r="R60" s="19"/>
      <c r="S60" s="23"/>
    </row>
    <row r="61" spans="1:19" ht="124.95" hidden="1" customHeight="1" x14ac:dyDescent="0.3">
      <c r="A61" s="93" t="s">
        <v>214</v>
      </c>
      <c r="B61" s="93" t="s">
        <v>218</v>
      </c>
      <c r="C61" s="137" t="s">
        <v>224</v>
      </c>
      <c r="D61" s="26" t="s">
        <v>230</v>
      </c>
      <c r="E61" s="17"/>
      <c r="F61" s="134" t="s">
        <v>287</v>
      </c>
      <c r="G61" s="27" t="s">
        <v>48</v>
      </c>
      <c r="H61" s="27" t="s">
        <v>34</v>
      </c>
      <c r="I61" s="73" t="s">
        <v>21</v>
      </c>
      <c r="J61" s="63"/>
      <c r="K61" s="29" t="s">
        <v>227</v>
      </c>
      <c r="L61" s="29" t="s">
        <v>227</v>
      </c>
      <c r="M61" s="136" t="s">
        <v>228</v>
      </c>
      <c r="N61" s="63"/>
      <c r="O61" s="63"/>
      <c r="P61" s="96"/>
      <c r="Q61" s="29"/>
      <c r="R61" s="29"/>
      <c r="S61" s="31"/>
    </row>
    <row r="62" spans="1:19" ht="109.2" customHeight="1" x14ac:dyDescent="0.3">
      <c r="A62" s="80" t="s">
        <v>214</v>
      </c>
      <c r="B62" s="80" t="s">
        <v>218</v>
      </c>
      <c r="C62" s="135" t="s">
        <v>224</v>
      </c>
      <c r="D62" s="17" t="s">
        <v>232</v>
      </c>
      <c r="E62" s="17"/>
      <c r="F62" s="17" t="s">
        <v>18</v>
      </c>
      <c r="G62" s="17" t="s">
        <v>75</v>
      </c>
      <c r="H62" s="17" t="s">
        <v>49</v>
      </c>
      <c r="I62" s="73" t="s">
        <v>21</v>
      </c>
      <c r="J62" s="66" t="s">
        <v>233</v>
      </c>
      <c r="K62" s="19" t="s">
        <v>227</v>
      </c>
      <c r="L62" s="19" t="s">
        <v>227</v>
      </c>
      <c r="M62" s="136"/>
      <c r="N62" s="66">
        <v>74.2</v>
      </c>
      <c r="O62" s="66">
        <v>77.400000000000006</v>
      </c>
      <c r="P62" s="133">
        <f>O62/N62</f>
        <v>1.0431266846361187</v>
      </c>
      <c r="Q62" s="19">
        <v>74.8</v>
      </c>
      <c r="R62" s="19"/>
      <c r="S62" s="23"/>
    </row>
    <row r="63" spans="1:19" ht="93.6" hidden="1" customHeight="1" x14ac:dyDescent="0.3">
      <c r="A63" s="80" t="s">
        <v>214</v>
      </c>
      <c r="B63" s="98" t="s">
        <v>234</v>
      </c>
      <c r="C63" s="126" t="s">
        <v>235</v>
      </c>
      <c r="D63" s="16" t="s">
        <v>236</v>
      </c>
      <c r="E63" s="17"/>
      <c r="F63" s="27" t="s">
        <v>34</v>
      </c>
      <c r="G63" s="27" t="s">
        <v>48</v>
      </c>
      <c r="H63" s="73" t="s">
        <v>34</v>
      </c>
      <c r="I63" s="73" t="s">
        <v>21</v>
      </c>
      <c r="J63" s="66" t="s">
        <v>237</v>
      </c>
      <c r="K63" s="19"/>
      <c r="L63" s="19" t="s">
        <v>238</v>
      </c>
      <c r="M63" s="127" t="s">
        <v>239</v>
      </c>
      <c r="N63" s="66"/>
      <c r="O63" s="66"/>
      <c r="P63" s="76"/>
      <c r="Q63" s="19"/>
      <c r="R63" s="19"/>
      <c r="S63" s="23"/>
    </row>
    <row r="64" spans="1:19" ht="109.2" hidden="1" customHeight="1" x14ac:dyDescent="0.3">
      <c r="A64" s="93" t="s">
        <v>240</v>
      </c>
      <c r="B64" s="117" t="s">
        <v>241</v>
      </c>
      <c r="C64" s="93" t="s">
        <v>242</v>
      </c>
      <c r="D64" s="26" t="s">
        <v>243</v>
      </c>
      <c r="E64" s="17">
        <v>546</v>
      </c>
      <c r="F64" s="134" t="s">
        <v>18</v>
      </c>
      <c r="G64" s="27" t="s">
        <v>75</v>
      </c>
      <c r="H64" s="27" t="s">
        <v>49</v>
      </c>
      <c r="I64" s="27" t="s">
        <v>21</v>
      </c>
      <c r="J64" s="28" t="s">
        <v>244</v>
      </c>
      <c r="K64" s="29" t="s">
        <v>245</v>
      </c>
      <c r="L64" s="29" t="s">
        <v>245</v>
      </c>
      <c r="M64" s="94"/>
      <c r="N64" s="143">
        <v>1</v>
      </c>
      <c r="O64" s="141">
        <v>1.1357999999999999</v>
      </c>
      <c r="P64" s="144">
        <f>O64/N64</f>
        <v>1.1357999999999999</v>
      </c>
      <c r="Q64" s="122">
        <v>1</v>
      </c>
      <c r="R64" s="29"/>
      <c r="S64" s="31"/>
    </row>
    <row r="65" spans="1:19" ht="70.95" hidden="1" customHeight="1" x14ac:dyDescent="0.3">
      <c r="A65" s="93" t="s">
        <v>240</v>
      </c>
      <c r="B65" s="117" t="s">
        <v>247</v>
      </c>
      <c r="C65" s="93" t="s">
        <v>248</v>
      </c>
      <c r="D65" s="27" t="s">
        <v>315</v>
      </c>
      <c r="E65" s="17">
        <v>542</v>
      </c>
      <c r="F65" s="134" t="s">
        <v>18</v>
      </c>
      <c r="G65" s="27"/>
      <c r="H65" s="27" t="s">
        <v>48</v>
      </c>
      <c r="I65" s="27" t="s">
        <v>21</v>
      </c>
      <c r="J65" s="28" t="s">
        <v>250</v>
      </c>
      <c r="K65" s="29"/>
      <c r="L65" s="29"/>
      <c r="M65" s="118" t="s">
        <v>52</v>
      </c>
      <c r="N65" s="63"/>
      <c r="O65" s="63">
        <v>81.239999999999995</v>
      </c>
      <c r="P65" s="96"/>
      <c r="Q65" s="29"/>
      <c r="R65" s="29"/>
      <c r="S65" s="31"/>
    </row>
    <row r="66" spans="1:19" ht="171.6" hidden="1" customHeight="1" x14ac:dyDescent="0.3">
      <c r="A66" s="93" t="s">
        <v>240</v>
      </c>
      <c r="B66" s="117" t="s">
        <v>247</v>
      </c>
      <c r="C66" s="93" t="s">
        <v>251</v>
      </c>
      <c r="D66" s="27" t="s">
        <v>316</v>
      </c>
      <c r="E66" s="17">
        <v>541</v>
      </c>
      <c r="F66" s="134" t="s">
        <v>18</v>
      </c>
      <c r="G66" s="62" t="s">
        <v>317</v>
      </c>
      <c r="H66" s="73" t="s">
        <v>49</v>
      </c>
      <c r="I66" s="27" t="s">
        <v>21</v>
      </c>
      <c r="J66" s="63" t="s">
        <v>254</v>
      </c>
      <c r="K66" s="29" t="s">
        <v>245</v>
      </c>
      <c r="L66" s="29" t="s">
        <v>245</v>
      </c>
      <c r="M66" s="94"/>
      <c r="N66" s="120">
        <v>0.04</v>
      </c>
      <c r="O66" s="141">
        <v>6.9900000000000004E-2</v>
      </c>
      <c r="P66" s="144">
        <f>O66/N66</f>
        <v>1.7475000000000001</v>
      </c>
      <c r="Q66" s="122">
        <v>0.09</v>
      </c>
      <c r="R66" s="29"/>
      <c r="S66" s="31"/>
    </row>
    <row r="67" spans="1:19" ht="46.8" hidden="1" customHeight="1" x14ac:dyDescent="0.3">
      <c r="A67" s="80" t="s">
        <v>240</v>
      </c>
      <c r="B67" s="98" t="s">
        <v>255</v>
      </c>
      <c r="C67" s="80" t="s">
        <v>256</v>
      </c>
      <c r="D67" s="17" t="s">
        <v>318</v>
      </c>
      <c r="E67" s="17">
        <v>547</v>
      </c>
      <c r="F67" s="134" t="s">
        <v>18</v>
      </c>
      <c r="G67" s="73"/>
      <c r="H67" s="73" t="s">
        <v>49</v>
      </c>
      <c r="I67" s="27" t="s">
        <v>21</v>
      </c>
      <c r="J67" s="66" t="s">
        <v>319</v>
      </c>
      <c r="K67" s="19" t="s">
        <v>245</v>
      </c>
      <c r="L67" s="19" t="s">
        <v>245</v>
      </c>
      <c r="M67" s="34" t="s">
        <v>52</v>
      </c>
      <c r="N67" s="66"/>
      <c r="O67" s="66"/>
      <c r="P67" s="76"/>
      <c r="Q67" s="19"/>
      <c r="R67" s="19"/>
      <c r="S67" s="23"/>
    </row>
  </sheetData>
  <autoFilter ref="A2:S67" xr:uid="{00000000-0009-0000-0000-000001000000}">
    <filterColumn colId="3">
      <filters>
        <filter val="% Permanencia intersemestral"/>
        <filter val="% Permanencia intersemestral Ingresantes"/>
        <filter val="Nùmero participantes en  Procesos formación permanente desarrollados desde el SIAC"/>
      </filters>
    </filterColumn>
  </autoFilter>
  <mergeCells count="2">
    <mergeCell ref="N1:S1"/>
    <mergeCell ref="L12:L13"/>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Indicadores Plan de Mejor</vt:lpstr>
      <vt:lpstr>Indicadores Real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Licec Ximena Silva Goyeneche</dc:creator>
  <cp:lastModifiedBy>Ximena Silva</cp:lastModifiedBy>
  <dcterms:created xsi:type="dcterms:W3CDTF">2026-09-11T05:02:10Z</dcterms:created>
  <dcterms:modified xsi:type="dcterms:W3CDTF">2026-09-29T17:09:43Z</dcterms:modified>
</cp:coreProperties>
</file>