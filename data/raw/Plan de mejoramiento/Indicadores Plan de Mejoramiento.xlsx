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poligran-my.sharepoint.com/personal/lxisilva_poligran_edu_co/Documents/Documentos/Proyectos/SGIND/data/raw/Plan de mejoramiento/"/>
    </mc:Choice>
  </mc:AlternateContent>
  <xr:revisionPtr revIDLastSave="269" documentId="8_{EDBE0DD7-5DF9-4C9A-8F8F-6CDFE6F49D25}" xr6:coauthVersionLast="47" xr6:coauthVersionMax="47" xr10:uidLastSave="{710377C6-5A63-446A-8D54-E2DD9448A13A}"/>
  <bookViews>
    <workbookView xWindow="-108" yWindow="-108" windowWidth="23256" windowHeight="12456" xr2:uid="{DD3A294A-1D13-4C18-8C58-F237245A6723}"/>
  </bookViews>
  <sheets>
    <sheet name="Indicadores Plan de Mejor" sheetId="1" r:id="rId1"/>
    <sheet name="Indicadores Real" sheetId="2" r:id="rId2"/>
  </sheets>
  <definedNames>
    <definedName name="_xlnm._FilterDatabase" localSheetId="0" hidden="1">'Indicadores Plan de Mejor'!$A$2:$S$65</definedName>
    <definedName name="_xlnm._FilterDatabase" localSheetId="1" hidden="1">'Indicadores Real'!$A$2:$S$67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62" i="2" l="1"/>
  <c r="P66" i="2"/>
  <c r="P64" i="2"/>
  <c r="S59" i="2"/>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tc={029006E9-4008-49E2-BAEE-4CC12F0054C4}</author>
    <author>tc={76CD3EFC-5330-4BD0-A48D-F1E64F16B9AC}</author>
  </authors>
  <commentList>
    <comment ref="O11" authorId="0" shapeId="0" xr:uid="{029006E9-4008-49E2-BAEE-4CC12F0054C4}">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2" authorId="1" shapeId="0" xr:uid="{76CD3EFC-5330-4BD0-A48D-F1E64F16B9AC}">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tc={E581DAFC-44AD-42D5-8849-003A27C98076}</author>
  </authors>
  <commentList>
    <comment ref="N7" authorId="0" shapeId="0" xr:uid="{FA05611A-1D16-4452-B93C-2E4DFFD86645}">
      <text>
        <t>[Comentario encadenado]
Su versión de Excel le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2" authorId="1" shapeId="0" xr:uid="{3F85CAB4-6021-44EC-B795-E932C183C912}">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7" authorId="2" shapeId="0" xr:uid="{242351BE-3094-4A32-A1BB-45F00F8A6CD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8" authorId="3" shapeId="0" xr:uid="{89AA3457-36D7-4CDB-AC41-C208171F6214}">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 ref="N64" authorId="4" shapeId="0" xr:uid="{E581DAFC-44AD-42D5-8849-003A27C98076}">
      <text>
        <t>[Comentario encadenado]
Su versión de Excel le permite leer este comentario encadenado; sin embargo, las ediciones que se apliquen se quitarán si el archivo se abre en una versión más reciente de Excel. Más información: https://go.microsoft.com/fwlink/?linkid=870924
Comentario:
    M0:  90% tasa de respuesta
M1: 9% tasa de respuesta
M5: 3,5% tasa de respuesta</t>
      </text>
    </comment>
  </commentList>
</comments>
</file>

<file path=xl/sharedStrings.xml><?xml version="1.0" encoding="utf-8"?>
<sst xmlns="http://schemas.openxmlformats.org/spreadsheetml/2006/main" count="1424" uniqueCount="325">
  <si>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</si>
  <si>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</si>
  <si>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</si>
  <si>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</si>
  <si>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</si>
  <si>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</si>
  <si>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</si>
  <si>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</si>
  <si>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</si>
  <si>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</si>
  <si>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</si>
  <si>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</si>
  <si>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</si>
  <si>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</si>
  <si>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</si>
  <si>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</si>
  <si>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</si>
  <si>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</si>
  <si>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</si>
  <si>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</si>
  <si>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</si>
  <si>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</si>
  <si>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</si>
  <si>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</si>
  <si>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</si>
  <si>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</si>
  <si>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</si>
  <si>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</si>
  <si>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</si>
  <si>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</si>
  <si>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</si>
  <si>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</si>
  <si>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</si>
  <si>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</si>
  <si>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</si>
  <si>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</si>
  <si>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</si>
  <si>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</si>
  <si>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</si>
  <si>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</si>
  <si>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</si>
  <si>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</si>
  <si>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</si>
  <si>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</si>
  <si>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</si>
  <si>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</si>
  <si>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</si>
  <si>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</si>
  <si>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Metrica</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</si>
  <si>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</si>
  <si>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</si>
  <si>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</si>
  <si>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</si>
  <si>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</si>
  <si>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</si>
  <si>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</si>
  <si>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</si>
  <si>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</si>
  <si>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</si>
  <si>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</si>
  <si>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</si>
  <si>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</si>
  <si>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</si>
  <si>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</si>
  <si>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</si>
  <si>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</si>
  <si>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</si>
  <si>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</si>
  <si>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</si>
  <si>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</si>
  <si>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</si>
  <si>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</si>
  <si>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</si>
  <si>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</si>
  <si>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</si>
  <si>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</si>
  <si>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</si>
  <si>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</si>
  <si>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</si>
  <si>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</si>
  <si>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</si>
  <si>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</si>
  <si>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</si>
  <si>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</si>
  <si>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</si>
  <si>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</si>
  <si>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</si>
  <si>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</si>
  <si>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</si>
  <si>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</si>
  <si>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</si>
  <si>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</si>
  <si>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</si>
  <si>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</si>
  <si>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</si>
  <si>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</si>
  <si>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</si>
  <si>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</si>
  <si>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</si>
  <si>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</si>
  <si>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</si>
  <si>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</si>
  <si>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</si>
  <si>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</si>
  <si>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</si>
  <si>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</si>
  <si>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</si>
  <si>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</si>
  <si>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</si>
  <si>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</si>
  <si>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</si>
  <si>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</si>
  <si>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</si>
  <si>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</si>
  <si>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</si>
  <si>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</si>
  <si>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</si>
  <si>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</si>
  <si>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</si>
  <si>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</si>
  <si>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</si>
  <si>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</si>
  <si>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</si>
  <si>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</si>
  <si>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</si>
  <si>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</si>
  <si>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</si>
  <si>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</si>
  <si>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</si>
  <si>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</si>
  <si>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</si>
  <si>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</si>
  <si>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</si>
  <si>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</si>
  <si>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</si>
  <si>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</si>
  <si>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</si>
  <si>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</si>
  <si>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</si>
  <si>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</si>
  <si>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</si>
  <si>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</si>
  <si>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</si>
  <si>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</si>
  <si>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</si>
  <si>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</si>
  <si>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</si>
  <si>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</si>
  <si>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</si>
  <si>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</si>
  <si>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</si>
  <si>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</si>
  <si>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</si>
  <si>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</si>
  <si>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</si>
  <si>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</si>
  <si>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</si>
  <si>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</si>
  <si>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</si>
  <si>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</si>
  <si>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</si>
  <si>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</si>
  <si>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</si>
  <si>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</si>
  <si>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</si>
  <si>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</si>
  <si>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</si>
  <si>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</si>
  <si>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</si>
  <si>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</si>
  <si>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</si>
  <si>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</si>
  <si>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</si>
  <si>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</si>
  <si>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</si>
  <si>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</si>
  <si>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</si>
  <si>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</si>
  <si>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</si>
  <si>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</si>
  <si>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</si>
  <si>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</si>
  <si>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</si>
  <si>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</si>
  <si>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</si>
  <si>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</si>
  <si>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</si>
  <si>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</si>
  <si>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</si>
  <si>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</si>
  <si>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</si>
  <si>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</si>
  <si>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</si>
  <si>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</si>
  <si>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</si>
  <si>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</si>
  <si>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</si>
  <si>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</si>
  <si>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</si>
  <si>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</si>
  <si>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</si>
  <si>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</si>
  <si>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</si>
  <si>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</si>
  <si>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</si>
  <si>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</si>
  <si>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</si>
  <si>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</si>
  <si>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</si>
  <si>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</si>
  <si>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</si>
  <si>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</si>
  <si>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</si>
  <si>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</si>
  <si>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</si>
  <si>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</si>
  <si>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</si>
  <si>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</si>
  <si>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</si>
  <si>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</si>
  <si>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</si>
  <si>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</si>
  <si>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</si>
  <si>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</si>
  <si>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</si>
  <si>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</si>
  <si>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</si>
  <si>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</si>
  <si>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</si>
  <si>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</si>
  <si>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</si>
  <si>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</si>
  <si>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</si>
  <si>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</si>
  <si>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</si>
  <si>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</si>
  <si>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</si>
  <si>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</si>
  <si>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</si>
  <si>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</si>
  <si>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</si>
  <si>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</si>
  <si>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</si>
  <si>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</si>
  <si>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</si>
  <si>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</si>
  <si>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</si>
  <si>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</si>
  <si>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</si>
  <si>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</si>
  <si>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</si>
  <si>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</si>
  <si>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</si>
  <si>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</si>
  <si>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</si>
  <si>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</si>
  <si>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</si>
  <si>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</si>
  <si>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</si>
  <si>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</si>
  <si>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</si>
  <si>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</si>
  <si>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</si>
  <si>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</si>
  <si>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</si>
  <si>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</si>
  <si>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</si>
  <si>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</si>
  <si>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</si>
  <si>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</si>
  <si>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</si>
  <si>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</si>
  <si>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</si>
  <si>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</si>
  <si>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</si>
  <si>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</si>
  <si>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</si>
  <si>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</si>
  <si>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</si>
  <si>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</si>
  <si>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</si>
  <si>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</si>
  <si>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</si>
  <si>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</si>
  <si>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</si>
  <si>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</si>
  <si>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</si>
  <si>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Efectividad de las acciones derivadas de las oportunidades de mejora</t>
  </si>
  <si>
    <t>(Acciones cerradas calificadas como efectivas ÷ Total de acciones cerradas y evaluadas) × 100</t>
  </si>
  <si>
    <t>Director de control interno</t>
  </si>
  <si>
    <r>
      <t xml:space="preserve">Por definir- Pendiente Implementación de instrumentos
</t>
    </r>
    <r>
      <rPr>
        <b/>
        <sz val="12"/>
        <color rgb="FFFF0000"/>
        <rFont val="Inter"/>
        <family val="2"/>
      </rPr>
      <t>Modelo de gestión, evaluación e innovación curricular</t>
    </r>
  </si>
  <si>
    <t>Valor agregado en la pruebas Saber Pro Institucional</t>
  </si>
  <si>
    <t xml:space="preserve">Nivel de Satisfacción del graduado con la institución </t>
  </si>
  <si>
    <t>Apropiación del modelo de gestión, evaluación e innovación curricular</t>
  </si>
  <si>
    <r>
      <t xml:space="preserve">Sesión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</si>
  <si>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currículo</t>
  </si>
  <si>
    <t>Propuesta de reemplazar con métrica, pero esta no mide resultado o impacto 
Se propone utilizar fuentes oficiales del Icfes</t>
  </si>
  <si>
    <t>Se valida con investigación y esta información se reporta completa en ADA y Boletín</t>
  </si>
  <si>
    <t>Validar con vicerrectoría académica y del estudiante</t>
  </si>
  <si>
    <t>Validar  Indicadores porque se debe medir el impacto a otros grupos de interés</t>
  </si>
  <si>
    <t xml:space="preserve">Participación ingresos por extensión (Consultorías, alquiler de espacios, prestación de servicios, centros de investigación entre otros) / total ingresos </t>
  </si>
  <si>
    <t>N de convenios con actividades en los últimos 5 años / Total convenios</t>
  </si>
  <si>
    <t>N° Estudiantes  externos invitados a actividades de cooperación Nacional e internacional de Bogotá y virtual</t>
  </si>
  <si>
    <t>Índice de impacto Psicosocial de las actividades de bienestar</t>
  </si>
  <si>
    <t>Proporción de profesores con nivel de formación (Maestría y Doctorado)</t>
  </si>
  <si>
    <t>Métrica</t>
  </si>
  <si>
    <t>Gestión docente informa que son métricas no indicadores</t>
  </si>
  <si>
    <t>(N° de profesores con maestría y doctorado / N° total de profesores)*100</t>
  </si>
  <si>
    <t>N° de cupos aprobados para el escalafón docente</t>
  </si>
  <si>
    <t>(N° de profesores con escalafón docente/N° de cupos aprobados para el escalafón docente)*100</t>
  </si>
  <si>
    <t>Tasa de empleabilidad de recién graduados de pregrado</t>
  </si>
  <si>
    <t>Propuesta de limitar la línea base de los últimos 5 años</t>
  </si>
  <si>
    <t>Resultado de satisfacción de graduados</t>
  </si>
  <si>
    <t>Indicador o Métrica</t>
  </si>
  <si>
    <t>Validar con Vicerrectoría académica y del estudiante</t>
  </si>
  <si>
    <t>Centro de Psicología</t>
  </si>
  <si>
    <t>Nivel de conocimiento de los grupos de interés  del informe de sostenibilidad</t>
  </si>
  <si>
    <t>% inversión misionales de la institución</t>
  </si>
  <si>
    <t>Infraestructura Física
Infra estructura Tecnológica
Contenidos Virtuales
Biblioteca CMA
Fortalecimiento Docencia
Inversiones Misionales
Inversiones en bienestar</t>
  </si>
  <si>
    <t>(N° de oportunidades de mejora cerradas derivadas de los ejercicios de autoevaluación/ N° de oportunidades de mejora definidas en el periodo)</t>
  </si>
  <si>
    <t>(N.º de programas acreditados / Total de programas ofertados) * 100</t>
  </si>
  <si>
    <r>
      <t xml:space="preserve">Sesión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</si>
  <si>
    <t>Gerencia de tecnología</t>
  </si>
  <si>
    <t>Disponibilidad de servicios tecnológicos</t>
  </si>
  <si>
    <t>% Inversión al plan de mejoramiento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</si>
</sst>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b/>
      <sz val="12"/>
      <color rgb="FFFF0000"/>
      <name val="Inter"/>
      <family val="2"/>
    </font>
  </fonts>
  <fills count="21">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50">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9" fontId="11" fillId="0" borderId="4" xfId="0" applyNumberFormat="1" applyFont="1" applyBorder="1" applyAlignment="1">
      <alignment wrapText="1"/>
    </xf>
    <xf numFmtId="10" fontId="11" fillId="12" borderId="4" xfId="0" applyNumberFormat="1" applyFont="1" applyFill="1" applyBorder="1" applyAlignment="1">
      <alignment vertical="center" wrapText="1"/>
    </xf>
    <xf numFmtId="10" fontId="11" fillId="0" borderId="3" xfId="0" applyNumberFormat="1" applyFont="1" applyBorder="1" applyAlignment="1">
      <alignment horizontal="justify"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11" dT="2026-09-08T20:19:19.94" personId="{41F01098-9674-497B-897D-AE27DFF4DD0D}" id="{029006E9-4008-49E2-BAEE-4CC12F0054C4}">
    <text>Colaboradores: 63%
Estudiantes: 18%
Graduados:22%</text>
  </threadedComment>
  <threadedComment ref="O12"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7"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2" dT="2026-09-08T20:19:19.94" personId="{41F01098-9674-497B-897D-AE27DFF4DD0D}" id="{3F85CAB4-6021-44EC-B795-E932C183C912}">
    <text>Colaboradores: 63%
Estudiantes: 18%
Graduados:22%</text>
  </threadedComment>
  <threadedComment ref="R47"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8"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 ref="N64" dT="2026-09-21T08:25:44.93" personId="{4069C3FC-DE77-490E-9BCA-D060BF504FA7}" id="{E581DAFC-44AD-42D5-8849-003A27C98076}">
    <text>M0:  90% tasa de respuesta
M1: 9% tasa de respuesta
M5: 3,5% tasa de respuesta</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tabColor theme="8" tint="-0.249977111117893"/>
  </sheetPr>
  <dimension ref="A1:S66"/>
  <sheetViews>
    <sheetView tabSelected="1" zoomScale="73" zoomScaleNormal="98" workbookViewId="0">
      <pane xSplit="4" ySplit="2" topLeftCell="E14" activePane="bottomRight" state="frozen"/>
      <selection pane="topRight" activeCell="E1" sqref="E1"/>
      <selection pane="bottomLeft" activeCell="A3" sqref="A3"/>
      <selection pane="bottomRight" activeCell="F16" sqref="F16"/>
    </sheetView>
  </sheetViews>
  <sheetFormatPr baseColWidth="10" defaultColWidth="11.5546875" defaultRowHeight="14.4"/>
  <cols>
    <col min="1" max="1" width="39.5546875" style="2" customWidth="1"/>
    <col min="2" max="2" width="30.88671875" style="2" customWidth="1"/>
    <col min="3" max="3" width="82" style="2" customWidth="1"/>
    <col min="4" max="7" width="34.5546875" style="2" customWidth="1"/>
    <col min="8" max="9" width="34.5546875" style="2" hidden="1"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16384" width="11.5546875" style="2"/>
  </cols>
  <sheetData>
    <row r="1" spans="1:19" ht="46.2" customHeight="1">
      <c r="A1" s="1"/>
      <c r="B1" s="1"/>
      <c r="C1" s="1"/>
      <c r="D1" s="1"/>
      <c r="E1" s="1"/>
      <c r="F1" s="1"/>
      <c r="G1" s="1"/>
      <c r="H1" s="1"/>
      <c r="I1" s="1"/>
      <c r="J1" s="1"/>
      <c r="K1" s="1"/>
      <c r="L1" s="1"/>
      <c r="M1" s="1"/>
      <c r="N1" s="146" t="s">
        <v>0</v>
      </c>
      <c r="O1" s="147"/>
      <c r="P1" s="147"/>
      <c r="Q1" s="147"/>
      <c r="R1" s="147"/>
      <c r="S1" s="147"/>
    </row>
    <row r="2" spans="1:19" ht="31.2">
      <c r="A2" s="3" t="s">
        <v>1</v>
      </c>
      <c r="B2" s="4" t="s">
        <v>2</v>
      </c>
      <c r="C2" s="5" t="s">
        <v>3</v>
      </c>
      <c r="D2" s="6" t="s">
        <v>4</v>
      </c>
      <c r="E2" s="6" t="s">
        <v>5</v>
      </c>
      <c r="F2" s="6" t="s">
        <v>313</v>
      </c>
      <c r="G2" s="7" t="s">
        <v>7</v>
      </c>
      <c r="H2" s="6" t="s">
        <v>8</v>
      </c>
      <c r="I2" s="6" t="s">
        <v>9</v>
      </c>
      <c r="J2" s="6" t="s">
        <v>10</v>
      </c>
      <c r="K2" s="6" t="s">
        <v>11</v>
      </c>
      <c r="L2" s="8" t="s">
        <v>12</v>
      </c>
      <c r="M2" s="8" t="s">
        <v>13</v>
      </c>
      <c r="N2" s="13">
        <v>2025</v>
      </c>
      <c r="O2" s="13">
        <v>2026</v>
      </c>
      <c r="P2" s="13">
        <v>2027</v>
      </c>
      <c r="Q2" s="13">
        <v>2028</v>
      </c>
      <c r="R2" s="13">
        <v>2029</v>
      </c>
      <c r="S2" s="13">
        <v>2030</v>
      </c>
    </row>
    <row r="3" spans="1:19" ht="75">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c r="A5" s="14" t="s">
        <v>20</v>
      </c>
      <c r="B5" s="25" t="s">
        <v>37</v>
      </c>
      <c r="C5" s="25" t="s">
        <v>38</v>
      </c>
      <c r="D5" s="26" t="s">
        <v>39</v>
      </c>
      <c r="E5" s="17"/>
      <c r="F5" s="17" t="s">
        <v>41</v>
      </c>
      <c r="G5" s="27" t="s">
        <v>314</v>
      </c>
      <c r="H5" s="27" t="s">
        <v>41</v>
      </c>
      <c r="I5" s="17" t="s">
        <v>27</v>
      </c>
      <c r="J5" s="28"/>
      <c r="K5" s="28" t="s">
        <v>42</v>
      </c>
      <c r="L5" s="29" t="s">
        <v>36</v>
      </c>
      <c r="M5" s="30" t="s">
        <v>43</v>
      </c>
      <c r="N5" s="29"/>
      <c r="O5" s="29"/>
      <c r="P5" s="29"/>
      <c r="Q5" s="29"/>
      <c r="R5" s="29"/>
      <c r="S5" s="29"/>
    </row>
    <row r="6" spans="1:19" ht="69" customHeight="1">
      <c r="A6" s="14" t="s">
        <v>20</v>
      </c>
      <c r="B6" s="25" t="s">
        <v>37</v>
      </c>
      <c r="C6" s="25" t="s">
        <v>38</v>
      </c>
      <c r="D6" s="26" t="s">
        <v>44</v>
      </c>
      <c r="E6" s="17"/>
      <c r="F6" s="17" t="s">
        <v>41</v>
      </c>
      <c r="G6" s="27" t="s">
        <v>314</v>
      </c>
      <c r="H6" s="27" t="s">
        <v>41</v>
      </c>
      <c r="I6" s="17" t="s">
        <v>27</v>
      </c>
      <c r="J6" s="28"/>
      <c r="K6" s="28" t="s">
        <v>315</v>
      </c>
      <c r="L6" s="29" t="s">
        <v>46</v>
      </c>
      <c r="M6" s="30" t="s">
        <v>43</v>
      </c>
      <c r="N6" s="29"/>
      <c r="O6" s="29"/>
      <c r="P6" s="29"/>
      <c r="Q6" s="29"/>
      <c r="R6" s="29"/>
      <c r="S6" s="29"/>
    </row>
    <row r="7" spans="1:19" ht="93.6">
      <c r="A7" s="32" t="s">
        <v>47</v>
      </c>
      <c r="B7" s="32" t="s">
        <v>52</v>
      </c>
      <c r="C7" s="33" t="s">
        <v>53</v>
      </c>
      <c r="D7" s="35" t="s">
        <v>58</v>
      </c>
      <c r="E7" s="36"/>
      <c r="F7" s="37" t="s">
        <v>41</v>
      </c>
      <c r="G7" s="38"/>
      <c r="H7" s="27" t="s">
        <v>41</v>
      </c>
      <c r="I7" s="27" t="s">
        <v>27</v>
      </c>
      <c r="J7" s="39"/>
      <c r="K7" s="39"/>
      <c r="L7" s="40"/>
      <c r="M7" s="34"/>
      <c r="N7" s="47"/>
      <c r="O7" s="40"/>
      <c r="P7" s="40"/>
      <c r="Q7" s="40"/>
      <c r="R7" s="40"/>
      <c r="S7" s="40"/>
    </row>
    <row r="8" spans="1:19" ht="75">
      <c r="A8" s="32" t="s">
        <v>47</v>
      </c>
      <c r="B8" s="48" t="s">
        <v>60</v>
      </c>
      <c r="C8" s="33" t="s">
        <v>61</v>
      </c>
      <c r="D8" s="35" t="s">
        <v>62</v>
      </c>
      <c r="E8" s="36">
        <v>528</v>
      </c>
      <c r="F8" s="37" t="s">
        <v>24</v>
      </c>
      <c r="G8" s="38" t="s">
        <v>63</v>
      </c>
      <c r="H8" s="35" t="s">
        <v>55</v>
      </c>
      <c r="I8" s="27" t="s">
        <v>27</v>
      </c>
      <c r="J8" s="39" t="s">
        <v>64</v>
      </c>
      <c r="K8" s="39"/>
      <c r="L8" s="40" t="s">
        <v>49</v>
      </c>
      <c r="M8" s="34" t="s">
        <v>50</v>
      </c>
      <c r="N8" s="49">
        <v>1158</v>
      </c>
      <c r="O8" s="51">
        <v>1200</v>
      </c>
      <c r="P8" s="40">
        <v>1212</v>
      </c>
      <c r="Q8" s="40">
        <v>1224</v>
      </c>
      <c r="R8" s="40">
        <v>1234</v>
      </c>
      <c r="S8" s="40">
        <v>1250</v>
      </c>
    </row>
    <row r="9" spans="1:19" ht="46.8">
      <c r="A9" s="32" t="s">
        <v>47</v>
      </c>
      <c r="B9" s="48" t="s">
        <v>60</v>
      </c>
      <c r="C9" s="33" t="s">
        <v>61</v>
      </c>
      <c r="D9" s="35" t="s">
        <v>65</v>
      </c>
      <c r="E9" s="36"/>
      <c r="F9" s="37" t="s">
        <v>24</v>
      </c>
      <c r="G9" s="38" t="s">
        <v>63</v>
      </c>
      <c r="H9" s="35" t="s">
        <v>41</v>
      </c>
      <c r="I9" s="27" t="s">
        <v>27</v>
      </c>
      <c r="J9" s="39" t="s">
        <v>66</v>
      </c>
      <c r="K9" s="39"/>
      <c r="L9" s="40" t="s">
        <v>49</v>
      </c>
      <c r="M9" s="34" t="s">
        <v>50</v>
      </c>
      <c r="N9" s="52">
        <v>0.85</v>
      </c>
      <c r="O9" s="55">
        <v>0.9</v>
      </c>
      <c r="P9" s="55">
        <v>0.9</v>
      </c>
      <c r="Q9" s="55">
        <v>0.95</v>
      </c>
      <c r="R9" s="55">
        <v>0.95</v>
      </c>
      <c r="S9" s="55">
        <v>0.95</v>
      </c>
    </row>
    <row r="10" spans="1:19" ht="60">
      <c r="A10" s="32" t="s">
        <v>47</v>
      </c>
      <c r="B10" s="48" t="s">
        <v>60</v>
      </c>
      <c r="C10" s="33" t="s">
        <v>61</v>
      </c>
      <c r="D10" s="35" t="s">
        <v>67</v>
      </c>
      <c r="E10" s="36"/>
      <c r="F10" s="37" t="s">
        <v>24</v>
      </c>
      <c r="G10" s="38" t="s">
        <v>63</v>
      </c>
      <c r="H10" s="27" t="s">
        <v>41</v>
      </c>
      <c r="I10" s="27" t="s">
        <v>27</v>
      </c>
      <c r="J10" s="39" t="s">
        <v>316</v>
      </c>
      <c r="K10" s="39" t="s">
        <v>69</v>
      </c>
      <c r="L10" s="40" t="s">
        <v>49</v>
      </c>
      <c r="M10" s="34" t="s">
        <v>50</v>
      </c>
      <c r="N10" s="40" t="s">
        <v>51</v>
      </c>
      <c r="O10" s="40"/>
      <c r="P10" s="40"/>
      <c r="Q10" s="40"/>
      <c r="R10" s="40"/>
      <c r="S10" s="40"/>
    </row>
    <row r="11" spans="1:19" ht="45">
      <c r="A11" s="56" t="s">
        <v>71</v>
      </c>
      <c r="B11" s="57" t="s">
        <v>72</v>
      </c>
      <c r="C11" s="58" t="s">
        <v>73</v>
      </c>
      <c r="D11" s="60" t="s">
        <v>74</v>
      </c>
      <c r="E11" s="61">
        <v>456</v>
      </c>
      <c r="F11" s="37" t="s">
        <v>24</v>
      </c>
      <c r="G11" s="60" t="s">
        <v>75</v>
      </c>
      <c r="H11" s="62" t="s">
        <v>55</v>
      </c>
      <c r="I11" s="27" t="s">
        <v>27</v>
      </c>
      <c r="J11" s="63"/>
      <c r="K11" s="63" t="s">
        <v>76</v>
      </c>
      <c r="L11" s="148" t="s">
        <v>77</v>
      </c>
      <c r="M11" s="59" t="s">
        <v>43</v>
      </c>
      <c r="N11" s="64">
        <v>1</v>
      </c>
      <c r="O11" s="64">
        <v>1</v>
      </c>
      <c r="P11" s="64">
        <v>1</v>
      </c>
      <c r="Q11" s="64">
        <v>1</v>
      </c>
      <c r="R11" s="64">
        <v>1</v>
      </c>
      <c r="S11" s="64">
        <v>1</v>
      </c>
    </row>
    <row r="12" spans="1:19" ht="60">
      <c r="A12" s="56" t="s">
        <v>71</v>
      </c>
      <c r="B12" s="57" t="s">
        <v>72</v>
      </c>
      <c r="C12" s="58" t="s">
        <v>73</v>
      </c>
      <c r="D12" s="61" t="s">
        <v>78</v>
      </c>
      <c r="E12" s="61">
        <v>457</v>
      </c>
      <c r="F12" s="37" t="s">
        <v>24</v>
      </c>
      <c r="G12" s="60" t="s">
        <v>75</v>
      </c>
      <c r="H12" s="62" t="s">
        <v>55</v>
      </c>
      <c r="I12" s="27" t="s">
        <v>27</v>
      </c>
      <c r="J12" s="67"/>
      <c r="K12" s="63" t="s">
        <v>76</v>
      </c>
      <c r="L12" s="149"/>
      <c r="M12" s="59" t="s">
        <v>43</v>
      </c>
      <c r="N12" s="64">
        <v>1</v>
      </c>
      <c r="O12" s="64">
        <v>1</v>
      </c>
      <c r="P12" s="64">
        <v>1</v>
      </c>
      <c r="Q12" s="64">
        <v>1</v>
      </c>
      <c r="R12" s="64">
        <v>1</v>
      </c>
      <c r="S12" s="64">
        <v>1</v>
      </c>
    </row>
    <row r="13" spans="1:19" ht="31.2">
      <c r="A13" s="56" t="s">
        <v>71</v>
      </c>
      <c r="B13" s="57" t="s">
        <v>72</v>
      </c>
      <c r="C13" s="58" t="s">
        <v>73</v>
      </c>
      <c r="D13" s="61" t="s">
        <v>80</v>
      </c>
      <c r="E13" s="61">
        <v>524</v>
      </c>
      <c r="F13" s="37" t="s">
        <v>24</v>
      </c>
      <c r="G13" s="60" t="s">
        <v>75</v>
      </c>
      <c r="H13" s="62" t="s">
        <v>55</v>
      </c>
      <c r="I13" s="27" t="s">
        <v>27</v>
      </c>
      <c r="J13" s="67"/>
      <c r="K13" s="68" t="s">
        <v>81</v>
      </c>
      <c r="L13" s="68" t="s">
        <v>81</v>
      </c>
      <c r="M13" s="59" t="s">
        <v>43</v>
      </c>
      <c r="N13" s="64">
        <v>1</v>
      </c>
      <c r="O13" s="64">
        <v>1</v>
      </c>
      <c r="P13" s="64">
        <v>1</v>
      </c>
      <c r="Q13" s="64">
        <v>1</v>
      </c>
      <c r="R13" s="64">
        <v>1</v>
      </c>
      <c r="S13" s="64">
        <v>1</v>
      </c>
    </row>
    <row r="14" spans="1:19" ht="31.2">
      <c r="A14" s="56" t="s">
        <v>71</v>
      </c>
      <c r="B14" s="70" t="s">
        <v>82</v>
      </c>
      <c r="C14" s="70" t="s">
        <v>83</v>
      </c>
      <c r="D14" s="72" t="s">
        <v>84</v>
      </c>
      <c r="E14" s="61">
        <v>626</v>
      </c>
      <c r="F14" s="37" t="s">
        <v>24</v>
      </c>
      <c r="G14" s="72" t="s">
        <v>63</v>
      </c>
      <c r="H14" s="73" t="s">
        <v>55</v>
      </c>
      <c r="I14" s="27" t="s">
        <v>27</v>
      </c>
      <c r="J14" s="18"/>
      <c r="K14" s="18"/>
      <c r="L14" s="19" t="s">
        <v>85</v>
      </c>
      <c r="M14" s="71" t="s">
        <v>43</v>
      </c>
      <c r="N14" s="19"/>
      <c r="O14" s="19"/>
      <c r="P14" s="19"/>
      <c r="Q14" s="19"/>
      <c r="R14" s="19"/>
      <c r="S14" s="19"/>
    </row>
    <row r="15" spans="1:19" ht="31.2">
      <c r="A15" s="56" t="s">
        <v>71</v>
      </c>
      <c r="B15" s="70" t="s">
        <v>82</v>
      </c>
      <c r="C15" s="74" t="s">
        <v>86</v>
      </c>
      <c r="D15" s="61" t="s">
        <v>87</v>
      </c>
      <c r="E15" s="61">
        <v>109</v>
      </c>
      <c r="F15" s="37" t="s">
        <v>24</v>
      </c>
      <c r="G15" s="61" t="s">
        <v>88</v>
      </c>
      <c r="H15" s="17" t="s">
        <v>55</v>
      </c>
      <c r="I15" s="27" t="s">
        <v>27</v>
      </c>
      <c r="J15" s="66"/>
      <c r="K15" s="18" t="s">
        <v>89</v>
      </c>
      <c r="L15" s="19"/>
      <c r="M15" s="75"/>
      <c r="N15" s="64">
        <v>0.8</v>
      </c>
      <c r="O15" s="21">
        <v>0.85</v>
      </c>
      <c r="P15" s="21">
        <v>0.85</v>
      </c>
      <c r="Q15" s="21">
        <v>0.87</v>
      </c>
      <c r="R15" s="21">
        <v>0.87</v>
      </c>
      <c r="S15" s="21">
        <v>0.9</v>
      </c>
    </row>
    <row r="16" spans="1:19" ht="46.8">
      <c r="A16" s="56" t="s">
        <v>71</v>
      </c>
      <c r="B16" s="70" t="s">
        <v>90</v>
      </c>
      <c r="C16" s="70" t="s">
        <v>91</v>
      </c>
      <c r="D16" s="77" t="s">
        <v>317</v>
      </c>
      <c r="E16" s="61"/>
      <c r="F16" s="37" t="s">
        <v>24</v>
      </c>
      <c r="G16" s="72"/>
      <c r="H16" s="73" t="s">
        <v>41</v>
      </c>
      <c r="I16" s="27" t="s">
        <v>41</v>
      </c>
      <c r="J16" s="18"/>
      <c r="K16" s="18"/>
      <c r="L16" s="19"/>
      <c r="M16" s="75" t="s">
        <v>50</v>
      </c>
      <c r="N16" s="19"/>
      <c r="O16" s="19"/>
      <c r="P16" s="19"/>
      <c r="Q16" s="19"/>
      <c r="R16" s="19"/>
      <c r="S16" s="19"/>
    </row>
    <row r="17" spans="1:19" ht="150">
      <c r="A17" s="56" t="s">
        <v>71</v>
      </c>
      <c r="B17" s="56" t="s">
        <v>90</v>
      </c>
      <c r="C17" s="56" t="s">
        <v>91</v>
      </c>
      <c r="D17" s="78" t="s">
        <v>324</v>
      </c>
      <c r="E17" s="61"/>
      <c r="F17" s="37" t="s">
        <v>24</v>
      </c>
      <c r="G17" s="60" t="s">
        <v>94</v>
      </c>
      <c r="H17" s="73" t="s">
        <v>41</v>
      </c>
      <c r="I17" s="27" t="s">
        <v>41</v>
      </c>
      <c r="J17" s="28" t="s">
        <v>318</v>
      </c>
      <c r="K17" s="28"/>
      <c r="L17" s="29"/>
      <c r="M17" s="75" t="s">
        <v>50</v>
      </c>
      <c r="N17" s="29"/>
      <c r="O17" s="29"/>
      <c r="P17" s="29"/>
      <c r="Q17" s="29"/>
      <c r="R17" s="29"/>
      <c r="S17" s="29"/>
    </row>
    <row r="18" spans="1:19" ht="120">
      <c r="A18" s="79" t="s">
        <v>96</v>
      </c>
      <c r="B18" s="79" t="s">
        <v>97</v>
      </c>
      <c r="C18" s="80" t="s">
        <v>98</v>
      </c>
      <c r="D18" s="17" t="s">
        <v>99</v>
      </c>
      <c r="E18" s="17"/>
      <c r="F18" s="37" t="s">
        <v>24</v>
      </c>
      <c r="G18" s="73" t="s">
        <v>63</v>
      </c>
      <c r="H18" s="73" t="s">
        <v>41</v>
      </c>
      <c r="I18" s="73" t="s">
        <v>27</v>
      </c>
      <c r="J18" s="66" t="s">
        <v>319</v>
      </c>
      <c r="K18" s="19" t="s">
        <v>101</v>
      </c>
      <c r="L18" s="19" t="s">
        <v>102</v>
      </c>
      <c r="M18" s="34"/>
      <c r="N18" s="64">
        <v>0.95</v>
      </c>
      <c r="O18" s="64">
        <v>0.95</v>
      </c>
      <c r="P18" s="64">
        <v>0.95</v>
      </c>
      <c r="Q18" s="64">
        <v>0.95</v>
      </c>
      <c r="R18" s="64">
        <v>0.95</v>
      </c>
      <c r="S18" s="64">
        <v>0.95</v>
      </c>
    </row>
    <row r="19" spans="1:19" ht="75">
      <c r="A19" s="79" t="s">
        <v>96</v>
      </c>
      <c r="B19" s="79" t="s">
        <v>103</v>
      </c>
      <c r="C19" s="80" t="s">
        <v>104</v>
      </c>
      <c r="D19" s="18" t="s">
        <v>287</v>
      </c>
      <c r="E19" s="17"/>
      <c r="F19" s="37" t="s">
        <v>24</v>
      </c>
      <c r="G19" s="73" t="s">
        <v>63</v>
      </c>
      <c r="H19" s="73" t="s">
        <v>41</v>
      </c>
      <c r="I19" s="73" t="s">
        <v>27</v>
      </c>
      <c r="J19" s="66" t="s">
        <v>288</v>
      </c>
      <c r="K19" s="19" t="s">
        <v>289</v>
      </c>
      <c r="L19" s="19" t="s">
        <v>101</v>
      </c>
      <c r="M19" s="34"/>
      <c r="N19" s="18"/>
      <c r="O19" s="21">
        <v>1</v>
      </c>
      <c r="P19" s="21">
        <v>1</v>
      </c>
      <c r="Q19" s="21">
        <v>1</v>
      </c>
      <c r="R19" s="21">
        <v>1</v>
      </c>
      <c r="S19" s="21">
        <v>1</v>
      </c>
    </row>
    <row r="20" spans="1:19" ht="62.4">
      <c r="A20" s="79" t="s">
        <v>96</v>
      </c>
      <c r="B20" s="79" t="s">
        <v>109</v>
      </c>
      <c r="C20" s="81" t="s">
        <v>110</v>
      </c>
      <c r="D20" s="16" t="s">
        <v>111</v>
      </c>
      <c r="E20" s="16"/>
      <c r="F20" s="37" t="s">
        <v>24</v>
      </c>
      <c r="G20" s="82" t="s">
        <v>63</v>
      </c>
      <c r="H20" s="82" t="s">
        <v>41</v>
      </c>
      <c r="I20" s="73" t="s">
        <v>27</v>
      </c>
      <c r="J20" s="83" t="s">
        <v>112</v>
      </c>
      <c r="K20" s="18" t="s">
        <v>113</v>
      </c>
      <c r="L20" s="19" t="s">
        <v>114</v>
      </c>
      <c r="M20" s="34"/>
      <c r="N20" s="19"/>
      <c r="O20" s="84" t="s">
        <v>51</v>
      </c>
      <c r="P20" s="19"/>
      <c r="Q20" s="19"/>
      <c r="R20" s="19"/>
      <c r="S20" s="19"/>
    </row>
    <row r="21" spans="1:19" ht="60">
      <c r="A21" s="79" t="s">
        <v>96</v>
      </c>
      <c r="B21" s="79" t="s">
        <v>109</v>
      </c>
      <c r="C21" s="80" t="s">
        <v>110</v>
      </c>
      <c r="D21" s="85" t="s">
        <v>115</v>
      </c>
      <c r="E21" s="85">
        <v>339</v>
      </c>
      <c r="F21" s="37" t="s">
        <v>24</v>
      </c>
      <c r="G21" s="85" t="s">
        <v>88</v>
      </c>
      <c r="H21" s="85" t="s">
        <v>55</v>
      </c>
      <c r="I21" s="73" t="s">
        <v>27</v>
      </c>
      <c r="J21" s="18" t="s">
        <v>320</v>
      </c>
      <c r="K21" s="18" t="s">
        <v>117</v>
      </c>
      <c r="L21" s="19" t="s">
        <v>114</v>
      </c>
      <c r="M21" s="34" t="s">
        <v>43</v>
      </c>
      <c r="N21" s="21">
        <v>0.33</v>
      </c>
      <c r="O21" s="86">
        <v>0.44</v>
      </c>
      <c r="P21" s="86">
        <v>0.45</v>
      </c>
      <c r="Q21" s="86">
        <v>0.5</v>
      </c>
      <c r="R21" s="86">
        <v>0.53</v>
      </c>
      <c r="S21" s="86">
        <v>0.55000000000000004</v>
      </c>
    </row>
    <row r="22" spans="1:19" ht="46.8">
      <c r="A22" s="79" t="s">
        <v>96</v>
      </c>
      <c r="B22" s="80" t="s">
        <v>121</v>
      </c>
      <c r="C22" s="80" t="s">
        <v>122</v>
      </c>
      <c r="D22" s="85" t="s">
        <v>123</v>
      </c>
      <c r="E22" s="88">
        <v>334</v>
      </c>
      <c r="F22" s="89" t="s">
        <v>24</v>
      </c>
      <c r="G22" s="89" t="s">
        <v>124</v>
      </c>
      <c r="H22" s="73" t="s">
        <v>63</v>
      </c>
      <c r="I22" s="73" t="s">
        <v>27</v>
      </c>
      <c r="J22" s="18" t="s">
        <v>125</v>
      </c>
      <c r="K22" s="18"/>
      <c r="L22" s="19"/>
      <c r="M22" s="34" t="s">
        <v>50</v>
      </c>
      <c r="N22" s="90">
        <v>0.89</v>
      </c>
      <c r="O22" s="21">
        <v>0.9</v>
      </c>
      <c r="P22" s="19"/>
      <c r="Q22" s="19"/>
      <c r="R22" s="19"/>
      <c r="S22" s="19"/>
    </row>
    <row r="23" spans="1:19" ht="46.8">
      <c r="A23" s="79" t="s">
        <v>96</v>
      </c>
      <c r="B23" s="80" t="s">
        <v>121</v>
      </c>
      <c r="C23" s="80" t="s">
        <v>126</v>
      </c>
      <c r="D23" s="88" t="s">
        <v>127</v>
      </c>
      <c r="E23" s="88">
        <v>283</v>
      </c>
      <c r="F23" s="89" t="s">
        <v>24</v>
      </c>
      <c r="G23" s="89" t="s">
        <v>124</v>
      </c>
      <c r="H23" s="88" t="s">
        <v>55</v>
      </c>
      <c r="I23" s="73" t="s">
        <v>27</v>
      </c>
      <c r="J23" s="18" t="s">
        <v>128</v>
      </c>
      <c r="K23" s="18" t="s">
        <v>129</v>
      </c>
      <c r="L23" s="19" t="s">
        <v>114</v>
      </c>
      <c r="M23" s="34"/>
      <c r="N23" s="19">
        <v>4.5999999999999996</v>
      </c>
      <c r="O23" s="19">
        <v>4.66</v>
      </c>
      <c r="P23" s="19"/>
      <c r="Q23" s="19"/>
      <c r="R23" s="19"/>
      <c r="S23" s="19"/>
    </row>
    <row r="24" spans="1:19" ht="218.4">
      <c r="A24" s="79" t="s">
        <v>130</v>
      </c>
      <c r="B24" s="79" t="s">
        <v>131</v>
      </c>
      <c r="C24" s="113" t="s">
        <v>132</v>
      </c>
      <c r="D24" s="142" t="s">
        <v>290</v>
      </c>
      <c r="E24" s="17"/>
      <c r="F24" s="62" t="s">
        <v>41</v>
      </c>
      <c r="G24" s="16" t="s">
        <v>321</v>
      </c>
      <c r="H24" s="73" t="s">
        <v>41</v>
      </c>
      <c r="I24" s="27" t="s">
        <v>41</v>
      </c>
      <c r="J24" s="63"/>
      <c r="K24" s="29"/>
      <c r="L24" s="29" t="s">
        <v>295</v>
      </c>
      <c r="M24" s="94"/>
      <c r="N24" s="63"/>
      <c r="O24" s="29"/>
      <c r="P24" s="29"/>
      <c r="Q24" s="29"/>
      <c r="R24" s="29"/>
      <c r="S24" s="29"/>
    </row>
    <row r="25" spans="1:19" ht="124.8">
      <c r="A25" s="79" t="s">
        <v>130</v>
      </c>
      <c r="B25" s="79" t="s">
        <v>131</v>
      </c>
      <c r="C25" s="80" t="s">
        <v>132</v>
      </c>
      <c r="D25" s="142" t="s">
        <v>293</v>
      </c>
      <c r="E25" s="17"/>
      <c r="F25" s="62" t="s">
        <v>41</v>
      </c>
      <c r="G25" s="16" t="s">
        <v>294</v>
      </c>
      <c r="H25" s="73" t="s">
        <v>41</v>
      </c>
      <c r="I25" s="27" t="s">
        <v>41</v>
      </c>
      <c r="J25" s="63"/>
      <c r="K25" s="29"/>
      <c r="L25" s="29" t="s">
        <v>295</v>
      </c>
      <c r="M25" s="94"/>
      <c r="N25" s="63"/>
      <c r="O25" s="29"/>
      <c r="P25" s="29"/>
      <c r="Q25" s="29"/>
      <c r="R25" s="29"/>
      <c r="S25" s="29"/>
    </row>
    <row r="26" spans="1:19" ht="93.6">
      <c r="A26" s="79" t="s">
        <v>130</v>
      </c>
      <c r="B26" s="79" t="s">
        <v>131</v>
      </c>
      <c r="C26" s="80" t="s">
        <v>136</v>
      </c>
      <c r="D26" s="16" t="s">
        <v>291</v>
      </c>
      <c r="E26" s="17"/>
      <c r="F26" s="62" t="s">
        <v>41</v>
      </c>
      <c r="G26" s="82" t="s">
        <v>296</v>
      </c>
      <c r="H26" s="73" t="s">
        <v>41</v>
      </c>
      <c r="I26" s="27" t="s">
        <v>41</v>
      </c>
      <c r="J26" s="18" t="s">
        <v>139</v>
      </c>
      <c r="K26" s="19" t="s">
        <v>140</v>
      </c>
      <c r="L26" s="19" t="s">
        <v>141</v>
      </c>
      <c r="M26" s="34" t="s">
        <v>50</v>
      </c>
      <c r="N26" s="66"/>
      <c r="O26" s="19"/>
      <c r="P26" s="19"/>
      <c r="Q26" s="19"/>
      <c r="R26" s="19"/>
      <c r="S26" s="19"/>
    </row>
    <row r="27" spans="1:19" ht="60">
      <c r="A27" s="79" t="s">
        <v>130</v>
      </c>
      <c r="B27" s="79" t="s">
        <v>142</v>
      </c>
      <c r="C27" s="80" t="s">
        <v>143</v>
      </c>
      <c r="D27" s="16" t="s">
        <v>144</v>
      </c>
      <c r="E27" s="17"/>
      <c r="F27" s="62" t="s">
        <v>41</v>
      </c>
      <c r="G27" s="73" t="s">
        <v>63</v>
      </c>
      <c r="H27" s="73" t="s">
        <v>41</v>
      </c>
      <c r="I27" s="27" t="s">
        <v>41</v>
      </c>
      <c r="J27" s="18" t="s">
        <v>144</v>
      </c>
      <c r="K27" s="18" t="s">
        <v>145</v>
      </c>
      <c r="L27" s="19" t="s">
        <v>146</v>
      </c>
      <c r="M27" s="34"/>
      <c r="N27" s="19"/>
      <c r="O27" s="19">
        <v>23</v>
      </c>
      <c r="P27" s="19">
        <v>28</v>
      </c>
      <c r="Q27" s="19">
        <v>22</v>
      </c>
      <c r="R27" s="97">
        <v>27</v>
      </c>
      <c r="S27" s="97">
        <v>15</v>
      </c>
    </row>
    <row r="28" spans="1:19" ht="62.4">
      <c r="A28" s="79" t="s">
        <v>130</v>
      </c>
      <c r="B28" s="98" t="s">
        <v>147</v>
      </c>
      <c r="C28" s="80" t="s">
        <v>148</v>
      </c>
      <c r="D28" s="16" t="s">
        <v>149</v>
      </c>
      <c r="E28" s="17">
        <v>325</v>
      </c>
      <c r="F28" s="17" t="s">
        <v>24</v>
      </c>
      <c r="G28" s="16" t="s">
        <v>88</v>
      </c>
      <c r="H28" s="17" t="s">
        <v>55</v>
      </c>
      <c r="I28" s="27" t="s">
        <v>27</v>
      </c>
      <c r="J28" s="18"/>
      <c r="K28" s="18" t="s">
        <v>145</v>
      </c>
      <c r="L28" s="19" t="s">
        <v>146</v>
      </c>
      <c r="M28" s="34"/>
      <c r="N28" s="19">
        <v>12</v>
      </c>
      <c r="O28" s="19">
        <v>7</v>
      </c>
      <c r="P28" s="19">
        <v>11</v>
      </c>
      <c r="Q28" s="19">
        <v>7</v>
      </c>
      <c r="R28" s="19">
        <v>7</v>
      </c>
      <c r="S28" s="19">
        <v>7</v>
      </c>
    </row>
    <row r="29" spans="1:19" ht="62.4">
      <c r="A29" s="79" t="s">
        <v>130</v>
      </c>
      <c r="B29" s="98" t="s">
        <v>147</v>
      </c>
      <c r="C29" s="80" t="s">
        <v>148</v>
      </c>
      <c r="D29" s="16" t="s">
        <v>150</v>
      </c>
      <c r="E29" s="17">
        <v>323</v>
      </c>
      <c r="F29" s="17" t="s">
        <v>24</v>
      </c>
      <c r="G29" s="16" t="s">
        <v>88</v>
      </c>
      <c r="H29" s="17" t="s">
        <v>55</v>
      </c>
      <c r="I29" s="27" t="s">
        <v>27</v>
      </c>
      <c r="J29" s="18"/>
      <c r="K29" s="18" t="s">
        <v>145</v>
      </c>
      <c r="L29" s="19" t="s">
        <v>146</v>
      </c>
      <c r="M29" s="34"/>
      <c r="N29" s="99">
        <v>7</v>
      </c>
      <c r="O29" s="99">
        <v>14</v>
      </c>
      <c r="P29" s="99">
        <v>5</v>
      </c>
      <c r="Q29" s="99">
        <v>29</v>
      </c>
      <c r="R29" s="99">
        <v>20</v>
      </c>
      <c r="S29" s="99">
        <v>8</v>
      </c>
    </row>
    <row r="30" spans="1:19" ht="75">
      <c r="A30" s="33" t="s">
        <v>151</v>
      </c>
      <c r="B30" s="48" t="s">
        <v>152</v>
      </c>
      <c r="C30" s="100" t="s">
        <v>153</v>
      </c>
      <c r="D30" s="35" t="s">
        <v>154</v>
      </c>
      <c r="E30" s="36">
        <v>148</v>
      </c>
      <c r="F30" s="17" t="s">
        <v>24</v>
      </c>
      <c r="G30" s="35" t="s">
        <v>297</v>
      </c>
      <c r="H30" s="36" t="s">
        <v>55</v>
      </c>
      <c r="I30" s="36" t="s">
        <v>27</v>
      </c>
      <c r="J30" s="42" t="s">
        <v>156</v>
      </c>
      <c r="K30" s="40" t="s">
        <v>157</v>
      </c>
      <c r="L30" s="40" t="s">
        <v>157</v>
      </c>
      <c r="M30" s="101" t="s">
        <v>43</v>
      </c>
      <c r="N30" s="102">
        <v>0.05</v>
      </c>
      <c r="O30" s="55">
        <v>0.08</v>
      </c>
      <c r="P30" s="55">
        <v>0.1</v>
      </c>
      <c r="Q30" s="55">
        <v>0.12</v>
      </c>
      <c r="R30" s="55">
        <v>0.13</v>
      </c>
      <c r="S30" s="55">
        <v>0.14000000000000001</v>
      </c>
    </row>
    <row r="31" spans="1:19" ht="46.8">
      <c r="A31" s="33" t="s">
        <v>151</v>
      </c>
      <c r="B31" s="48" t="s">
        <v>158</v>
      </c>
      <c r="C31" s="100" t="s">
        <v>153</v>
      </c>
      <c r="D31" s="103" t="s">
        <v>159</v>
      </c>
      <c r="E31" s="41"/>
      <c r="F31" s="17" t="s">
        <v>24</v>
      </c>
      <c r="G31" s="104" t="s">
        <v>63</v>
      </c>
      <c r="H31" s="73" t="s">
        <v>41</v>
      </c>
      <c r="I31" s="36" t="s">
        <v>27</v>
      </c>
      <c r="J31" s="42"/>
      <c r="K31" s="40" t="s">
        <v>157</v>
      </c>
      <c r="L31" s="40" t="s">
        <v>157</v>
      </c>
      <c r="M31" s="101"/>
      <c r="N31" s="55" t="s">
        <v>51</v>
      </c>
      <c r="O31" s="55">
        <v>0.57999999999999996</v>
      </c>
      <c r="P31" s="55">
        <v>0.57999999999999996</v>
      </c>
      <c r="Q31" s="55">
        <v>0.76</v>
      </c>
      <c r="R31" s="55">
        <v>0.76</v>
      </c>
      <c r="S31" s="55">
        <v>1</v>
      </c>
    </row>
    <row r="32" spans="1:19" ht="105">
      <c r="A32" s="33" t="s">
        <v>151</v>
      </c>
      <c r="B32" s="48" t="s">
        <v>158</v>
      </c>
      <c r="C32" s="100" t="s">
        <v>153</v>
      </c>
      <c r="D32" s="35" t="s">
        <v>285</v>
      </c>
      <c r="E32" s="36"/>
      <c r="F32" s="105" t="s">
        <v>24</v>
      </c>
      <c r="G32" s="106" t="s">
        <v>160</v>
      </c>
      <c r="H32" s="73" t="s">
        <v>41</v>
      </c>
      <c r="I32" s="36" t="s">
        <v>27</v>
      </c>
      <c r="J32" s="39"/>
      <c r="K32" s="40" t="s">
        <v>157</v>
      </c>
      <c r="L32" s="40" t="s">
        <v>157</v>
      </c>
      <c r="M32" s="101" t="s">
        <v>161</v>
      </c>
      <c r="N32" s="42" t="s">
        <v>51</v>
      </c>
      <c r="O32" s="40">
        <v>116</v>
      </c>
      <c r="P32" s="40">
        <v>110</v>
      </c>
      <c r="Q32" s="40">
        <v>110</v>
      </c>
      <c r="R32" s="40">
        <v>115</v>
      </c>
      <c r="S32" s="40">
        <v>120</v>
      </c>
    </row>
    <row r="33" spans="1:19" ht="120">
      <c r="A33" s="33" t="s">
        <v>151</v>
      </c>
      <c r="B33" s="48" t="s">
        <v>158</v>
      </c>
      <c r="C33" s="100" t="s">
        <v>153</v>
      </c>
      <c r="D33" s="35" t="s">
        <v>162</v>
      </c>
      <c r="E33" s="36"/>
      <c r="F33" s="105" t="s">
        <v>24</v>
      </c>
      <c r="G33" s="106" t="s">
        <v>163</v>
      </c>
      <c r="H33" s="73" t="s">
        <v>41</v>
      </c>
      <c r="I33" s="36" t="s">
        <v>27</v>
      </c>
      <c r="J33" s="39"/>
      <c r="K33" s="40" t="s">
        <v>157</v>
      </c>
      <c r="L33" s="40" t="s">
        <v>157</v>
      </c>
      <c r="M33" s="101"/>
      <c r="N33" s="42" t="s">
        <v>51</v>
      </c>
      <c r="O33" s="108">
        <v>34</v>
      </c>
      <c r="P33" s="108">
        <v>68</v>
      </c>
      <c r="Q33" s="108">
        <v>102</v>
      </c>
      <c r="R33" s="108">
        <v>136</v>
      </c>
      <c r="S33" s="108">
        <v>136</v>
      </c>
    </row>
    <row r="34" spans="1:19" ht="46.8">
      <c r="A34" s="33" t="s">
        <v>151</v>
      </c>
      <c r="B34" s="48" t="s">
        <v>158</v>
      </c>
      <c r="C34" s="100" t="s">
        <v>153</v>
      </c>
      <c r="D34" s="41" t="s">
        <v>164</v>
      </c>
      <c r="E34" s="41"/>
      <c r="F34" s="105" t="s">
        <v>24</v>
      </c>
      <c r="G34" s="104" t="s">
        <v>63</v>
      </c>
      <c r="H34" s="73" t="s">
        <v>41</v>
      </c>
      <c r="I34" s="36" t="s">
        <v>27</v>
      </c>
      <c r="J34" s="42"/>
      <c r="K34" s="40" t="s">
        <v>157</v>
      </c>
      <c r="L34" s="40" t="s">
        <v>157</v>
      </c>
      <c r="M34" s="101" t="s">
        <v>161</v>
      </c>
      <c r="N34" s="42" t="s">
        <v>51</v>
      </c>
      <c r="O34" s="55">
        <v>0.44</v>
      </c>
      <c r="P34" s="55">
        <v>0.44</v>
      </c>
      <c r="Q34" s="55">
        <v>0.65</v>
      </c>
      <c r="R34" s="55">
        <v>0.65</v>
      </c>
      <c r="S34" s="55">
        <v>0.8</v>
      </c>
    </row>
    <row r="35" spans="1:19" ht="124.8">
      <c r="A35" s="80" t="s">
        <v>165</v>
      </c>
      <c r="B35" s="98" t="s">
        <v>166</v>
      </c>
      <c r="C35" s="113" t="s">
        <v>167</v>
      </c>
      <c r="D35" s="16" t="s">
        <v>168</v>
      </c>
      <c r="E35" s="17"/>
      <c r="F35" s="73" t="s">
        <v>41</v>
      </c>
      <c r="G35" s="82" t="s">
        <v>298</v>
      </c>
      <c r="H35" s="73" t="s">
        <v>41</v>
      </c>
      <c r="I35" s="27" t="s">
        <v>27</v>
      </c>
      <c r="J35" s="114" t="s">
        <v>170</v>
      </c>
      <c r="K35" s="19"/>
      <c r="L35" s="19"/>
      <c r="M35" s="34"/>
      <c r="N35" s="66"/>
      <c r="O35" s="19"/>
      <c r="P35" s="19"/>
      <c r="Q35" s="19"/>
      <c r="R35" s="19"/>
      <c r="S35" s="19"/>
    </row>
    <row r="36" spans="1:19" ht="60">
      <c r="A36" s="80" t="s">
        <v>165</v>
      </c>
      <c r="B36" s="98" t="s">
        <v>166</v>
      </c>
      <c r="C36" s="80" t="s">
        <v>171</v>
      </c>
      <c r="D36" s="17" t="s">
        <v>172</v>
      </c>
      <c r="E36" s="17"/>
      <c r="F36" s="73" t="s">
        <v>24</v>
      </c>
      <c r="G36" s="82" t="s">
        <v>299</v>
      </c>
      <c r="H36" s="73" t="s">
        <v>41</v>
      </c>
      <c r="I36" s="27" t="s">
        <v>27</v>
      </c>
      <c r="J36" s="66" t="s">
        <v>174</v>
      </c>
      <c r="K36" s="19"/>
      <c r="L36" s="19"/>
      <c r="M36" s="34"/>
      <c r="N36" s="66"/>
      <c r="O36" s="19"/>
      <c r="P36" s="19"/>
      <c r="Q36" s="19"/>
      <c r="R36" s="19"/>
      <c r="S36" s="19"/>
    </row>
    <row r="37" spans="1:19" ht="93.6">
      <c r="A37" s="80" t="s">
        <v>165</v>
      </c>
      <c r="B37" s="98" t="s">
        <v>166</v>
      </c>
      <c r="C37" s="80" t="s">
        <v>171</v>
      </c>
      <c r="D37" s="115" t="s">
        <v>300</v>
      </c>
      <c r="E37" s="116"/>
      <c r="F37" s="73" t="s">
        <v>24</v>
      </c>
      <c r="G37" s="73" t="s">
        <v>176</v>
      </c>
      <c r="H37" s="73" t="s">
        <v>41</v>
      </c>
      <c r="I37" s="27" t="s">
        <v>27</v>
      </c>
      <c r="J37" s="18"/>
      <c r="K37" s="18"/>
      <c r="L37" s="19"/>
      <c r="M37" s="34" t="s">
        <v>50</v>
      </c>
      <c r="N37" s="19"/>
      <c r="O37" s="19"/>
      <c r="P37" s="19"/>
      <c r="Q37" s="19"/>
      <c r="R37" s="19"/>
      <c r="S37" s="19"/>
    </row>
    <row r="38" spans="1:19" ht="46.95" customHeight="1">
      <c r="A38" s="93" t="s">
        <v>177</v>
      </c>
      <c r="B38" s="117" t="s">
        <v>178</v>
      </c>
      <c r="C38" s="93" t="s">
        <v>179</v>
      </c>
      <c r="D38" s="27" t="s">
        <v>180</v>
      </c>
      <c r="E38" s="17">
        <v>318</v>
      </c>
      <c r="F38" s="27" t="s">
        <v>24</v>
      </c>
      <c r="G38" s="27" t="s">
        <v>63</v>
      </c>
      <c r="H38" s="16" t="s">
        <v>55</v>
      </c>
      <c r="I38" s="27" t="s">
        <v>27</v>
      </c>
      <c r="J38" s="63" t="s">
        <v>301</v>
      </c>
      <c r="K38" s="19" t="s">
        <v>184</v>
      </c>
      <c r="L38" s="19" t="s">
        <v>184</v>
      </c>
      <c r="M38" s="94" t="s">
        <v>50</v>
      </c>
      <c r="N38" s="120">
        <v>0.85</v>
      </c>
      <c r="O38" s="120">
        <v>0.85</v>
      </c>
      <c r="P38" s="120">
        <v>0.85</v>
      </c>
      <c r="Q38" s="120">
        <v>0.85</v>
      </c>
      <c r="R38" s="120">
        <v>0.85</v>
      </c>
      <c r="S38" s="120">
        <v>0.85</v>
      </c>
    </row>
    <row r="39" spans="1:19" ht="62.4">
      <c r="A39" s="93" t="s">
        <v>177</v>
      </c>
      <c r="B39" s="119" t="s">
        <v>178</v>
      </c>
      <c r="C39" s="113" t="s">
        <v>181</v>
      </c>
      <c r="D39" s="16" t="s">
        <v>182</v>
      </c>
      <c r="E39" s="17">
        <v>532</v>
      </c>
      <c r="F39" s="27" t="s">
        <v>24</v>
      </c>
      <c r="G39" s="16"/>
      <c r="H39" s="16" t="s">
        <v>55</v>
      </c>
      <c r="I39" s="27" t="s">
        <v>27</v>
      </c>
      <c r="J39" s="66" t="s">
        <v>183</v>
      </c>
      <c r="K39" s="19" t="s">
        <v>184</v>
      </c>
      <c r="L39" s="19" t="s">
        <v>184</v>
      </c>
      <c r="M39" s="94" t="s">
        <v>50</v>
      </c>
      <c r="N39" s="64">
        <v>1</v>
      </c>
      <c r="O39" s="64">
        <v>1</v>
      </c>
      <c r="P39" s="64">
        <v>1</v>
      </c>
      <c r="Q39" s="64">
        <v>1</v>
      </c>
      <c r="R39" s="64">
        <v>1</v>
      </c>
      <c r="S39" s="64">
        <v>1</v>
      </c>
    </row>
    <row r="40" spans="1:19" ht="90">
      <c r="A40" s="93" t="s">
        <v>177</v>
      </c>
      <c r="B40" s="98" t="s">
        <v>185</v>
      </c>
      <c r="C40" s="80" t="s">
        <v>181</v>
      </c>
      <c r="D40" s="16" t="s">
        <v>186</v>
      </c>
      <c r="E40" s="17">
        <v>533</v>
      </c>
      <c r="F40" s="27" t="s">
        <v>24</v>
      </c>
      <c r="G40" s="16"/>
      <c r="H40" s="16" t="s">
        <v>55</v>
      </c>
      <c r="I40" s="27" t="s">
        <v>27</v>
      </c>
      <c r="J40" s="66" t="s">
        <v>302</v>
      </c>
      <c r="K40" s="19" t="s">
        <v>184</v>
      </c>
      <c r="L40" s="19" t="s">
        <v>184</v>
      </c>
      <c r="M40" s="34" t="s">
        <v>43</v>
      </c>
      <c r="N40" s="64">
        <v>1</v>
      </c>
      <c r="O40" s="64">
        <v>1</v>
      </c>
      <c r="P40" s="64">
        <v>1</v>
      </c>
      <c r="Q40" s="64">
        <v>1</v>
      </c>
      <c r="R40" s="64">
        <v>1</v>
      </c>
      <c r="S40" s="64">
        <v>1</v>
      </c>
    </row>
    <row r="41" spans="1:19" ht="75">
      <c r="A41" s="93" t="s">
        <v>177</v>
      </c>
      <c r="B41" s="98" t="s">
        <v>185</v>
      </c>
      <c r="C41" s="80" t="s">
        <v>181</v>
      </c>
      <c r="D41" s="16" t="s">
        <v>188</v>
      </c>
      <c r="E41" s="17">
        <v>534</v>
      </c>
      <c r="F41" s="27" t="s">
        <v>24</v>
      </c>
      <c r="G41" s="16"/>
      <c r="H41" s="16" t="s">
        <v>55</v>
      </c>
      <c r="I41" s="27" t="s">
        <v>27</v>
      </c>
      <c r="J41" s="18" t="s">
        <v>189</v>
      </c>
      <c r="K41" s="19" t="s">
        <v>184</v>
      </c>
      <c r="L41" s="19" t="s">
        <v>184</v>
      </c>
      <c r="M41" s="34" t="s">
        <v>43</v>
      </c>
      <c r="N41" s="64">
        <v>1</v>
      </c>
      <c r="O41" s="64">
        <v>1</v>
      </c>
      <c r="P41" s="64">
        <v>1</v>
      </c>
      <c r="Q41" s="64">
        <v>1</v>
      </c>
      <c r="R41" s="64">
        <v>1</v>
      </c>
      <c r="S41" s="64">
        <v>1</v>
      </c>
    </row>
    <row r="42" spans="1:19" ht="75">
      <c r="A42" s="93" t="s">
        <v>177</v>
      </c>
      <c r="B42" s="98" t="s">
        <v>185</v>
      </c>
      <c r="C42" s="80" t="s">
        <v>181</v>
      </c>
      <c r="D42" s="16" t="s">
        <v>190</v>
      </c>
      <c r="E42" s="17">
        <v>535</v>
      </c>
      <c r="F42" s="27" t="s">
        <v>24</v>
      </c>
      <c r="G42" s="16"/>
      <c r="H42" s="16" t="s">
        <v>55</v>
      </c>
      <c r="I42" s="27" t="s">
        <v>27</v>
      </c>
      <c r="J42" s="18" t="s">
        <v>191</v>
      </c>
      <c r="K42" s="19" t="s">
        <v>184</v>
      </c>
      <c r="L42" s="19" t="s">
        <v>184</v>
      </c>
      <c r="M42" s="34" t="s">
        <v>43</v>
      </c>
      <c r="N42" s="64">
        <v>1</v>
      </c>
      <c r="O42" s="64">
        <v>1</v>
      </c>
      <c r="P42" s="64">
        <v>1</v>
      </c>
      <c r="Q42" s="64">
        <v>1</v>
      </c>
      <c r="R42" s="64">
        <v>1</v>
      </c>
      <c r="S42" s="64">
        <v>1</v>
      </c>
    </row>
    <row r="43" spans="1:19" ht="90">
      <c r="A43" s="93" t="s">
        <v>177</v>
      </c>
      <c r="B43" s="98" t="s">
        <v>185</v>
      </c>
      <c r="C43" s="80" t="s">
        <v>181</v>
      </c>
      <c r="D43" s="16" t="s">
        <v>192</v>
      </c>
      <c r="E43" s="17">
        <v>536</v>
      </c>
      <c r="F43" s="27" t="s">
        <v>24</v>
      </c>
      <c r="G43" s="16"/>
      <c r="H43" s="16" t="s">
        <v>55</v>
      </c>
      <c r="I43" s="27" t="s">
        <v>27</v>
      </c>
      <c r="J43" s="18" t="s">
        <v>193</v>
      </c>
      <c r="K43" s="19" t="s">
        <v>184</v>
      </c>
      <c r="L43" s="19" t="s">
        <v>184</v>
      </c>
      <c r="M43" s="34" t="s">
        <v>43</v>
      </c>
      <c r="N43" s="64">
        <v>1</v>
      </c>
      <c r="O43" s="64">
        <v>1</v>
      </c>
      <c r="P43" s="64">
        <v>1</v>
      </c>
      <c r="Q43" s="64">
        <v>1</v>
      </c>
      <c r="R43" s="64">
        <v>1</v>
      </c>
      <c r="S43" s="64">
        <v>1</v>
      </c>
    </row>
    <row r="44" spans="1:19" ht="88.8" customHeight="1">
      <c r="A44" s="93" t="s">
        <v>194</v>
      </c>
      <c r="B44" s="117" t="s">
        <v>195</v>
      </c>
      <c r="C44" s="93" t="s">
        <v>196</v>
      </c>
      <c r="D44" s="26" t="s">
        <v>197</v>
      </c>
      <c r="E44" s="17"/>
      <c r="F44" s="62" t="s">
        <v>24</v>
      </c>
      <c r="G44" s="95" t="s">
        <v>63</v>
      </c>
      <c r="H44" s="73" t="s">
        <v>41</v>
      </c>
      <c r="I44" s="62" t="s">
        <v>27</v>
      </c>
      <c r="J44" s="63" t="s">
        <v>198</v>
      </c>
      <c r="K44" s="29"/>
      <c r="L44" s="29" t="s">
        <v>199</v>
      </c>
      <c r="M44" s="94"/>
      <c r="N44" s="63"/>
      <c r="O44" s="29"/>
      <c r="P44" s="29"/>
      <c r="Q44" s="29"/>
      <c r="R44" s="29"/>
      <c r="S44" s="29"/>
    </row>
    <row r="45" spans="1:19" ht="130.80000000000001" customHeight="1">
      <c r="A45" s="80" t="s">
        <v>194</v>
      </c>
      <c r="B45" s="98" t="s">
        <v>195</v>
      </c>
      <c r="C45" s="80" t="s">
        <v>196</v>
      </c>
      <c r="D45" s="17" t="s">
        <v>303</v>
      </c>
      <c r="E45" s="17">
        <v>597</v>
      </c>
      <c r="F45" s="73" t="s">
        <v>24</v>
      </c>
      <c r="G45" s="82" t="s">
        <v>63</v>
      </c>
      <c r="H45" s="73" t="s">
        <v>41</v>
      </c>
      <c r="I45" s="62" t="s">
        <v>27</v>
      </c>
      <c r="J45" s="66" t="s">
        <v>201</v>
      </c>
      <c r="K45" s="19"/>
      <c r="L45" s="19" t="s">
        <v>199</v>
      </c>
      <c r="M45" s="34"/>
      <c r="N45" s="66"/>
      <c r="O45" s="19" t="s">
        <v>51</v>
      </c>
      <c r="P45" s="19"/>
      <c r="Q45" s="19"/>
      <c r="R45" s="19"/>
      <c r="S45" s="19"/>
    </row>
    <row r="46" spans="1:19" ht="132.6" customHeight="1">
      <c r="A46" s="93" t="s">
        <v>194</v>
      </c>
      <c r="B46" s="117" t="s">
        <v>195</v>
      </c>
      <c r="C46" s="93" t="s">
        <v>202</v>
      </c>
      <c r="D46" s="17" t="s">
        <v>203</v>
      </c>
      <c r="E46" s="17">
        <v>500</v>
      </c>
      <c r="F46" s="73" t="s">
        <v>24</v>
      </c>
      <c r="G46" s="82" t="s">
        <v>204</v>
      </c>
      <c r="H46" s="17" t="s">
        <v>26</v>
      </c>
      <c r="I46" s="62" t="s">
        <v>27</v>
      </c>
      <c r="J46" s="63" t="s">
        <v>205</v>
      </c>
      <c r="K46" s="29" t="s">
        <v>206</v>
      </c>
      <c r="L46" s="29" t="s">
        <v>207</v>
      </c>
      <c r="M46" s="94"/>
      <c r="N46" s="120">
        <v>0.8</v>
      </c>
      <c r="O46" s="122">
        <v>0.85</v>
      </c>
      <c r="P46" s="29"/>
      <c r="Q46" s="29"/>
      <c r="R46" s="29"/>
      <c r="S46" s="29"/>
    </row>
    <row r="47" spans="1:19" ht="132.6" customHeight="1">
      <c r="A47" s="93" t="s">
        <v>194</v>
      </c>
      <c r="B47" s="117" t="s">
        <v>195</v>
      </c>
      <c r="C47" s="93" t="s">
        <v>202</v>
      </c>
      <c r="D47" s="17" t="s">
        <v>208</v>
      </c>
      <c r="E47" s="17"/>
      <c r="F47" s="73" t="s">
        <v>24</v>
      </c>
      <c r="G47" s="82" t="s">
        <v>204</v>
      </c>
      <c r="H47" s="17" t="s">
        <v>26</v>
      </c>
      <c r="I47" s="62" t="s">
        <v>27</v>
      </c>
      <c r="J47" s="63" t="s">
        <v>205</v>
      </c>
      <c r="K47" s="29" t="s">
        <v>206</v>
      </c>
      <c r="L47" s="29" t="s">
        <v>209</v>
      </c>
      <c r="M47" s="94"/>
      <c r="N47" s="120">
        <v>0.8</v>
      </c>
      <c r="O47" s="122">
        <v>0.85</v>
      </c>
      <c r="P47" s="29"/>
      <c r="Q47" s="29"/>
      <c r="R47" s="29"/>
      <c r="S47" s="29"/>
    </row>
    <row r="48" spans="1:19" ht="93.6">
      <c r="A48" s="80" t="s">
        <v>194</v>
      </c>
      <c r="B48" s="98" t="s">
        <v>195</v>
      </c>
      <c r="C48" s="80" t="s">
        <v>202</v>
      </c>
      <c r="D48" s="16" t="s">
        <v>210</v>
      </c>
      <c r="E48" s="17"/>
      <c r="F48" s="73" t="s">
        <v>24</v>
      </c>
      <c r="G48" s="82" t="s">
        <v>63</v>
      </c>
      <c r="H48" s="73" t="s">
        <v>41</v>
      </c>
      <c r="I48" s="62" t="s">
        <v>27</v>
      </c>
      <c r="J48" s="114" t="s">
        <v>211</v>
      </c>
      <c r="K48" s="19"/>
      <c r="L48" s="19" t="s">
        <v>199</v>
      </c>
      <c r="M48" s="34"/>
      <c r="N48" s="66"/>
      <c r="O48" s="19"/>
      <c r="P48" s="19"/>
      <c r="Q48" s="19"/>
      <c r="R48" s="19"/>
      <c r="S48" s="19"/>
    </row>
    <row r="49" spans="1:19" ht="90">
      <c r="A49" s="80" t="s">
        <v>212</v>
      </c>
      <c r="B49" s="125" t="s">
        <v>213</v>
      </c>
      <c r="C49" s="126" t="s">
        <v>214</v>
      </c>
      <c r="D49" s="17" t="s">
        <v>215</v>
      </c>
      <c r="E49" s="17">
        <v>576</v>
      </c>
      <c r="F49" s="62" t="s">
        <v>24</v>
      </c>
      <c r="G49" s="73" t="s">
        <v>63</v>
      </c>
      <c r="H49" s="73" t="s">
        <v>55</v>
      </c>
      <c r="I49" s="73" t="s">
        <v>27</v>
      </c>
      <c r="J49" s="66" t="s">
        <v>216</v>
      </c>
      <c r="K49" s="19" t="s">
        <v>129</v>
      </c>
      <c r="L49" s="19" t="s">
        <v>129</v>
      </c>
      <c r="M49" s="127"/>
      <c r="N49" s="66" t="s">
        <v>51</v>
      </c>
      <c r="O49" s="21">
        <v>1</v>
      </c>
      <c r="P49" s="21">
        <v>1</v>
      </c>
      <c r="Q49" s="21">
        <v>1</v>
      </c>
      <c r="R49" s="21">
        <v>1</v>
      </c>
      <c r="S49" s="21">
        <v>1</v>
      </c>
    </row>
    <row r="50" spans="1:19" ht="78" customHeight="1">
      <c r="A50" s="93" t="s">
        <v>212</v>
      </c>
      <c r="B50" s="93" t="s">
        <v>217</v>
      </c>
      <c r="C50" s="128" t="s">
        <v>218</v>
      </c>
      <c r="D50" s="26" t="s">
        <v>219</v>
      </c>
      <c r="E50" s="17">
        <v>573</v>
      </c>
      <c r="F50" s="62" t="s">
        <v>24</v>
      </c>
      <c r="G50" s="95" t="s">
        <v>63</v>
      </c>
      <c r="H50" s="73" t="s">
        <v>55</v>
      </c>
      <c r="I50" s="73" t="s">
        <v>27</v>
      </c>
      <c r="J50" s="63" t="s">
        <v>220</v>
      </c>
      <c r="K50" s="29" t="s">
        <v>129</v>
      </c>
      <c r="L50" s="29" t="s">
        <v>129</v>
      </c>
      <c r="M50" s="129"/>
      <c r="N50" s="63"/>
      <c r="O50" s="29">
        <v>112</v>
      </c>
      <c r="P50" s="29">
        <v>99</v>
      </c>
      <c r="Q50" s="29">
        <v>88</v>
      </c>
      <c r="R50" s="29">
        <v>75</v>
      </c>
      <c r="S50" s="29">
        <v>75</v>
      </c>
    </row>
    <row r="51" spans="1:19" ht="60">
      <c r="A51" s="80" t="s">
        <v>212</v>
      </c>
      <c r="B51" s="80" t="s">
        <v>217</v>
      </c>
      <c r="C51" s="126" t="s">
        <v>218</v>
      </c>
      <c r="D51" s="88" t="s">
        <v>304</v>
      </c>
      <c r="E51" s="88"/>
      <c r="F51" s="89" t="s">
        <v>305</v>
      </c>
      <c r="G51" s="89" t="s">
        <v>63</v>
      </c>
      <c r="H51" s="73" t="s">
        <v>306</v>
      </c>
      <c r="I51" s="73" t="s">
        <v>27</v>
      </c>
      <c r="J51" s="130" t="s">
        <v>307</v>
      </c>
      <c r="K51" s="131" t="s">
        <v>129</v>
      </c>
      <c r="L51" s="131" t="s">
        <v>129</v>
      </c>
      <c r="M51" s="127"/>
      <c r="N51" s="64">
        <v>0.8</v>
      </c>
      <c r="O51" s="64">
        <v>0.8</v>
      </c>
      <c r="P51" s="64">
        <v>0.8</v>
      </c>
      <c r="Q51" s="64">
        <v>0.8</v>
      </c>
      <c r="R51" s="64">
        <v>0.8</v>
      </c>
      <c r="S51" s="64">
        <v>0.8</v>
      </c>
    </row>
    <row r="52" spans="1:19" ht="75">
      <c r="A52" s="80" t="s">
        <v>212</v>
      </c>
      <c r="B52" s="98" t="s">
        <v>227</v>
      </c>
      <c r="C52" s="80" t="s">
        <v>228</v>
      </c>
      <c r="D52" s="17" t="s">
        <v>308</v>
      </c>
      <c r="E52" s="17"/>
      <c r="F52" s="73" t="s">
        <v>41</v>
      </c>
      <c r="G52" s="73" t="s">
        <v>230</v>
      </c>
      <c r="H52" s="73" t="s">
        <v>41</v>
      </c>
      <c r="I52" s="73" t="s">
        <v>27</v>
      </c>
      <c r="J52" s="66" t="s">
        <v>309</v>
      </c>
      <c r="K52" s="19"/>
      <c r="L52" s="19" t="s">
        <v>129</v>
      </c>
      <c r="M52" s="34"/>
      <c r="N52" s="64">
        <v>1</v>
      </c>
      <c r="O52" s="64">
        <v>1</v>
      </c>
      <c r="P52" s="64">
        <v>1</v>
      </c>
      <c r="Q52" s="64">
        <v>1</v>
      </c>
      <c r="R52" s="64">
        <v>1</v>
      </c>
      <c r="S52" s="64">
        <v>1</v>
      </c>
    </row>
    <row r="53" spans="1:19" ht="105">
      <c r="A53" s="80" t="s">
        <v>212</v>
      </c>
      <c r="B53" s="98" t="s">
        <v>232</v>
      </c>
      <c r="C53" s="80" t="s">
        <v>233</v>
      </c>
      <c r="D53" s="17" t="s">
        <v>234</v>
      </c>
      <c r="E53" s="17">
        <v>460</v>
      </c>
      <c r="F53" s="73" t="s">
        <v>24</v>
      </c>
      <c r="G53" s="73" t="s">
        <v>88</v>
      </c>
      <c r="H53" s="73" t="s">
        <v>55</v>
      </c>
      <c r="I53" s="73" t="s">
        <v>27</v>
      </c>
      <c r="J53" s="18" t="s">
        <v>235</v>
      </c>
      <c r="K53" s="19" t="s">
        <v>236</v>
      </c>
      <c r="L53" s="19" t="s">
        <v>236</v>
      </c>
      <c r="M53" s="34"/>
      <c r="N53" s="64">
        <v>0.8</v>
      </c>
      <c r="O53" s="21">
        <v>0.82</v>
      </c>
      <c r="P53" s="21">
        <v>0.83</v>
      </c>
      <c r="Q53" s="21">
        <v>0.83</v>
      </c>
      <c r="R53" s="21">
        <v>0.84</v>
      </c>
      <c r="S53" s="21">
        <v>0.84</v>
      </c>
    </row>
    <row r="54" spans="1:19" ht="105">
      <c r="A54" s="80" t="s">
        <v>212</v>
      </c>
      <c r="B54" s="98" t="s">
        <v>237</v>
      </c>
      <c r="C54" s="80" t="s">
        <v>238</v>
      </c>
      <c r="D54" s="73" t="s">
        <v>239</v>
      </c>
      <c r="E54" s="17"/>
      <c r="F54" s="73" t="s">
        <v>41</v>
      </c>
      <c r="G54" s="73" t="s">
        <v>63</v>
      </c>
      <c r="H54" s="73" t="s">
        <v>41</v>
      </c>
      <c r="I54" s="73" t="s">
        <v>27</v>
      </c>
      <c r="J54" s="18" t="s">
        <v>240</v>
      </c>
      <c r="K54" s="19"/>
      <c r="L54" s="19"/>
      <c r="M54" s="34" t="s">
        <v>50</v>
      </c>
      <c r="N54" s="66"/>
      <c r="O54" s="19"/>
      <c r="P54" s="19"/>
      <c r="Q54" s="19"/>
      <c r="R54" s="19"/>
      <c r="S54" s="19"/>
    </row>
    <row r="55" spans="1:19" ht="75">
      <c r="A55" s="80" t="s">
        <v>241</v>
      </c>
      <c r="B55" s="98" t="s">
        <v>242</v>
      </c>
      <c r="C55" s="80" t="s">
        <v>243</v>
      </c>
      <c r="D55" s="116" t="s">
        <v>244</v>
      </c>
      <c r="E55" s="116"/>
      <c r="F55" s="134" t="s">
        <v>24</v>
      </c>
      <c r="G55" s="134" t="s">
        <v>63</v>
      </c>
      <c r="H55" s="73" t="s">
        <v>41</v>
      </c>
      <c r="I55" s="73" t="s">
        <v>27</v>
      </c>
      <c r="J55" s="66" t="s">
        <v>244</v>
      </c>
      <c r="K55" s="19"/>
      <c r="L55" s="19"/>
      <c r="M55" s="34"/>
      <c r="N55" s="66"/>
      <c r="O55" s="19"/>
      <c r="P55" s="19"/>
      <c r="Q55" s="19"/>
      <c r="R55" s="19"/>
      <c r="S55" s="19"/>
    </row>
    <row r="56" spans="1:19" ht="45">
      <c r="A56" s="80" t="s">
        <v>241</v>
      </c>
      <c r="B56" s="80" t="s">
        <v>245</v>
      </c>
      <c r="C56" s="80" t="s">
        <v>246</v>
      </c>
      <c r="D56" s="17" t="s">
        <v>247</v>
      </c>
      <c r="E56" s="17">
        <v>553</v>
      </c>
      <c r="F56" s="134" t="s">
        <v>24</v>
      </c>
      <c r="G56" s="82" t="s">
        <v>63</v>
      </c>
      <c r="H56" s="73" t="s">
        <v>41</v>
      </c>
      <c r="I56" s="73" t="s">
        <v>27</v>
      </c>
      <c r="J56" s="66" t="s">
        <v>248</v>
      </c>
      <c r="K56" s="19" t="s">
        <v>249</v>
      </c>
      <c r="L56" s="19" t="s">
        <v>250</v>
      </c>
      <c r="M56" s="34"/>
      <c r="N56" s="66"/>
      <c r="O56" s="21">
        <v>0.85</v>
      </c>
      <c r="P56" s="19"/>
      <c r="Q56" s="19"/>
      <c r="R56" s="19"/>
      <c r="S56" s="19"/>
    </row>
    <row r="57" spans="1:19" ht="105">
      <c r="A57" s="80" t="s">
        <v>241</v>
      </c>
      <c r="B57" s="80" t="s">
        <v>245</v>
      </c>
      <c r="C57" s="135" t="s">
        <v>251</v>
      </c>
      <c r="D57" s="17" t="s">
        <v>252</v>
      </c>
      <c r="E57" s="17"/>
      <c r="F57" s="134" t="s">
        <v>24</v>
      </c>
      <c r="G57" s="82" t="s">
        <v>63</v>
      </c>
      <c r="H57" s="17" t="s">
        <v>55</v>
      </c>
      <c r="I57" s="73" t="s">
        <v>27</v>
      </c>
      <c r="J57" s="66" t="s">
        <v>253</v>
      </c>
      <c r="K57" s="19" t="s">
        <v>254</v>
      </c>
      <c r="L57" s="19" t="s">
        <v>254</v>
      </c>
      <c r="M57" s="136" t="s">
        <v>255</v>
      </c>
      <c r="N57" s="65">
        <v>0.86099999999999999</v>
      </c>
      <c r="O57" s="145">
        <v>0.86599999999999999</v>
      </c>
      <c r="P57" s="19"/>
      <c r="Q57" s="19"/>
      <c r="R57" s="19"/>
      <c r="S57" s="19"/>
    </row>
    <row r="58" spans="1:19" ht="105">
      <c r="A58" s="80" t="s">
        <v>241</v>
      </c>
      <c r="B58" s="80" t="s">
        <v>245</v>
      </c>
      <c r="C58" s="135" t="s">
        <v>251</v>
      </c>
      <c r="D58" s="16" t="s">
        <v>256</v>
      </c>
      <c r="E58" s="17"/>
      <c r="F58" s="73" t="s">
        <v>41</v>
      </c>
      <c r="G58" s="82" t="s">
        <v>63</v>
      </c>
      <c r="H58" s="17" t="s">
        <v>55</v>
      </c>
      <c r="I58" s="73" t="s">
        <v>27</v>
      </c>
      <c r="J58" s="66" t="s">
        <v>253</v>
      </c>
      <c r="K58" s="19" t="s">
        <v>254</v>
      </c>
      <c r="L58" s="19" t="s">
        <v>254</v>
      </c>
      <c r="M58" s="136" t="s">
        <v>255</v>
      </c>
      <c r="N58" s="66"/>
      <c r="O58" s="19"/>
      <c r="P58" s="19"/>
      <c r="Q58" s="19"/>
      <c r="R58" s="19"/>
      <c r="S58" s="19"/>
    </row>
    <row r="59" spans="1:19" ht="124.95" customHeight="1">
      <c r="A59" s="93" t="s">
        <v>241</v>
      </c>
      <c r="B59" s="93" t="s">
        <v>245</v>
      </c>
      <c r="C59" s="137" t="s">
        <v>251</v>
      </c>
      <c r="D59" s="26" t="s">
        <v>257</v>
      </c>
      <c r="E59" s="17"/>
      <c r="F59" s="134" t="s">
        <v>305</v>
      </c>
      <c r="G59" s="27" t="s">
        <v>63</v>
      </c>
      <c r="H59" s="27" t="s">
        <v>41</v>
      </c>
      <c r="I59" s="73" t="s">
        <v>27</v>
      </c>
      <c r="J59" s="63"/>
      <c r="K59" s="29" t="s">
        <v>254</v>
      </c>
      <c r="L59" s="29" t="s">
        <v>254</v>
      </c>
      <c r="M59" s="136" t="s">
        <v>255</v>
      </c>
      <c r="N59" s="63"/>
      <c r="O59" s="29"/>
      <c r="P59" s="29"/>
      <c r="Q59" s="29"/>
      <c r="R59" s="29"/>
      <c r="S59" s="29"/>
    </row>
    <row r="60" spans="1:19" ht="105">
      <c r="A60" s="80" t="s">
        <v>241</v>
      </c>
      <c r="B60" s="80" t="s">
        <v>245</v>
      </c>
      <c r="C60" s="135" t="s">
        <v>251</v>
      </c>
      <c r="D60" s="17" t="s">
        <v>258</v>
      </c>
      <c r="E60" s="17"/>
      <c r="F60" s="17" t="s">
        <v>24</v>
      </c>
      <c r="G60" s="17" t="s">
        <v>88</v>
      </c>
      <c r="H60" s="17" t="s">
        <v>55</v>
      </c>
      <c r="I60" s="73" t="s">
        <v>27</v>
      </c>
      <c r="J60" s="66" t="s">
        <v>259</v>
      </c>
      <c r="K60" s="19" t="s">
        <v>254</v>
      </c>
      <c r="L60" s="19" t="s">
        <v>254</v>
      </c>
      <c r="M60" s="136"/>
      <c r="N60" s="145">
        <v>0.74199999999999999</v>
      </c>
      <c r="O60" s="145">
        <v>0.748</v>
      </c>
      <c r="P60" s="19"/>
      <c r="Q60" s="19"/>
      <c r="R60" s="19"/>
      <c r="S60" s="19"/>
    </row>
    <row r="61" spans="1:19" ht="75">
      <c r="A61" s="80" t="s">
        <v>241</v>
      </c>
      <c r="B61" s="98" t="s">
        <v>260</v>
      </c>
      <c r="C61" s="126" t="s">
        <v>261</v>
      </c>
      <c r="D61" s="16" t="s">
        <v>262</v>
      </c>
      <c r="E61" s="17"/>
      <c r="F61" s="27" t="s">
        <v>41</v>
      </c>
      <c r="G61" s="27" t="s">
        <v>63</v>
      </c>
      <c r="H61" s="73" t="s">
        <v>41</v>
      </c>
      <c r="I61" s="73" t="s">
        <v>27</v>
      </c>
      <c r="J61" s="66" t="s">
        <v>263</v>
      </c>
      <c r="K61" s="19"/>
      <c r="L61" s="19" t="s">
        <v>264</v>
      </c>
      <c r="M61" s="127" t="s">
        <v>265</v>
      </c>
      <c r="N61" s="66"/>
      <c r="O61" s="19"/>
      <c r="P61" s="19"/>
      <c r="Q61" s="19"/>
      <c r="R61" s="19"/>
      <c r="S61" s="19"/>
    </row>
    <row r="62" spans="1:19" ht="120.6">
      <c r="A62" s="93" t="s">
        <v>266</v>
      </c>
      <c r="B62" s="117" t="s">
        <v>267</v>
      </c>
      <c r="C62" s="93" t="s">
        <v>268</v>
      </c>
      <c r="D62" s="26" t="s">
        <v>269</v>
      </c>
      <c r="E62" s="17">
        <v>546</v>
      </c>
      <c r="F62" s="134" t="s">
        <v>24</v>
      </c>
      <c r="G62" s="27" t="s">
        <v>88</v>
      </c>
      <c r="H62" s="27" t="s">
        <v>55</v>
      </c>
      <c r="I62" s="27" t="s">
        <v>27</v>
      </c>
      <c r="J62" s="28" t="s">
        <v>270</v>
      </c>
      <c r="K62" s="29" t="s">
        <v>271</v>
      </c>
      <c r="L62" s="29" t="s">
        <v>271</v>
      </c>
      <c r="M62" s="94"/>
      <c r="N62" s="138" t="s">
        <v>272</v>
      </c>
      <c r="O62" s="122">
        <v>1</v>
      </c>
      <c r="P62" s="122">
        <v>1</v>
      </c>
      <c r="Q62" s="122">
        <v>1</v>
      </c>
      <c r="R62" s="122">
        <v>1</v>
      </c>
      <c r="S62" s="122">
        <v>1</v>
      </c>
    </row>
    <row r="63" spans="1:19" ht="70.95" customHeight="1">
      <c r="A63" s="93" t="s">
        <v>266</v>
      </c>
      <c r="B63" s="117" t="s">
        <v>273</v>
      </c>
      <c r="C63" s="93" t="s">
        <v>274</v>
      </c>
      <c r="D63" s="27" t="s">
        <v>310</v>
      </c>
      <c r="E63" s="17">
        <v>542</v>
      </c>
      <c r="F63" s="134" t="s">
        <v>24</v>
      </c>
      <c r="G63" s="27"/>
      <c r="H63" s="27" t="s">
        <v>63</v>
      </c>
      <c r="I63" s="27" t="s">
        <v>27</v>
      </c>
      <c r="J63" s="28" t="s">
        <v>276</v>
      </c>
      <c r="K63" s="29"/>
      <c r="L63" s="29"/>
      <c r="M63" s="118" t="s">
        <v>50</v>
      </c>
      <c r="N63" s="63"/>
      <c r="O63" s="29"/>
      <c r="P63" s="29"/>
      <c r="Q63" s="29"/>
      <c r="R63" s="29"/>
      <c r="S63" s="29"/>
    </row>
    <row r="64" spans="1:19" ht="150">
      <c r="A64" s="93" t="s">
        <v>266</v>
      </c>
      <c r="B64" s="117" t="s">
        <v>273</v>
      </c>
      <c r="C64" s="93" t="s">
        <v>277</v>
      </c>
      <c r="D64" s="27" t="s">
        <v>278</v>
      </c>
      <c r="E64" s="17">
        <v>541</v>
      </c>
      <c r="F64" s="134" t="s">
        <v>24</v>
      </c>
      <c r="G64" s="62" t="s">
        <v>311</v>
      </c>
      <c r="H64" s="73" t="s">
        <v>55</v>
      </c>
      <c r="I64" s="27" t="s">
        <v>27</v>
      </c>
      <c r="J64" s="63" t="s">
        <v>280</v>
      </c>
      <c r="K64" s="29" t="s">
        <v>271</v>
      </c>
      <c r="L64" s="29" t="s">
        <v>271</v>
      </c>
      <c r="M64" s="94"/>
      <c r="N64" s="63"/>
      <c r="O64" s="122">
        <v>0.09</v>
      </c>
      <c r="P64" s="29"/>
      <c r="Q64" s="29"/>
      <c r="R64" s="29"/>
      <c r="S64" s="29"/>
    </row>
    <row r="65" spans="1:19" ht="46.8">
      <c r="A65" s="80" t="s">
        <v>266</v>
      </c>
      <c r="B65" s="98" t="s">
        <v>281</v>
      </c>
      <c r="C65" s="80" t="s">
        <v>282</v>
      </c>
      <c r="D65" s="17" t="s">
        <v>292</v>
      </c>
      <c r="E65" s="17">
        <v>547</v>
      </c>
      <c r="F65" s="134" t="s">
        <v>24</v>
      </c>
      <c r="G65" s="73"/>
      <c r="H65" s="73" t="s">
        <v>55</v>
      </c>
      <c r="I65" s="27" t="s">
        <v>27</v>
      </c>
      <c r="J65" s="66" t="s">
        <v>312</v>
      </c>
      <c r="K65" s="19" t="s">
        <v>271</v>
      </c>
      <c r="L65" s="19" t="s">
        <v>271</v>
      </c>
      <c r="M65" s="34" t="s">
        <v>50</v>
      </c>
      <c r="N65" s="64">
        <v>0.8</v>
      </c>
      <c r="O65" s="64">
        <v>0.85</v>
      </c>
      <c r="P65" s="64"/>
      <c r="Q65" s="64"/>
      <c r="R65" s="64"/>
      <c r="S65" s="64"/>
    </row>
    <row r="66" spans="1:19" ht="46.8">
      <c r="A66" s="56" t="s">
        <v>71</v>
      </c>
      <c r="B66" s="70" t="s">
        <v>90</v>
      </c>
      <c r="C66" s="70" t="s">
        <v>91</v>
      </c>
      <c r="D66" s="77" t="s">
        <v>323</v>
      </c>
      <c r="E66" s="61"/>
      <c r="F66" s="37" t="s">
        <v>24</v>
      </c>
      <c r="G66" s="72"/>
      <c r="H66" s="19"/>
      <c r="I66" s="19"/>
      <c r="J66" s="19"/>
      <c r="K66" s="19"/>
      <c r="L66" s="21" t="s">
        <v>322</v>
      </c>
      <c r="M66" s="19"/>
      <c r="N66" s="21">
        <v>0.97</v>
      </c>
      <c r="O66" s="21">
        <v>0.97</v>
      </c>
      <c r="P66" s="21">
        <v>0.97</v>
      </c>
    </row>
  </sheetData>
  <mergeCells count="2">
    <mergeCell ref="N1:S1"/>
    <mergeCell ref="L11:L12"/>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filterMode="1">
    <tabColor theme="8" tint="-0.249977111117893"/>
  </sheetPr>
  <dimension ref="A1:S67"/>
  <sheetViews>
    <sheetView topLeftCell="G1" zoomScale="73" zoomScaleNormal="98" workbookViewId="0">
      <selection activeCell="Q62" sqref="Q62"/>
    </sheetView>
  </sheetViews>
  <sheetFormatPr baseColWidth="10" defaultColWidth="11.5546875" defaultRowHeight="14.4"/>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c r="A1" s="1"/>
      <c r="B1" s="1"/>
      <c r="C1" s="1"/>
      <c r="D1" s="1"/>
      <c r="E1" s="1"/>
      <c r="F1" s="1"/>
      <c r="G1" s="1"/>
      <c r="H1" s="1"/>
      <c r="I1" s="1"/>
      <c r="J1" s="1"/>
      <c r="K1" s="1"/>
      <c r="L1" s="1"/>
      <c r="M1" s="1"/>
      <c r="N1" s="146" t="s">
        <v>0</v>
      </c>
      <c r="O1" s="147"/>
      <c r="P1" s="147"/>
      <c r="Q1" s="147"/>
      <c r="R1" s="147"/>
      <c r="S1" s="147"/>
    </row>
    <row r="2" spans="1:19" ht="36">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5" hidden="1">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hidden="1">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hidden="1">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hidden="1" customHeight="1">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62.4" hidden="1">
      <c r="A7" s="32" t="s">
        <v>47</v>
      </c>
      <c r="B7" s="32" t="s">
        <v>52</v>
      </c>
      <c r="C7" s="33" t="s">
        <v>53</v>
      </c>
      <c r="D7" s="35" t="s">
        <v>54</v>
      </c>
      <c r="E7" s="36">
        <v>527</v>
      </c>
      <c r="F7" s="37" t="s">
        <v>24</v>
      </c>
      <c r="G7" s="38"/>
      <c r="H7" s="27" t="s">
        <v>55</v>
      </c>
      <c r="I7" s="27" t="s">
        <v>27</v>
      </c>
      <c r="J7" s="39" t="s">
        <v>56</v>
      </c>
      <c r="K7" s="39" t="s">
        <v>57</v>
      </c>
      <c r="L7" s="40" t="s">
        <v>49</v>
      </c>
      <c r="M7" s="34"/>
      <c r="N7" s="40">
        <v>3690</v>
      </c>
      <c r="O7" s="45">
        <v>7304</v>
      </c>
      <c r="P7" s="46">
        <f>O7/N7</f>
        <v>1.9794037940379403</v>
      </c>
      <c r="Q7" s="40"/>
      <c r="R7" s="40"/>
      <c r="S7" s="44"/>
    </row>
    <row r="8" spans="1:19" ht="93.6" hidden="1">
      <c r="A8" s="32" t="s">
        <v>47</v>
      </c>
      <c r="B8" s="32" t="s">
        <v>52</v>
      </c>
      <c r="C8" s="33" t="s">
        <v>53</v>
      </c>
      <c r="D8" s="35" t="s">
        <v>58</v>
      </c>
      <c r="E8" s="36"/>
      <c r="F8" s="37" t="s">
        <v>24</v>
      </c>
      <c r="G8" s="38"/>
      <c r="H8" s="27" t="s">
        <v>41</v>
      </c>
      <c r="I8" s="27" t="s">
        <v>27</v>
      </c>
      <c r="J8" s="39"/>
      <c r="K8" s="39"/>
      <c r="L8" s="40"/>
      <c r="M8" s="34"/>
      <c r="N8" s="47" t="s">
        <v>59</v>
      </c>
      <c r="O8" s="40"/>
      <c r="P8" s="44"/>
      <c r="Q8" s="40"/>
      <c r="R8" s="40"/>
      <c r="S8" s="44"/>
    </row>
    <row r="9" spans="1:19" ht="75" hidden="1">
      <c r="A9" s="32" t="s">
        <v>47</v>
      </c>
      <c r="B9" s="48" t="s">
        <v>60</v>
      </c>
      <c r="C9" s="33" t="s">
        <v>61</v>
      </c>
      <c r="D9" s="35" t="s">
        <v>62</v>
      </c>
      <c r="E9" s="36">
        <v>528</v>
      </c>
      <c r="F9" s="37" t="s">
        <v>24</v>
      </c>
      <c r="G9" s="38" t="s">
        <v>63</v>
      </c>
      <c r="H9" s="35" t="s">
        <v>55</v>
      </c>
      <c r="I9" s="27" t="s">
        <v>27</v>
      </c>
      <c r="J9" s="39" t="s">
        <v>64</v>
      </c>
      <c r="K9" s="39"/>
      <c r="L9" s="40" t="s">
        <v>49</v>
      </c>
      <c r="M9" s="34" t="s">
        <v>50</v>
      </c>
      <c r="N9" s="49">
        <v>1158</v>
      </c>
      <c r="O9" s="49">
        <v>2014</v>
      </c>
      <c r="P9" s="50">
        <f>O9/N9</f>
        <v>1.7392055267702937</v>
      </c>
      <c r="Q9" s="51">
        <v>1200</v>
      </c>
      <c r="R9" s="51">
        <v>1273</v>
      </c>
      <c r="S9" s="50">
        <f>R9/Q9</f>
        <v>1.0608333333333333</v>
      </c>
    </row>
    <row r="10" spans="1:19" ht="46.8" hidden="1">
      <c r="A10" s="32" t="s">
        <v>47</v>
      </c>
      <c r="B10" s="48" t="s">
        <v>60</v>
      </c>
      <c r="C10" s="33" t="s">
        <v>61</v>
      </c>
      <c r="D10" s="35" t="s">
        <v>65</v>
      </c>
      <c r="E10" s="36"/>
      <c r="F10" s="37" t="s">
        <v>24</v>
      </c>
      <c r="G10" s="38" t="s">
        <v>63</v>
      </c>
      <c r="H10" s="35" t="s">
        <v>41</v>
      </c>
      <c r="I10" s="27" t="s">
        <v>27</v>
      </c>
      <c r="J10" s="39" t="s">
        <v>66</v>
      </c>
      <c r="K10" s="39"/>
      <c r="L10" s="40" t="s">
        <v>49</v>
      </c>
      <c r="M10" s="34" t="s">
        <v>50</v>
      </c>
      <c r="N10" s="52">
        <v>0.85</v>
      </c>
      <c r="O10" s="53">
        <v>0.995</v>
      </c>
      <c r="P10" s="54">
        <f>O10/N10</f>
        <v>1.1705882352941177</v>
      </c>
      <c r="Q10" s="55">
        <v>0.9</v>
      </c>
      <c r="R10" s="40"/>
      <c r="S10" s="44"/>
    </row>
    <row r="11" spans="1:19" ht="60" hidden="1">
      <c r="A11" s="32" t="s">
        <v>47</v>
      </c>
      <c r="B11" s="48" t="s">
        <v>60</v>
      </c>
      <c r="C11" s="33" t="s">
        <v>61</v>
      </c>
      <c r="D11" s="35" t="s">
        <v>67</v>
      </c>
      <c r="E11" s="36"/>
      <c r="F11" s="37" t="s">
        <v>24</v>
      </c>
      <c r="G11" s="38" t="s">
        <v>63</v>
      </c>
      <c r="H11" s="27" t="s">
        <v>41</v>
      </c>
      <c r="I11" s="27" t="s">
        <v>27</v>
      </c>
      <c r="J11" s="39" t="s">
        <v>68</v>
      </c>
      <c r="K11" s="39" t="s">
        <v>69</v>
      </c>
      <c r="L11" s="40" t="s">
        <v>49</v>
      </c>
      <c r="M11" s="34" t="s">
        <v>50</v>
      </c>
      <c r="N11" s="40" t="s">
        <v>70</v>
      </c>
      <c r="O11" s="40"/>
      <c r="P11" s="44"/>
      <c r="Q11" s="40"/>
      <c r="R11" s="40"/>
      <c r="S11" s="44"/>
    </row>
    <row r="12" spans="1:19" ht="46.8" hidden="1">
      <c r="A12" s="56" t="s">
        <v>71</v>
      </c>
      <c r="B12" s="57" t="s">
        <v>72</v>
      </c>
      <c r="C12" s="58" t="s">
        <v>73</v>
      </c>
      <c r="D12" s="60" t="s">
        <v>74</v>
      </c>
      <c r="E12" s="61">
        <v>456</v>
      </c>
      <c r="F12" s="37" t="s">
        <v>24</v>
      </c>
      <c r="G12" s="60" t="s">
        <v>75</v>
      </c>
      <c r="H12" s="62" t="s">
        <v>55</v>
      </c>
      <c r="I12" s="27" t="s">
        <v>27</v>
      </c>
      <c r="J12" s="63"/>
      <c r="K12" s="63" t="s">
        <v>76</v>
      </c>
      <c r="L12" s="148" t="s">
        <v>77</v>
      </c>
      <c r="M12" s="59" t="s">
        <v>43</v>
      </c>
      <c r="N12" s="64">
        <v>1</v>
      </c>
      <c r="O12" s="65">
        <v>1.1152</v>
      </c>
      <c r="P12" s="23"/>
      <c r="Q12" s="64">
        <v>1</v>
      </c>
      <c r="R12" s="21">
        <v>1.22</v>
      </c>
      <c r="S12" s="22">
        <f>R12/Q12</f>
        <v>1.22</v>
      </c>
    </row>
    <row r="13" spans="1:19" ht="75" hidden="1">
      <c r="A13" s="56" t="s">
        <v>71</v>
      </c>
      <c r="B13" s="57" t="s">
        <v>72</v>
      </c>
      <c r="C13" s="58" t="s">
        <v>73</v>
      </c>
      <c r="D13" s="61" t="s">
        <v>78</v>
      </c>
      <c r="E13" s="61">
        <v>457</v>
      </c>
      <c r="F13" s="37" t="s">
        <v>24</v>
      </c>
      <c r="G13" s="60" t="s">
        <v>75</v>
      </c>
      <c r="H13" s="62" t="s">
        <v>55</v>
      </c>
      <c r="I13" s="27" t="s">
        <v>27</v>
      </c>
      <c r="J13" s="67"/>
      <c r="K13" s="63" t="s">
        <v>76</v>
      </c>
      <c r="L13" s="149"/>
      <c r="M13" s="59" t="s">
        <v>43</v>
      </c>
      <c r="N13" s="66"/>
      <c r="O13" s="66"/>
      <c r="P13" s="23"/>
      <c r="Q13" s="66" t="s">
        <v>79</v>
      </c>
      <c r="R13" s="19"/>
      <c r="S13" s="23"/>
    </row>
    <row r="14" spans="1:19" ht="46.8" hidden="1">
      <c r="A14" s="56" t="s">
        <v>71</v>
      </c>
      <c r="B14" s="57" t="s">
        <v>72</v>
      </c>
      <c r="C14" s="58" t="s">
        <v>73</v>
      </c>
      <c r="D14" s="61" t="s">
        <v>80</v>
      </c>
      <c r="E14" s="61">
        <v>524</v>
      </c>
      <c r="F14" s="37" t="s">
        <v>24</v>
      </c>
      <c r="G14" s="60" t="s">
        <v>75</v>
      </c>
      <c r="H14" s="62" t="s">
        <v>55</v>
      </c>
      <c r="I14" s="27" t="s">
        <v>27</v>
      </c>
      <c r="J14" s="67"/>
      <c r="K14" s="68" t="s">
        <v>81</v>
      </c>
      <c r="L14" s="68" t="s">
        <v>81</v>
      </c>
      <c r="M14" s="59" t="s">
        <v>43</v>
      </c>
      <c r="N14" s="68"/>
      <c r="O14" s="68"/>
      <c r="P14" s="69"/>
      <c r="Q14" s="68"/>
      <c r="R14" s="68"/>
      <c r="S14" s="69"/>
    </row>
    <row r="15" spans="1:19" ht="46.8" hidden="1">
      <c r="A15" s="56" t="s">
        <v>71</v>
      </c>
      <c r="B15" s="70" t="s">
        <v>82</v>
      </c>
      <c r="C15" s="70" t="s">
        <v>83</v>
      </c>
      <c r="D15" s="72" t="s">
        <v>84</v>
      </c>
      <c r="E15" s="61">
        <v>626</v>
      </c>
      <c r="F15" s="37" t="s">
        <v>24</v>
      </c>
      <c r="G15" s="72" t="s">
        <v>63</v>
      </c>
      <c r="H15" s="73" t="s">
        <v>55</v>
      </c>
      <c r="I15" s="27" t="s">
        <v>27</v>
      </c>
      <c r="J15" s="18"/>
      <c r="K15" s="18"/>
      <c r="L15" s="19" t="s">
        <v>85</v>
      </c>
      <c r="M15" s="71" t="s">
        <v>43</v>
      </c>
      <c r="N15" s="19"/>
      <c r="O15" s="19"/>
      <c r="P15" s="23"/>
      <c r="Q15" s="19"/>
      <c r="R15" s="19"/>
      <c r="S15" s="23"/>
    </row>
    <row r="16" spans="1:19" ht="31.2" hidden="1">
      <c r="A16" s="56" t="s">
        <v>71</v>
      </c>
      <c r="B16" s="70" t="s">
        <v>82</v>
      </c>
      <c r="C16" s="74" t="s">
        <v>86</v>
      </c>
      <c r="D16" s="61" t="s">
        <v>87</v>
      </c>
      <c r="E16" s="61">
        <v>109</v>
      </c>
      <c r="F16" s="37" t="s">
        <v>24</v>
      </c>
      <c r="G16" s="61" t="s">
        <v>88</v>
      </c>
      <c r="H16" s="17" t="s">
        <v>55</v>
      </c>
      <c r="I16" s="27" t="s">
        <v>27</v>
      </c>
      <c r="J16" s="66"/>
      <c r="K16" s="18" t="s">
        <v>89</v>
      </c>
      <c r="L16" s="19"/>
      <c r="M16" s="75"/>
      <c r="N16" s="66"/>
      <c r="O16" s="66"/>
      <c r="P16" s="76"/>
      <c r="Q16" s="19"/>
      <c r="R16" s="19"/>
      <c r="S16" s="23"/>
    </row>
    <row r="17" spans="1:19" ht="62.4" hidden="1">
      <c r="A17" s="56" t="s">
        <v>71</v>
      </c>
      <c r="B17" s="70" t="s">
        <v>90</v>
      </c>
      <c r="C17" s="70" t="s">
        <v>91</v>
      </c>
      <c r="D17" s="77" t="s">
        <v>92</v>
      </c>
      <c r="E17" s="61"/>
      <c r="F17" s="37" t="s">
        <v>24</v>
      </c>
      <c r="G17" s="72"/>
      <c r="H17" s="73" t="s">
        <v>41</v>
      </c>
      <c r="I17" s="27" t="s">
        <v>41</v>
      </c>
      <c r="J17" s="18"/>
      <c r="K17" s="18"/>
      <c r="L17" s="19"/>
      <c r="M17" s="75" t="s">
        <v>50</v>
      </c>
      <c r="N17" s="19"/>
      <c r="O17" s="19"/>
      <c r="P17" s="23"/>
      <c r="Q17" s="19"/>
      <c r="R17" s="19"/>
      <c r="S17" s="23"/>
    </row>
    <row r="18" spans="1:19" ht="150" hidden="1">
      <c r="A18" s="56" t="s">
        <v>71</v>
      </c>
      <c r="B18" s="56" t="s">
        <v>90</v>
      </c>
      <c r="C18" s="56" t="s">
        <v>91</v>
      </c>
      <c r="D18" s="78" t="s">
        <v>93</v>
      </c>
      <c r="E18" s="61"/>
      <c r="F18" s="37" t="s">
        <v>24</v>
      </c>
      <c r="G18" s="60" t="s">
        <v>94</v>
      </c>
      <c r="H18" s="73" t="s">
        <v>41</v>
      </c>
      <c r="I18" s="27" t="s">
        <v>41</v>
      </c>
      <c r="J18" s="28" t="s">
        <v>95</v>
      </c>
      <c r="K18" s="28"/>
      <c r="L18" s="29"/>
      <c r="M18" s="75" t="s">
        <v>50</v>
      </c>
      <c r="N18" s="29"/>
      <c r="O18" s="29"/>
      <c r="P18" s="31"/>
      <c r="Q18" s="29"/>
      <c r="R18" s="29"/>
      <c r="S18" s="31"/>
    </row>
    <row r="19" spans="1:19" ht="120" hidden="1">
      <c r="A19" s="79" t="s">
        <v>96</v>
      </c>
      <c r="B19" s="79" t="s">
        <v>97</v>
      </c>
      <c r="C19" s="80" t="s">
        <v>98</v>
      </c>
      <c r="D19" s="17" t="s">
        <v>99</v>
      </c>
      <c r="E19" s="17"/>
      <c r="F19" s="37" t="s">
        <v>24</v>
      </c>
      <c r="G19" s="73" t="s">
        <v>63</v>
      </c>
      <c r="H19" s="73" t="s">
        <v>41</v>
      </c>
      <c r="I19" s="73" t="s">
        <v>27</v>
      </c>
      <c r="J19" s="66" t="s">
        <v>100</v>
      </c>
      <c r="K19" s="19" t="s">
        <v>101</v>
      </c>
      <c r="L19" s="19" t="s">
        <v>102</v>
      </c>
      <c r="M19" s="34"/>
      <c r="N19" s="66"/>
      <c r="O19" s="66"/>
      <c r="P19" s="76"/>
      <c r="Q19" s="19"/>
      <c r="R19" s="19"/>
      <c r="S19" s="23"/>
    </row>
    <row r="20" spans="1:19" ht="105" hidden="1">
      <c r="A20" s="79" t="s">
        <v>96</v>
      </c>
      <c r="B20" s="79" t="s">
        <v>103</v>
      </c>
      <c r="C20" s="80" t="s">
        <v>104</v>
      </c>
      <c r="D20" s="16" t="s">
        <v>105</v>
      </c>
      <c r="E20" s="17"/>
      <c r="F20" s="37" t="s">
        <v>24</v>
      </c>
      <c r="G20" s="73" t="s">
        <v>63</v>
      </c>
      <c r="H20" s="73" t="s">
        <v>41</v>
      </c>
      <c r="I20" s="73" t="s">
        <v>27</v>
      </c>
      <c r="J20" s="66" t="s">
        <v>106</v>
      </c>
      <c r="K20" s="19" t="s">
        <v>107</v>
      </c>
      <c r="L20" s="19" t="s">
        <v>101</v>
      </c>
      <c r="M20" s="34"/>
      <c r="N20" s="18" t="s">
        <v>108</v>
      </c>
      <c r="O20" s="66"/>
      <c r="P20" s="76"/>
      <c r="Q20" s="21">
        <v>1</v>
      </c>
      <c r="R20" s="21"/>
      <c r="S20" s="22"/>
    </row>
    <row r="21" spans="1:19" ht="62.4" hidden="1">
      <c r="A21" s="79" t="s">
        <v>96</v>
      </c>
      <c r="B21" s="79" t="s">
        <v>109</v>
      </c>
      <c r="C21" s="81" t="s">
        <v>110</v>
      </c>
      <c r="D21" s="16" t="s">
        <v>111</v>
      </c>
      <c r="E21" s="16"/>
      <c r="F21" s="37" t="s">
        <v>24</v>
      </c>
      <c r="G21" s="82" t="s">
        <v>63</v>
      </c>
      <c r="H21" s="82" t="s">
        <v>41</v>
      </c>
      <c r="I21" s="73" t="s">
        <v>27</v>
      </c>
      <c r="J21" s="83" t="s">
        <v>112</v>
      </c>
      <c r="K21" s="18" t="s">
        <v>113</v>
      </c>
      <c r="L21" s="19" t="s">
        <v>114</v>
      </c>
      <c r="M21" s="34"/>
      <c r="N21" s="19"/>
      <c r="O21" s="19"/>
      <c r="P21" s="23"/>
      <c r="Q21" s="84" t="s">
        <v>70</v>
      </c>
      <c r="R21" s="19"/>
      <c r="S21" s="23"/>
    </row>
    <row r="22" spans="1:19" ht="60" hidden="1">
      <c r="A22" s="79" t="s">
        <v>96</v>
      </c>
      <c r="B22" s="79" t="s">
        <v>109</v>
      </c>
      <c r="C22" s="80" t="s">
        <v>110</v>
      </c>
      <c r="D22" s="85" t="s">
        <v>115</v>
      </c>
      <c r="E22" s="85">
        <v>339</v>
      </c>
      <c r="F22" s="37" t="s">
        <v>24</v>
      </c>
      <c r="G22" s="85" t="s">
        <v>88</v>
      </c>
      <c r="H22" s="85" t="s">
        <v>55</v>
      </c>
      <c r="I22" s="73" t="s">
        <v>27</v>
      </c>
      <c r="J22" s="18" t="s">
        <v>116</v>
      </c>
      <c r="K22" s="18" t="s">
        <v>117</v>
      </c>
      <c r="L22" s="19" t="s">
        <v>114</v>
      </c>
      <c r="M22" s="34" t="s">
        <v>43</v>
      </c>
      <c r="N22" s="21">
        <v>0.33</v>
      </c>
      <c r="O22" s="19"/>
      <c r="P22" s="23"/>
      <c r="Q22" s="86">
        <v>0.44</v>
      </c>
      <c r="R22" s="86"/>
      <c r="S22" s="87"/>
    </row>
    <row r="23" spans="1:19" ht="62.4">
      <c r="A23" s="79" t="s">
        <v>96</v>
      </c>
      <c r="B23" s="79" t="s">
        <v>109</v>
      </c>
      <c r="C23" s="81" t="s">
        <v>110</v>
      </c>
      <c r="D23" s="85" t="s">
        <v>118</v>
      </c>
      <c r="E23" s="88" t="s">
        <v>48</v>
      </c>
      <c r="F23" s="88" t="s">
        <v>48</v>
      </c>
      <c r="G23" s="89" t="s">
        <v>119</v>
      </c>
      <c r="H23" s="73" t="s">
        <v>41</v>
      </c>
      <c r="I23" s="73" t="s">
        <v>27</v>
      </c>
      <c r="J23" s="83" t="s">
        <v>120</v>
      </c>
      <c r="K23" s="18" t="s">
        <v>117</v>
      </c>
      <c r="L23" s="19" t="s">
        <v>114</v>
      </c>
      <c r="M23" s="34" t="s">
        <v>50</v>
      </c>
      <c r="N23" s="19"/>
      <c r="O23" s="19"/>
      <c r="P23" s="23"/>
      <c r="Q23" s="19"/>
      <c r="R23" s="19"/>
      <c r="S23" s="23"/>
    </row>
    <row r="24" spans="1:19" ht="46.8" hidden="1">
      <c r="A24" s="79" t="s">
        <v>96</v>
      </c>
      <c r="B24" s="80" t="s">
        <v>121</v>
      </c>
      <c r="C24" s="80" t="s">
        <v>122</v>
      </c>
      <c r="D24" s="85" t="s">
        <v>123</v>
      </c>
      <c r="E24" s="88">
        <v>334</v>
      </c>
      <c r="F24" s="89" t="s">
        <v>24</v>
      </c>
      <c r="G24" s="89" t="s">
        <v>124</v>
      </c>
      <c r="H24" s="73" t="s">
        <v>63</v>
      </c>
      <c r="I24" s="73" t="s">
        <v>27</v>
      </c>
      <c r="J24" s="18" t="s">
        <v>125</v>
      </c>
      <c r="K24" s="18"/>
      <c r="L24" s="19"/>
      <c r="M24" s="34" t="s">
        <v>50</v>
      </c>
      <c r="N24" s="90">
        <v>0.89</v>
      </c>
      <c r="O24" s="91">
        <v>0.90100000000000002</v>
      </c>
      <c r="P24" s="92">
        <f>O24/N24</f>
        <v>1.0123595505617977</v>
      </c>
      <c r="Q24" s="21">
        <v>0.9</v>
      </c>
      <c r="R24" s="19"/>
      <c r="S24" s="23"/>
    </row>
    <row r="25" spans="1:19" ht="46.8" hidden="1">
      <c r="A25" s="79" t="s">
        <v>96</v>
      </c>
      <c r="B25" s="80" t="s">
        <v>121</v>
      </c>
      <c r="C25" s="80" t="s">
        <v>126</v>
      </c>
      <c r="D25" s="88" t="s">
        <v>127</v>
      </c>
      <c r="E25" s="88">
        <v>283</v>
      </c>
      <c r="F25" s="89" t="s">
        <v>24</v>
      </c>
      <c r="G25" s="89" t="s">
        <v>124</v>
      </c>
      <c r="H25" s="88" t="s">
        <v>55</v>
      </c>
      <c r="I25" s="73" t="s">
        <v>27</v>
      </c>
      <c r="J25" s="18" t="s">
        <v>128</v>
      </c>
      <c r="K25" s="18" t="s">
        <v>129</v>
      </c>
      <c r="L25" s="19" t="s">
        <v>114</v>
      </c>
      <c r="M25" s="34"/>
      <c r="N25" s="19">
        <v>4.5999999999999996</v>
      </c>
      <c r="O25" s="19">
        <v>4.67</v>
      </c>
      <c r="P25" s="92">
        <f>O25/N25</f>
        <v>1.0152173913043478</v>
      </c>
      <c r="Q25" s="19">
        <v>4.66</v>
      </c>
      <c r="R25" s="19">
        <v>4.63</v>
      </c>
      <c r="S25" s="92">
        <f>R25/Q25</f>
        <v>0.99356223175965663</v>
      </c>
    </row>
    <row r="26" spans="1:19" ht="93.6" hidden="1">
      <c r="A26" s="57" t="s">
        <v>130</v>
      </c>
      <c r="B26" s="57" t="s">
        <v>131</v>
      </c>
      <c r="C26" s="93" t="s">
        <v>132</v>
      </c>
      <c r="D26" s="26" t="s">
        <v>133</v>
      </c>
      <c r="E26" s="17"/>
      <c r="F26" s="62" t="s">
        <v>41</v>
      </c>
      <c r="G26" s="95" t="s">
        <v>134</v>
      </c>
      <c r="H26" s="73" t="s">
        <v>41</v>
      </c>
      <c r="I26" s="27" t="s">
        <v>41</v>
      </c>
      <c r="J26" s="63"/>
      <c r="K26" s="29"/>
      <c r="L26" s="29" t="s">
        <v>135</v>
      </c>
      <c r="M26" s="94"/>
      <c r="N26" s="63"/>
      <c r="O26" s="63"/>
      <c r="P26" s="96"/>
      <c r="Q26" s="29"/>
      <c r="R26" s="29"/>
      <c r="S26" s="31"/>
    </row>
    <row r="27" spans="1:19" ht="93.6" hidden="1">
      <c r="A27" s="79" t="s">
        <v>130</v>
      </c>
      <c r="B27" s="79" t="s">
        <v>131</v>
      </c>
      <c r="C27" s="80" t="s">
        <v>136</v>
      </c>
      <c r="D27" s="16" t="s">
        <v>137</v>
      </c>
      <c r="E27" s="17"/>
      <c r="F27" s="62" t="s">
        <v>41</v>
      </c>
      <c r="G27" s="82" t="s">
        <v>138</v>
      </c>
      <c r="H27" s="73" t="s">
        <v>41</v>
      </c>
      <c r="I27" s="27" t="s">
        <v>41</v>
      </c>
      <c r="J27" s="18" t="s">
        <v>139</v>
      </c>
      <c r="K27" s="19" t="s">
        <v>140</v>
      </c>
      <c r="L27" s="19" t="s">
        <v>141</v>
      </c>
      <c r="M27" s="34" t="s">
        <v>50</v>
      </c>
      <c r="N27" s="66"/>
      <c r="O27" s="66"/>
      <c r="P27" s="76"/>
      <c r="Q27" s="19"/>
      <c r="R27" s="19"/>
      <c r="S27" s="23"/>
    </row>
    <row r="28" spans="1:19" ht="62.4" hidden="1">
      <c r="A28" s="79" t="s">
        <v>130</v>
      </c>
      <c r="B28" s="79" t="s">
        <v>142</v>
      </c>
      <c r="C28" s="80" t="s">
        <v>143</v>
      </c>
      <c r="D28" s="16" t="s">
        <v>144</v>
      </c>
      <c r="E28" s="17"/>
      <c r="F28" s="62" t="s">
        <v>41</v>
      </c>
      <c r="G28" s="73" t="s">
        <v>63</v>
      </c>
      <c r="H28" s="73" t="s">
        <v>41</v>
      </c>
      <c r="I28" s="27" t="s">
        <v>41</v>
      </c>
      <c r="J28" s="18" t="s">
        <v>144</v>
      </c>
      <c r="K28" s="18" t="s">
        <v>145</v>
      </c>
      <c r="L28" s="19" t="s">
        <v>146</v>
      </c>
      <c r="M28" s="34"/>
      <c r="N28" s="19"/>
      <c r="O28" s="19"/>
      <c r="P28" s="23"/>
      <c r="Q28" s="19">
        <v>23</v>
      </c>
      <c r="R28" s="19"/>
      <c r="S28" s="23"/>
    </row>
    <row r="29" spans="1:19" ht="62.4" hidden="1">
      <c r="A29" s="79" t="s">
        <v>130</v>
      </c>
      <c r="B29" s="98" t="s">
        <v>147</v>
      </c>
      <c r="C29" s="80" t="s">
        <v>148</v>
      </c>
      <c r="D29" s="16" t="s">
        <v>149</v>
      </c>
      <c r="E29" s="17">
        <v>325</v>
      </c>
      <c r="F29" s="17" t="s">
        <v>24</v>
      </c>
      <c r="G29" s="16" t="s">
        <v>88</v>
      </c>
      <c r="H29" s="17" t="s">
        <v>55</v>
      </c>
      <c r="I29" s="27" t="s">
        <v>27</v>
      </c>
      <c r="J29" s="18"/>
      <c r="K29" s="18" t="s">
        <v>145</v>
      </c>
      <c r="L29" s="19" t="s">
        <v>146</v>
      </c>
      <c r="M29" s="34"/>
      <c r="N29" s="19">
        <v>12</v>
      </c>
      <c r="O29" s="19">
        <v>12</v>
      </c>
      <c r="P29" s="87">
        <f>O29/N29</f>
        <v>1</v>
      </c>
      <c r="Q29" s="19">
        <v>7</v>
      </c>
      <c r="R29" s="19"/>
      <c r="S29" s="87">
        <f>R29/Q29</f>
        <v>0</v>
      </c>
    </row>
    <row r="30" spans="1:19" ht="62.4" hidden="1">
      <c r="A30" s="79" t="s">
        <v>130</v>
      </c>
      <c r="B30" s="98" t="s">
        <v>147</v>
      </c>
      <c r="C30" s="80" t="s">
        <v>148</v>
      </c>
      <c r="D30" s="16" t="s">
        <v>150</v>
      </c>
      <c r="E30" s="17">
        <v>323</v>
      </c>
      <c r="F30" s="17" t="s">
        <v>24</v>
      </c>
      <c r="G30" s="16" t="s">
        <v>88</v>
      </c>
      <c r="H30" s="17" t="s">
        <v>55</v>
      </c>
      <c r="I30" s="27" t="s">
        <v>27</v>
      </c>
      <c r="J30" s="18"/>
      <c r="K30" s="18" t="s">
        <v>145</v>
      </c>
      <c r="L30" s="19" t="s">
        <v>146</v>
      </c>
      <c r="M30" s="34"/>
      <c r="N30" s="99">
        <v>7</v>
      </c>
      <c r="O30" s="99">
        <v>7</v>
      </c>
      <c r="P30" s="87">
        <f>O30/N30</f>
        <v>1</v>
      </c>
      <c r="Q30" s="99">
        <v>14</v>
      </c>
      <c r="R30" s="99">
        <v>2</v>
      </c>
      <c r="S30" s="87">
        <f>R30/Q30</f>
        <v>0.14285714285714285</v>
      </c>
    </row>
    <row r="31" spans="1:19" ht="75" hidden="1">
      <c r="A31" s="33" t="s">
        <v>151</v>
      </c>
      <c r="B31" s="48" t="s">
        <v>152</v>
      </c>
      <c r="C31" s="100" t="s">
        <v>153</v>
      </c>
      <c r="D31" s="35" t="s">
        <v>154</v>
      </c>
      <c r="E31" s="36">
        <v>148</v>
      </c>
      <c r="F31" s="17" t="s">
        <v>24</v>
      </c>
      <c r="G31" s="35" t="s">
        <v>155</v>
      </c>
      <c r="H31" s="36" t="s">
        <v>55</v>
      </c>
      <c r="I31" s="36" t="s">
        <v>27</v>
      </c>
      <c r="J31" s="42" t="s">
        <v>156</v>
      </c>
      <c r="K31" s="40" t="s">
        <v>157</v>
      </c>
      <c r="L31" s="40" t="s">
        <v>157</v>
      </c>
      <c r="M31" s="101" t="s">
        <v>43</v>
      </c>
      <c r="N31" s="102">
        <v>0.05</v>
      </c>
      <c r="O31" s="110">
        <v>6.7799999999999999E-2</v>
      </c>
      <c r="P31" s="139">
        <f>O31/N31</f>
        <v>1.3559999999999999</v>
      </c>
      <c r="Q31" s="55">
        <v>0.08</v>
      </c>
      <c r="R31" s="55">
        <v>8.1699999999999995E-2</v>
      </c>
      <c r="S31" s="139">
        <f>R31/Q31</f>
        <v>1.02125</v>
      </c>
    </row>
    <row r="32" spans="1:19" ht="46.8" hidden="1">
      <c r="A32" s="33" t="s">
        <v>151</v>
      </c>
      <c r="B32" s="48" t="s">
        <v>158</v>
      </c>
      <c r="C32" s="100" t="s">
        <v>153</v>
      </c>
      <c r="D32" s="103" t="s">
        <v>159</v>
      </c>
      <c r="E32" s="41"/>
      <c r="F32" s="17" t="s">
        <v>24</v>
      </c>
      <c r="G32" s="104" t="s">
        <v>63</v>
      </c>
      <c r="H32" s="73" t="s">
        <v>41</v>
      </c>
      <c r="I32" s="36" t="s">
        <v>27</v>
      </c>
      <c r="J32" s="42"/>
      <c r="K32" s="40" t="s">
        <v>157</v>
      </c>
      <c r="L32" s="40" t="s">
        <v>157</v>
      </c>
      <c r="M32" s="101"/>
      <c r="N32" s="55" t="s">
        <v>70</v>
      </c>
      <c r="O32" s="102">
        <v>0.57999999999999996</v>
      </c>
      <c r="P32" s="43"/>
      <c r="Q32" s="55">
        <v>0.57999999999999996</v>
      </c>
      <c r="R32" s="40"/>
      <c r="S32" s="44"/>
    </row>
    <row r="33" spans="1:19" ht="105" hidden="1">
      <c r="A33" s="33" t="s">
        <v>151</v>
      </c>
      <c r="B33" s="48" t="s">
        <v>158</v>
      </c>
      <c r="C33" s="100" t="s">
        <v>153</v>
      </c>
      <c r="D33" s="35" t="s">
        <v>285</v>
      </c>
      <c r="E33" s="36"/>
      <c r="F33" s="105" t="s">
        <v>24</v>
      </c>
      <c r="G33" s="106" t="s">
        <v>160</v>
      </c>
      <c r="H33" s="73" t="s">
        <v>41</v>
      </c>
      <c r="I33" s="36" t="s">
        <v>27</v>
      </c>
      <c r="J33" s="39"/>
      <c r="K33" s="40" t="s">
        <v>157</v>
      </c>
      <c r="L33" s="40" t="s">
        <v>157</v>
      </c>
      <c r="M33" s="101" t="s">
        <v>161</v>
      </c>
      <c r="N33" s="42" t="s">
        <v>70</v>
      </c>
      <c r="O33" s="42">
        <v>191</v>
      </c>
      <c r="P33" s="43"/>
      <c r="Q33" s="40">
        <v>116</v>
      </c>
      <c r="R33" s="40"/>
      <c r="S33" s="44"/>
    </row>
    <row r="34" spans="1:19" ht="120" hidden="1">
      <c r="A34" s="33" t="s">
        <v>151</v>
      </c>
      <c r="B34" s="48" t="s">
        <v>158</v>
      </c>
      <c r="C34" s="100" t="s">
        <v>153</v>
      </c>
      <c r="D34" s="35" t="s">
        <v>162</v>
      </c>
      <c r="E34" s="36"/>
      <c r="F34" s="105" t="s">
        <v>24</v>
      </c>
      <c r="G34" s="106" t="s">
        <v>163</v>
      </c>
      <c r="H34" s="73" t="s">
        <v>41</v>
      </c>
      <c r="I34" s="36" t="s">
        <v>27</v>
      </c>
      <c r="J34" s="39"/>
      <c r="K34" s="40" t="s">
        <v>157</v>
      </c>
      <c r="L34" s="40" t="s">
        <v>157</v>
      </c>
      <c r="M34" s="101"/>
      <c r="N34" s="42" t="s">
        <v>70</v>
      </c>
      <c r="O34" s="42">
        <v>33</v>
      </c>
      <c r="P34" s="107"/>
      <c r="Q34" s="108">
        <v>34</v>
      </c>
      <c r="R34" s="108"/>
      <c r="S34" s="109"/>
    </row>
    <row r="35" spans="1:19" ht="46.8" hidden="1">
      <c r="A35" s="33" t="s">
        <v>151</v>
      </c>
      <c r="B35" s="48" t="s">
        <v>158</v>
      </c>
      <c r="C35" s="100" t="s">
        <v>153</v>
      </c>
      <c r="D35" s="41" t="s">
        <v>164</v>
      </c>
      <c r="E35" s="41"/>
      <c r="F35" s="105" t="s">
        <v>24</v>
      </c>
      <c r="G35" s="104" t="s">
        <v>63</v>
      </c>
      <c r="H35" s="73" t="s">
        <v>41</v>
      </c>
      <c r="I35" s="36" t="s">
        <v>27</v>
      </c>
      <c r="J35" s="42"/>
      <c r="K35" s="40" t="s">
        <v>157</v>
      </c>
      <c r="L35" s="40" t="s">
        <v>157</v>
      </c>
      <c r="M35" s="101" t="s">
        <v>161</v>
      </c>
      <c r="N35" s="42" t="s">
        <v>70</v>
      </c>
      <c r="O35" s="111">
        <v>0.44</v>
      </c>
      <c r="P35" s="112"/>
      <c r="Q35" s="55">
        <v>0.44</v>
      </c>
      <c r="R35" s="40"/>
      <c r="S35" s="44"/>
    </row>
    <row r="36" spans="1:19" ht="124.8" hidden="1">
      <c r="A36" s="80" t="s">
        <v>165</v>
      </c>
      <c r="B36" s="98" t="s">
        <v>166</v>
      </c>
      <c r="C36" s="113" t="s">
        <v>167</v>
      </c>
      <c r="D36" s="16" t="s">
        <v>168</v>
      </c>
      <c r="E36" s="17"/>
      <c r="F36" s="73" t="s">
        <v>41</v>
      </c>
      <c r="G36" s="82" t="s">
        <v>169</v>
      </c>
      <c r="H36" s="73" t="s">
        <v>41</v>
      </c>
      <c r="I36" s="27" t="s">
        <v>27</v>
      </c>
      <c r="J36" s="114" t="s">
        <v>170</v>
      </c>
      <c r="K36" s="19"/>
      <c r="L36" s="19"/>
      <c r="M36" s="34"/>
      <c r="N36" s="66"/>
      <c r="O36" s="66"/>
      <c r="P36" s="76"/>
      <c r="Q36" s="19"/>
      <c r="R36" s="19"/>
      <c r="S36" s="23"/>
    </row>
    <row r="37" spans="1:19" ht="60" hidden="1">
      <c r="A37" s="80" t="s">
        <v>165</v>
      </c>
      <c r="B37" s="98" t="s">
        <v>166</v>
      </c>
      <c r="C37" s="80" t="s">
        <v>171</v>
      </c>
      <c r="D37" s="17" t="s">
        <v>172</v>
      </c>
      <c r="E37" s="17"/>
      <c r="F37" s="73" t="s">
        <v>24</v>
      </c>
      <c r="G37" s="82" t="s">
        <v>173</v>
      </c>
      <c r="H37" s="73" t="s">
        <v>41</v>
      </c>
      <c r="I37" s="27" t="s">
        <v>27</v>
      </c>
      <c r="J37" s="66" t="s">
        <v>174</v>
      </c>
      <c r="K37" s="19"/>
      <c r="L37" s="19"/>
      <c r="M37" s="34"/>
      <c r="N37" s="66"/>
      <c r="O37" s="66"/>
      <c r="P37" s="76"/>
      <c r="Q37" s="19"/>
      <c r="R37" s="19"/>
      <c r="S37" s="23"/>
    </row>
    <row r="38" spans="1:19" ht="93.6" hidden="1">
      <c r="A38" s="80" t="s">
        <v>165</v>
      </c>
      <c r="B38" s="98" t="s">
        <v>166</v>
      </c>
      <c r="C38" s="80" t="s">
        <v>171</v>
      </c>
      <c r="D38" s="115" t="s">
        <v>175</v>
      </c>
      <c r="E38" s="116"/>
      <c r="F38" s="73" t="s">
        <v>24</v>
      </c>
      <c r="G38" s="73" t="s">
        <v>176</v>
      </c>
      <c r="H38" s="73" t="s">
        <v>41</v>
      </c>
      <c r="I38" s="27" t="s">
        <v>27</v>
      </c>
      <c r="J38" s="18"/>
      <c r="K38" s="18"/>
      <c r="L38" s="19"/>
      <c r="M38" s="34" t="s">
        <v>50</v>
      </c>
      <c r="N38" s="19"/>
      <c r="O38" s="19"/>
      <c r="P38" s="23"/>
      <c r="Q38" s="19"/>
      <c r="R38" s="19"/>
      <c r="S38" s="23"/>
    </row>
    <row r="39" spans="1:19" ht="46.95" hidden="1" customHeight="1">
      <c r="A39" s="93" t="s">
        <v>177</v>
      </c>
      <c r="B39" s="117" t="s">
        <v>178</v>
      </c>
      <c r="C39" s="93" t="s">
        <v>179</v>
      </c>
      <c r="D39" s="27" t="s">
        <v>180</v>
      </c>
      <c r="E39" s="17">
        <v>318</v>
      </c>
      <c r="F39" s="27" t="s">
        <v>24</v>
      </c>
      <c r="G39" s="27" t="s">
        <v>63</v>
      </c>
      <c r="H39" s="16" t="s">
        <v>55</v>
      </c>
      <c r="I39" s="27" t="s">
        <v>27</v>
      </c>
      <c r="J39" s="63" t="s">
        <v>286</v>
      </c>
      <c r="K39" s="19" t="s">
        <v>184</v>
      </c>
      <c r="L39" s="19" t="s">
        <v>184</v>
      </c>
      <c r="M39" s="94" t="s">
        <v>50</v>
      </c>
      <c r="N39" s="120">
        <v>0.85</v>
      </c>
      <c r="O39" s="141">
        <v>0.86160000000000003</v>
      </c>
      <c r="P39" s="140">
        <f>O39/N39</f>
        <v>1.0136470588235296</v>
      </c>
      <c r="Q39" s="120">
        <v>0.85</v>
      </c>
      <c r="R39" s="29"/>
      <c r="S39" s="140">
        <f>R39/Q39</f>
        <v>0</v>
      </c>
    </row>
    <row r="40" spans="1:19" ht="62.4" hidden="1">
      <c r="A40" s="93" t="s">
        <v>177</v>
      </c>
      <c r="B40" s="119" t="s">
        <v>178</v>
      </c>
      <c r="C40" s="113" t="s">
        <v>181</v>
      </c>
      <c r="D40" s="16" t="s">
        <v>182</v>
      </c>
      <c r="E40" s="17">
        <v>532</v>
      </c>
      <c r="F40" s="27" t="s">
        <v>24</v>
      </c>
      <c r="G40" s="16"/>
      <c r="H40" s="16" t="s">
        <v>55</v>
      </c>
      <c r="I40" s="27" t="s">
        <v>27</v>
      </c>
      <c r="J40" s="66" t="s">
        <v>183</v>
      </c>
      <c r="K40" s="19" t="s">
        <v>184</v>
      </c>
      <c r="L40" s="19" t="s">
        <v>184</v>
      </c>
      <c r="M40" s="94" t="s">
        <v>50</v>
      </c>
      <c r="N40" s="64">
        <v>1</v>
      </c>
      <c r="O40" s="65">
        <v>1.3392999999999999</v>
      </c>
      <c r="P40" s="140">
        <f>O40/N40</f>
        <v>1.3392999999999999</v>
      </c>
      <c r="Q40" s="64">
        <v>1</v>
      </c>
      <c r="R40" s="65">
        <v>1.099</v>
      </c>
      <c r="S40" s="140">
        <f>R40/Q40</f>
        <v>1.099</v>
      </c>
    </row>
    <row r="41" spans="1:19" ht="105" hidden="1">
      <c r="A41" s="93" t="s">
        <v>177</v>
      </c>
      <c r="B41" s="98" t="s">
        <v>185</v>
      </c>
      <c r="C41" s="80" t="s">
        <v>181</v>
      </c>
      <c r="D41" s="16" t="s">
        <v>186</v>
      </c>
      <c r="E41" s="17">
        <v>533</v>
      </c>
      <c r="F41" s="27" t="s">
        <v>24</v>
      </c>
      <c r="G41" s="16"/>
      <c r="H41" s="16" t="s">
        <v>55</v>
      </c>
      <c r="I41" s="27" t="s">
        <v>27</v>
      </c>
      <c r="J41" s="66" t="s">
        <v>187</v>
      </c>
      <c r="K41" s="19" t="s">
        <v>184</v>
      </c>
      <c r="L41" s="19" t="s">
        <v>184</v>
      </c>
      <c r="M41" s="34" t="s">
        <v>43</v>
      </c>
      <c r="N41" s="64">
        <v>1</v>
      </c>
      <c r="O41" s="65">
        <v>1.5142</v>
      </c>
      <c r="P41" s="140">
        <f t="shared" ref="P41:P44" si="0">O41/N41</f>
        <v>1.5142</v>
      </c>
      <c r="Q41" s="64">
        <v>1</v>
      </c>
      <c r="R41" s="65">
        <v>0.82269999999999999</v>
      </c>
      <c r="S41" s="140">
        <f t="shared" ref="S41:S44" si="1">R41/Q41</f>
        <v>0.82269999999999999</v>
      </c>
    </row>
    <row r="42" spans="1:19" ht="75" hidden="1">
      <c r="A42" s="93" t="s">
        <v>177</v>
      </c>
      <c r="B42" s="98" t="s">
        <v>185</v>
      </c>
      <c r="C42" s="80" t="s">
        <v>181</v>
      </c>
      <c r="D42" s="16" t="s">
        <v>188</v>
      </c>
      <c r="E42" s="17">
        <v>534</v>
      </c>
      <c r="F42" s="27" t="s">
        <v>24</v>
      </c>
      <c r="G42" s="16"/>
      <c r="H42" s="16" t="s">
        <v>55</v>
      </c>
      <c r="I42" s="27" t="s">
        <v>27</v>
      </c>
      <c r="J42" s="18" t="s">
        <v>189</v>
      </c>
      <c r="K42" s="19" t="s">
        <v>184</v>
      </c>
      <c r="L42" s="19" t="s">
        <v>184</v>
      </c>
      <c r="M42" s="34" t="s">
        <v>43</v>
      </c>
      <c r="N42" s="64">
        <v>1</v>
      </c>
      <c r="O42" s="65">
        <v>1.3431999999999999</v>
      </c>
      <c r="P42" s="140">
        <f t="shared" si="0"/>
        <v>1.3431999999999999</v>
      </c>
      <c r="Q42" s="64">
        <v>1</v>
      </c>
      <c r="R42" s="65">
        <v>1.3244</v>
      </c>
      <c r="S42" s="140">
        <f t="shared" si="1"/>
        <v>1.3244</v>
      </c>
    </row>
    <row r="43" spans="1:19" ht="75" hidden="1">
      <c r="A43" s="93" t="s">
        <v>177</v>
      </c>
      <c r="B43" s="98" t="s">
        <v>185</v>
      </c>
      <c r="C43" s="80" t="s">
        <v>181</v>
      </c>
      <c r="D43" s="16" t="s">
        <v>190</v>
      </c>
      <c r="E43" s="17">
        <v>535</v>
      </c>
      <c r="F43" s="27" t="s">
        <v>24</v>
      </c>
      <c r="G43" s="16"/>
      <c r="H43" s="16" t="s">
        <v>55</v>
      </c>
      <c r="I43" s="27" t="s">
        <v>27</v>
      </c>
      <c r="J43" s="18" t="s">
        <v>191</v>
      </c>
      <c r="K43" s="19" t="s">
        <v>184</v>
      </c>
      <c r="L43" s="19" t="s">
        <v>184</v>
      </c>
      <c r="M43" s="34" t="s">
        <v>43</v>
      </c>
      <c r="N43" s="64">
        <v>1</v>
      </c>
      <c r="O43" s="65">
        <v>1.6912</v>
      </c>
      <c r="P43" s="140">
        <f t="shared" si="0"/>
        <v>1.6912</v>
      </c>
      <c r="Q43" s="64">
        <v>1</v>
      </c>
      <c r="R43" s="65">
        <v>1.1175999999999999</v>
      </c>
      <c r="S43" s="140">
        <f t="shared" si="1"/>
        <v>1.1175999999999999</v>
      </c>
    </row>
    <row r="44" spans="1:19" ht="90" hidden="1">
      <c r="A44" s="93" t="s">
        <v>177</v>
      </c>
      <c r="B44" s="98" t="s">
        <v>185</v>
      </c>
      <c r="C44" s="80" t="s">
        <v>181</v>
      </c>
      <c r="D44" s="16" t="s">
        <v>192</v>
      </c>
      <c r="E44" s="17">
        <v>536</v>
      </c>
      <c r="F44" s="27" t="s">
        <v>24</v>
      </c>
      <c r="G44" s="16"/>
      <c r="H44" s="16" t="s">
        <v>55</v>
      </c>
      <c r="I44" s="27" t="s">
        <v>27</v>
      </c>
      <c r="J44" s="18" t="s">
        <v>193</v>
      </c>
      <c r="K44" s="19" t="s">
        <v>184</v>
      </c>
      <c r="L44" s="19" t="s">
        <v>184</v>
      </c>
      <c r="M44" s="34" t="s">
        <v>43</v>
      </c>
      <c r="N44" s="64">
        <v>1</v>
      </c>
      <c r="O44" s="120">
        <v>1.7237</v>
      </c>
      <c r="P44" s="140">
        <f t="shared" si="0"/>
        <v>1.7237</v>
      </c>
      <c r="Q44" s="64">
        <v>1</v>
      </c>
      <c r="R44" s="65">
        <v>0.72</v>
      </c>
      <c r="S44" s="140">
        <f t="shared" si="1"/>
        <v>0.72</v>
      </c>
    </row>
    <row r="45" spans="1:19" ht="88.8" hidden="1" customHeight="1">
      <c r="A45" s="93" t="s">
        <v>194</v>
      </c>
      <c r="B45" s="117" t="s">
        <v>195</v>
      </c>
      <c r="C45" s="93" t="s">
        <v>196</v>
      </c>
      <c r="D45" s="26" t="s">
        <v>197</v>
      </c>
      <c r="E45" s="17"/>
      <c r="F45" s="62" t="s">
        <v>24</v>
      </c>
      <c r="G45" s="95" t="s">
        <v>63</v>
      </c>
      <c r="H45" s="73" t="s">
        <v>41</v>
      </c>
      <c r="I45" s="62" t="s">
        <v>27</v>
      </c>
      <c r="J45" s="63" t="s">
        <v>198</v>
      </c>
      <c r="K45" s="29"/>
      <c r="L45" s="29" t="s">
        <v>199</v>
      </c>
      <c r="M45" s="94"/>
      <c r="N45" s="63"/>
      <c r="O45" s="64">
        <v>1</v>
      </c>
      <c r="P45" s="96"/>
      <c r="Q45" s="29"/>
      <c r="R45" s="29"/>
      <c r="S45" s="31"/>
    </row>
    <row r="46" spans="1:19" ht="130.80000000000001" hidden="1" customHeight="1">
      <c r="A46" s="80" t="s">
        <v>194</v>
      </c>
      <c r="B46" s="98" t="s">
        <v>195</v>
      </c>
      <c r="C46" s="80" t="s">
        <v>196</v>
      </c>
      <c r="D46" s="17" t="s">
        <v>200</v>
      </c>
      <c r="E46" s="17">
        <v>597</v>
      </c>
      <c r="F46" s="73" t="s">
        <v>24</v>
      </c>
      <c r="G46" s="82" t="s">
        <v>63</v>
      </c>
      <c r="H46" s="73" t="s">
        <v>41</v>
      </c>
      <c r="I46" s="62" t="s">
        <v>27</v>
      </c>
      <c r="J46" s="66" t="s">
        <v>201</v>
      </c>
      <c r="K46" s="19"/>
      <c r="L46" s="19" t="s">
        <v>199</v>
      </c>
      <c r="M46" s="34"/>
      <c r="N46" s="66"/>
      <c r="O46" s="64">
        <v>1</v>
      </c>
      <c r="P46" s="76"/>
      <c r="Q46" s="19" t="s">
        <v>70</v>
      </c>
      <c r="R46" s="19"/>
      <c r="S46" s="23"/>
    </row>
    <row r="47" spans="1:19" ht="132.6" hidden="1" customHeight="1">
      <c r="A47" s="93" t="s">
        <v>194</v>
      </c>
      <c r="B47" s="117" t="s">
        <v>195</v>
      </c>
      <c r="C47" s="93" t="s">
        <v>202</v>
      </c>
      <c r="D47" s="17" t="s">
        <v>203</v>
      </c>
      <c r="E47" s="17">
        <v>500</v>
      </c>
      <c r="F47" s="73" t="s">
        <v>24</v>
      </c>
      <c r="G47" s="82" t="s">
        <v>204</v>
      </c>
      <c r="H47" s="17" t="s">
        <v>26</v>
      </c>
      <c r="I47" s="62" t="s">
        <v>27</v>
      </c>
      <c r="J47" s="63" t="s">
        <v>205</v>
      </c>
      <c r="K47" s="29" t="s">
        <v>206</v>
      </c>
      <c r="L47" s="29" t="s">
        <v>207</v>
      </c>
      <c r="M47" s="94"/>
      <c r="N47" s="120">
        <v>0.8</v>
      </c>
      <c r="O47" s="64">
        <v>1</v>
      </c>
      <c r="P47" s="121">
        <f>O47/N47</f>
        <v>1.25</v>
      </c>
      <c r="Q47" s="122">
        <v>0.85</v>
      </c>
      <c r="R47" s="122">
        <v>1</v>
      </c>
      <c r="S47" s="123">
        <f>R47/Q47</f>
        <v>1.1764705882352942</v>
      </c>
    </row>
    <row r="48" spans="1:19" ht="132.6" hidden="1" customHeight="1">
      <c r="A48" s="93" t="s">
        <v>194</v>
      </c>
      <c r="B48" s="117" t="s">
        <v>195</v>
      </c>
      <c r="C48" s="93" t="s">
        <v>202</v>
      </c>
      <c r="D48" s="17" t="s">
        <v>208</v>
      </c>
      <c r="E48" s="17"/>
      <c r="F48" s="73" t="s">
        <v>24</v>
      </c>
      <c r="G48" s="82" t="s">
        <v>204</v>
      </c>
      <c r="H48" s="17" t="s">
        <v>26</v>
      </c>
      <c r="I48" s="62" t="s">
        <v>27</v>
      </c>
      <c r="J48" s="63" t="s">
        <v>205</v>
      </c>
      <c r="K48" s="29" t="s">
        <v>206</v>
      </c>
      <c r="L48" s="29" t="s">
        <v>209</v>
      </c>
      <c r="M48" s="94"/>
      <c r="N48" s="120">
        <v>0.8</v>
      </c>
      <c r="O48" s="64">
        <v>1</v>
      </c>
      <c r="P48" s="121">
        <f>O48/N48</f>
        <v>1.25</v>
      </c>
      <c r="Q48" s="122">
        <v>0.85</v>
      </c>
      <c r="R48" s="124">
        <v>0.97899999999999998</v>
      </c>
      <c r="S48" s="123">
        <f>R48/Q48</f>
        <v>1.151764705882353</v>
      </c>
    </row>
    <row r="49" spans="1:19" ht="93.6" hidden="1">
      <c r="A49" s="80" t="s">
        <v>194</v>
      </c>
      <c r="B49" s="98" t="s">
        <v>195</v>
      </c>
      <c r="C49" s="80" t="s">
        <v>202</v>
      </c>
      <c r="D49" s="16" t="s">
        <v>210</v>
      </c>
      <c r="E49" s="17"/>
      <c r="F49" s="73" t="s">
        <v>24</v>
      </c>
      <c r="G49" s="82" t="s">
        <v>63</v>
      </c>
      <c r="H49" s="73" t="s">
        <v>41</v>
      </c>
      <c r="I49" s="62" t="s">
        <v>27</v>
      </c>
      <c r="J49" s="114" t="s">
        <v>211</v>
      </c>
      <c r="K49" s="19"/>
      <c r="L49" s="19" t="s">
        <v>199</v>
      </c>
      <c r="M49" s="34"/>
      <c r="N49" s="66"/>
      <c r="O49" s="64">
        <v>1</v>
      </c>
      <c r="P49" s="76"/>
      <c r="Q49" s="19"/>
      <c r="R49" s="19"/>
      <c r="S49" s="23"/>
    </row>
    <row r="50" spans="1:19" ht="90" hidden="1">
      <c r="A50" s="80" t="s">
        <v>212</v>
      </c>
      <c r="B50" s="125" t="s">
        <v>213</v>
      </c>
      <c r="C50" s="126" t="s">
        <v>214</v>
      </c>
      <c r="D50" s="17" t="s">
        <v>215</v>
      </c>
      <c r="E50" s="17">
        <v>576</v>
      </c>
      <c r="F50" s="62" t="s">
        <v>24</v>
      </c>
      <c r="G50" s="73" t="s">
        <v>63</v>
      </c>
      <c r="H50" s="73" t="s">
        <v>55</v>
      </c>
      <c r="I50" s="73" t="s">
        <v>27</v>
      </c>
      <c r="J50" s="66" t="s">
        <v>216</v>
      </c>
      <c r="K50" s="19" t="s">
        <v>129</v>
      </c>
      <c r="L50" s="19" t="s">
        <v>129</v>
      </c>
      <c r="M50" s="127"/>
      <c r="N50" s="66" t="s">
        <v>51</v>
      </c>
      <c r="O50" s="66"/>
      <c r="P50" s="76"/>
      <c r="Q50" s="21">
        <v>1</v>
      </c>
      <c r="R50" s="21"/>
      <c r="S50" s="22"/>
    </row>
    <row r="51" spans="1:19" ht="78" hidden="1" customHeight="1">
      <c r="A51" s="93" t="s">
        <v>212</v>
      </c>
      <c r="B51" s="93" t="s">
        <v>217</v>
      </c>
      <c r="C51" s="128" t="s">
        <v>218</v>
      </c>
      <c r="D51" s="26" t="s">
        <v>219</v>
      </c>
      <c r="E51" s="17">
        <v>573</v>
      </c>
      <c r="F51" s="62" t="s">
        <v>24</v>
      </c>
      <c r="G51" s="95" t="s">
        <v>63</v>
      </c>
      <c r="H51" s="73" t="s">
        <v>55</v>
      </c>
      <c r="I51" s="73" t="s">
        <v>27</v>
      </c>
      <c r="J51" s="63" t="s">
        <v>220</v>
      </c>
      <c r="K51" s="29" t="s">
        <v>129</v>
      </c>
      <c r="L51" s="29" t="s">
        <v>129</v>
      </c>
      <c r="M51" s="129"/>
      <c r="N51" s="63"/>
      <c r="O51" s="63"/>
      <c r="P51" s="96"/>
      <c r="Q51" s="29">
        <v>112</v>
      </c>
      <c r="R51" s="29"/>
      <c r="S51" s="31"/>
    </row>
    <row r="52" spans="1:19" ht="90" hidden="1">
      <c r="A52" s="80" t="s">
        <v>212</v>
      </c>
      <c r="B52" s="80" t="s">
        <v>217</v>
      </c>
      <c r="C52" s="126" t="s">
        <v>218</v>
      </c>
      <c r="D52" s="85" t="s">
        <v>221</v>
      </c>
      <c r="E52" s="88"/>
      <c r="F52" s="89" t="s">
        <v>48</v>
      </c>
      <c r="G52" s="89" t="s">
        <v>41</v>
      </c>
      <c r="H52" s="73" t="s">
        <v>222</v>
      </c>
      <c r="I52" s="73" t="s">
        <v>27</v>
      </c>
      <c r="J52" s="130" t="s">
        <v>223</v>
      </c>
      <c r="K52" s="131" t="s">
        <v>129</v>
      </c>
      <c r="L52" s="131" t="s">
        <v>129</v>
      </c>
      <c r="M52" s="127"/>
      <c r="N52" s="130" t="s">
        <v>224</v>
      </c>
      <c r="O52" s="130"/>
      <c r="P52" s="76"/>
      <c r="Q52" s="131"/>
      <c r="R52" s="131"/>
      <c r="S52" s="23"/>
    </row>
    <row r="53" spans="1:19" ht="60" hidden="1">
      <c r="A53" s="80" t="s">
        <v>212</v>
      </c>
      <c r="B53" s="80" t="s">
        <v>217</v>
      </c>
      <c r="C53" s="126" t="s">
        <v>218</v>
      </c>
      <c r="D53" s="88" t="s">
        <v>225</v>
      </c>
      <c r="E53" s="88"/>
      <c r="F53" s="89" t="s">
        <v>48</v>
      </c>
      <c r="G53" s="89" t="s">
        <v>63</v>
      </c>
      <c r="H53" s="73" t="s">
        <v>222</v>
      </c>
      <c r="I53" s="73" t="s">
        <v>27</v>
      </c>
      <c r="J53" s="130" t="s">
        <v>226</v>
      </c>
      <c r="K53" s="131" t="s">
        <v>129</v>
      </c>
      <c r="L53" s="131" t="s">
        <v>129</v>
      </c>
      <c r="M53" s="127"/>
      <c r="N53" s="64">
        <v>0.8</v>
      </c>
      <c r="O53" s="64"/>
      <c r="P53" s="132"/>
      <c r="Q53" s="64">
        <v>0.8</v>
      </c>
      <c r="R53" s="64"/>
      <c r="S53" s="132"/>
    </row>
    <row r="54" spans="1:19" ht="75" hidden="1">
      <c r="A54" s="80" t="s">
        <v>212</v>
      </c>
      <c r="B54" s="98" t="s">
        <v>227</v>
      </c>
      <c r="C54" s="80" t="s">
        <v>228</v>
      </c>
      <c r="D54" s="17" t="s">
        <v>229</v>
      </c>
      <c r="E54" s="17"/>
      <c r="F54" s="73" t="s">
        <v>41</v>
      </c>
      <c r="G54" s="73" t="s">
        <v>230</v>
      </c>
      <c r="H54" s="73" t="s">
        <v>41</v>
      </c>
      <c r="I54" s="73" t="s">
        <v>27</v>
      </c>
      <c r="J54" s="66" t="s">
        <v>231</v>
      </c>
      <c r="K54" s="19"/>
      <c r="L54" s="19" t="s">
        <v>129</v>
      </c>
      <c r="M54" s="34"/>
      <c r="N54" s="64">
        <v>1</v>
      </c>
      <c r="O54" s="64"/>
      <c r="P54" s="132"/>
      <c r="Q54" s="64">
        <v>1</v>
      </c>
      <c r="R54" s="64"/>
      <c r="S54" s="132"/>
    </row>
    <row r="55" spans="1:19" ht="105" hidden="1">
      <c r="A55" s="80" t="s">
        <v>212</v>
      </c>
      <c r="B55" s="98" t="s">
        <v>232</v>
      </c>
      <c r="C55" s="80" t="s">
        <v>233</v>
      </c>
      <c r="D55" s="17" t="s">
        <v>234</v>
      </c>
      <c r="E55" s="17">
        <v>460</v>
      </c>
      <c r="F55" s="73" t="s">
        <v>24</v>
      </c>
      <c r="G55" s="73" t="s">
        <v>88</v>
      </c>
      <c r="H55" s="73" t="s">
        <v>55</v>
      </c>
      <c r="I55" s="73" t="s">
        <v>27</v>
      </c>
      <c r="J55" s="18" t="s">
        <v>235</v>
      </c>
      <c r="K55" s="19" t="s">
        <v>236</v>
      </c>
      <c r="L55" s="19" t="s">
        <v>236</v>
      </c>
      <c r="M55" s="34"/>
      <c r="N55" s="64">
        <v>0.8</v>
      </c>
      <c r="O55" s="65">
        <v>0.84179999999999999</v>
      </c>
      <c r="P55" s="133">
        <f>O55/N55</f>
        <v>1.0522499999999999</v>
      </c>
      <c r="Q55" s="21">
        <v>0.82</v>
      </c>
      <c r="R55" s="19"/>
      <c r="S55" s="23"/>
    </row>
    <row r="56" spans="1:19" ht="105" hidden="1">
      <c r="A56" s="80" t="s">
        <v>212</v>
      </c>
      <c r="B56" s="98" t="s">
        <v>237</v>
      </c>
      <c r="C56" s="80" t="s">
        <v>238</v>
      </c>
      <c r="D56" s="73" t="s">
        <v>239</v>
      </c>
      <c r="E56" s="17"/>
      <c r="F56" s="73" t="s">
        <v>41</v>
      </c>
      <c r="G56" s="73" t="s">
        <v>63</v>
      </c>
      <c r="H56" s="73" t="s">
        <v>41</v>
      </c>
      <c r="I56" s="73" t="s">
        <v>27</v>
      </c>
      <c r="J56" s="18" t="s">
        <v>240</v>
      </c>
      <c r="K56" s="19"/>
      <c r="L56" s="19"/>
      <c r="M56" s="34" t="s">
        <v>50</v>
      </c>
      <c r="N56" s="66"/>
      <c r="O56" s="66"/>
      <c r="P56" s="76"/>
      <c r="Q56" s="19"/>
      <c r="R56" s="19"/>
      <c r="S56" s="23"/>
    </row>
    <row r="57" spans="1:19" ht="75" hidden="1">
      <c r="A57" s="80" t="s">
        <v>241</v>
      </c>
      <c r="B57" s="98" t="s">
        <v>242</v>
      </c>
      <c r="C57" s="80" t="s">
        <v>243</v>
      </c>
      <c r="D57" s="116" t="s">
        <v>244</v>
      </c>
      <c r="E57" s="116"/>
      <c r="F57" s="134" t="s">
        <v>24</v>
      </c>
      <c r="G57" s="134" t="s">
        <v>63</v>
      </c>
      <c r="H57" s="73" t="s">
        <v>41</v>
      </c>
      <c r="I57" s="73" t="s">
        <v>27</v>
      </c>
      <c r="J57" s="66" t="s">
        <v>244</v>
      </c>
      <c r="K57" s="19"/>
      <c r="L57" s="19"/>
      <c r="M57" s="34"/>
      <c r="N57" s="66"/>
      <c r="O57" s="66"/>
      <c r="P57" s="76"/>
      <c r="Q57" s="19"/>
      <c r="R57" s="19"/>
      <c r="S57" s="23"/>
    </row>
    <row r="58" spans="1:19" ht="45" hidden="1">
      <c r="A58" s="80" t="s">
        <v>241</v>
      </c>
      <c r="B58" s="80" t="s">
        <v>245</v>
      </c>
      <c r="C58" s="80" t="s">
        <v>246</v>
      </c>
      <c r="D58" s="17" t="s">
        <v>247</v>
      </c>
      <c r="E58" s="17">
        <v>553</v>
      </c>
      <c r="F58" s="134" t="s">
        <v>24</v>
      </c>
      <c r="G58" s="82" t="s">
        <v>63</v>
      </c>
      <c r="H58" s="73" t="s">
        <v>41</v>
      </c>
      <c r="I58" s="73" t="s">
        <v>27</v>
      </c>
      <c r="J58" s="66" t="s">
        <v>248</v>
      </c>
      <c r="K58" s="19" t="s">
        <v>249</v>
      </c>
      <c r="L58" s="19" t="s">
        <v>250</v>
      </c>
      <c r="M58" s="34"/>
      <c r="N58" s="66"/>
      <c r="O58" s="66"/>
      <c r="P58" s="76"/>
      <c r="Q58" s="21">
        <v>0.85</v>
      </c>
      <c r="R58" s="19"/>
      <c r="S58" s="23"/>
    </row>
    <row r="59" spans="1:19" ht="109.2">
      <c r="A59" s="80" t="s">
        <v>241</v>
      </c>
      <c r="B59" s="80" t="s">
        <v>245</v>
      </c>
      <c r="C59" s="135" t="s">
        <v>251</v>
      </c>
      <c r="D59" s="17" t="s">
        <v>252</v>
      </c>
      <c r="E59" s="17"/>
      <c r="F59" s="134" t="s">
        <v>24</v>
      </c>
      <c r="G59" s="82" t="s">
        <v>63</v>
      </c>
      <c r="H59" s="17" t="s">
        <v>55</v>
      </c>
      <c r="I59" s="73" t="s">
        <v>27</v>
      </c>
      <c r="J59" s="66" t="s">
        <v>253</v>
      </c>
      <c r="K59" s="19" t="s">
        <v>254</v>
      </c>
      <c r="L59" s="19" t="s">
        <v>254</v>
      </c>
      <c r="M59" s="136" t="s">
        <v>255</v>
      </c>
      <c r="N59" s="66">
        <v>86.1</v>
      </c>
      <c r="O59" s="66">
        <v>86.2</v>
      </c>
      <c r="P59" s="133">
        <f>O59/N59</f>
        <v>1.0011614401858304</v>
      </c>
      <c r="Q59" s="19">
        <v>86.6</v>
      </c>
      <c r="R59" s="19"/>
      <c r="S59" s="133">
        <f>R59/Q59</f>
        <v>0</v>
      </c>
    </row>
    <row r="60" spans="1:19" ht="109.2" hidden="1">
      <c r="A60" s="80" t="s">
        <v>241</v>
      </c>
      <c r="B60" s="80" t="s">
        <v>245</v>
      </c>
      <c r="C60" s="135" t="s">
        <v>251</v>
      </c>
      <c r="D60" s="16" t="s">
        <v>256</v>
      </c>
      <c r="E60" s="17"/>
      <c r="F60" s="73" t="s">
        <v>41</v>
      </c>
      <c r="G60" s="82" t="s">
        <v>63</v>
      </c>
      <c r="H60" s="17" t="s">
        <v>55</v>
      </c>
      <c r="I60" s="73" t="s">
        <v>27</v>
      </c>
      <c r="J60" s="66" t="s">
        <v>253</v>
      </c>
      <c r="K60" s="19" t="s">
        <v>254</v>
      </c>
      <c r="L60" s="19" t="s">
        <v>254</v>
      </c>
      <c r="M60" s="136" t="s">
        <v>255</v>
      </c>
      <c r="N60" s="66"/>
      <c r="O60" s="66"/>
      <c r="P60" s="76"/>
      <c r="Q60" s="19"/>
      <c r="R60" s="19"/>
      <c r="S60" s="23"/>
    </row>
    <row r="61" spans="1:19" ht="124.95" hidden="1" customHeight="1">
      <c r="A61" s="93" t="s">
        <v>241</v>
      </c>
      <c r="B61" s="93" t="s">
        <v>245</v>
      </c>
      <c r="C61" s="137" t="s">
        <v>251</v>
      </c>
      <c r="D61" s="26" t="s">
        <v>257</v>
      </c>
      <c r="E61" s="17"/>
      <c r="F61" s="134" t="s">
        <v>48</v>
      </c>
      <c r="G61" s="27" t="s">
        <v>63</v>
      </c>
      <c r="H61" s="27" t="s">
        <v>41</v>
      </c>
      <c r="I61" s="73" t="s">
        <v>27</v>
      </c>
      <c r="J61" s="63"/>
      <c r="K61" s="29" t="s">
        <v>254</v>
      </c>
      <c r="L61" s="29" t="s">
        <v>254</v>
      </c>
      <c r="M61" s="136" t="s">
        <v>255</v>
      </c>
      <c r="N61" s="63"/>
      <c r="O61" s="63"/>
      <c r="P61" s="96"/>
      <c r="Q61" s="29"/>
      <c r="R61" s="29"/>
      <c r="S61" s="31"/>
    </row>
    <row r="62" spans="1:19" ht="109.2">
      <c r="A62" s="80" t="s">
        <v>241</v>
      </c>
      <c r="B62" s="80" t="s">
        <v>245</v>
      </c>
      <c r="C62" s="135" t="s">
        <v>251</v>
      </c>
      <c r="D62" s="17" t="s">
        <v>258</v>
      </c>
      <c r="E62" s="17"/>
      <c r="F62" s="17" t="s">
        <v>24</v>
      </c>
      <c r="G62" s="17" t="s">
        <v>88</v>
      </c>
      <c r="H62" s="17" t="s">
        <v>55</v>
      </c>
      <c r="I62" s="73" t="s">
        <v>27</v>
      </c>
      <c r="J62" s="66" t="s">
        <v>259</v>
      </c>
      <c r="K62" s="19" t="s">
        <v>254</v>
      </c>
      <c r="L62" s="19" t="s">
        <v>254</v>
      </c>
      <c r="M62" s="136"/>
      <c r="N62" s="66">
        <v>74.2</v>
      </c>
      <c r="O62" s="66">
        <v>77.400000000000006</v>
      </c>
      <c r="P62" s="133">
        <f>O62/N62</f>
        <v>1.0431266846361187</v>
      </c>
      <c r="Q62" s="19">
        <v>74.8</v>
      </c>
      <c r="R62" s="19"/>
      <c r="S62" s="23"/>
    </row>
    <row r="63" spans="1:19" ht="75" hidden="1">
      <c r="A63" s="80" t="s">
        <v>241</v>
      </c>
      <c r="B63" s="98" t="s">
        <v>260</v>
      </c>
      <c r="C63" s="126" t="s">
        <v>261</v>
      </c>
      <c r="D63" s="16" t="s">
        <v>262</v>
      </c>
      <c r="E63" s="17"/>
      <c r="F63" s="27" t="s">
        <v>41</v>
      </c>
      <c r="G63" s="27" t="s">
        <v>63</v>
      </c>
      <c r="H63" s="73" t="s">
        <v>41</v>
      </c>
      <c r="I63" s="73" t="s">
        <v>27</v>
      </c>
      <c r="J63" s="66" t="s">
        <v>263</v>
      </c>
      <c r="K63" s="19"/>
      <c r="L63" s="19" t="s">
        <v>264</v>
      </c>
      <c r="M63" s="127" t="s">
        <v>265</v>
      </c>
      <c r="N63" s="66"/>
      <c r="O63" s="66"/>
      <c r="P63" s="76"/>
      <c r="Q63" s="19"/>
      <c r="R63" s="19"/>
      <c r="S63" s="23"/>
    </row>
    <row r="64" spans="1:19" ht="109.2" hidden="1">
      <c r="A64" s="93" t="s">
        <v>266</v>
      </c>
      <c r="B64" s="117" t="s">
        <v>267</v>
      </c>
      <c r="C64" s="93" t="s">
        <v>268</v>
      </c>
      <c r="D64" s="26" t="s">
        <v>269</v>
      </c>
      <c r="E64" s="17">
        <v>546</v>
      </c>
      <c r="F64" s="134" t="s">
        <v>24</v>
      </c>
      <c r="G64" s="27" t="s">
        <v>88</v>
      </c>
      <c r="H64" s="27" t="s">
        <v>55</v>
      </c>
      <c r="I64" s="27" t="s">
        <v>27</v>
      </c>
      <c r="J64" s="28" t="s">
        <v>270</v>
      </c>
      <c r="K64" s="29" t="s">
        <v>271</v>
      </c>
      <c r="L64" s="29" t="s">
        <v>271</v>
      </c>
      <c r="M64" s="94"/>
      <c r="N64" s="143">
        <v>1</v>
      </c>
      <c r="O64" s="141">
        <v>1.1357999999999999</v>
      </c>
      <c r="P64" s="144">
        <f>O64/N64</f>
        <v>1.1357999999999999</v>
      </c>
      <c r="Q64" s="122">
        <v>1</v>
      </c>
      <c r="R64" s="29"/>
      <c r="S64" s="31"/>
    </row>
    <row r="65" spans="1:19" ht="70.95" hidden="1" customHeight="1">
      <c r="A65" s="93" t="s">
        <v>266</v>
      </c>
      <c r="B65" s="117" t="s">
        <v>273</v>
      </c>
      <c r="C65" s="93" t="s">
        <v>274</v>
      </c>
      <c r="D65" s="27" t="s">
        <v>275</v>
      </c>
      <c r="E65" s="17">
        <v>542</v>
      </c>
      <c r="F65" s="134" t="s">
        <v>24</v>
      </c>
      <c r="G65" s="27"/>
      <c r="H65" s="27" t="s">
        <v>63</v>
      </c>
      <c r="I65" s="27" t="s">
        <v>27</v>
      </c>
      <c r="J65" s="28" t="s">
        <v>276</v>
      </c>
      <c r="K65" s="29"/>
      <c r="L65" s="29"/>
      <c r="M65" s="118" t="s">
        <v>50</v>
      </c>
      <c r="N65" s="63"/>
      <c r="O65" s="63">
        <v>81.239999999999995</v>
      </c>
      <c r="P65" s="96"/>
      <c r="Q65" s="29"/>
      <c r="R65" s="29"/>
      <c r="S65" s="31"/>
    </row>
    <row r="66" spans="1:19" ht="150" hidden="1">
      <c r="A66" s="93" t="s">
        <v>266</v>
      </c>
      <c r="B66" s="117" t="s">
        <v>273</v>
      </c>
      <c r="C66" s="93" t="s">
        <v>277</v>
      </c>
      <c r="D66" s="27" t="s">
        <v>278</v>
      </c>
      <c r="E66" s="17">
        <v>541</v>
      </c>
      <c r="F66" s="134" t="s">
        <v>24</v>
      </c>
      <c r="G66" s="62" t="s">
        <v>279</v>
      </c>
      <c r="H66" s="73" t="s">
        <v>55</v>
      </c>
      <c r="I66" s="27" t="s">
        <v>27</v>
      </c>
      <c r="J66" s="63" t="s">
        <v>280</v>
      </c>
      <c r="K66" s="29" t="s">
        <v>271</v>
      </c>
      <c r="L66" s="29" t="s">
        <v>271</v>
      </c>
      <c r="M66" s="94"/>
      <c r="N66" s="120">
        <v>0.04</v>
      </c>
      <c r="O66" s="141">
        <v>6.9900000000000004E-2</v>
      </c>
      <c r="P66" s="144">
        <f>O66/N66</f>
        <v>1.7475000000000001</v>
      </c>
      <c r="Q66" s="122">
        <v>0.09</v>
      </c>
      <c r="R66" s="29"/>
      <c r="S66" s="31"/>
    </row>
    <row r="67" spans="1:19" ht="46.8" hidden="1">
      <c r="A67" s="80" t="s">
        <v>266</v>
      </c>
      <c r="B67" s="98" t="s">
        <v>281</v>
      </c>
      <c r="C67" s="80" t="s">
        <v>282</v>
      </c>
      <c r="D67" s="17" t="s">
        <v>283</v>
      </c>
      <c r="E67" s="17">
        <v>547</v>
      </c>
      <c r="F67" s="134" t="s">
        <v>24</v>
      </c>
      <c r="G67" s="73"/>
      <c r="H67" s="73" t="s">
        <v>55</v>
      </c>
      <c r="I67" s="27" t="s">
        <v>27</v>
      </c>
      <c r="J67" s="66" t="s">
        <v>284</v>
      </c>
      <c r="K67" s="19" t="s">
        <v>271</v>
      </c>
      <c r="L67" s="19" t="s">
        <v>271</v>
      </c>
      <c r="M67" s="34" t="s">
        <v>50</v>
      </c>
      <c r="N67" s="66"/>
      <c r="O67" s="66"/>
      <c r="P67" s="76"/>
      <c r="Q67" s="19"/>
      <c r="R67" s="19"/>
      <c r="S67" s="23"/>
    </row>
  </sheetData>
  <autoFilter ref="A2:S67" xr:uid="{2C65FC67-03C0-423A-92BB-67DDC6589F1C}">
    <filterColumn colId="3">
      <filters>
        <filter val="% Permanencia intersemestral"/>
        <filter val="% Permanencia intersemestral Ingresantes"/>
        <filter val="Nùmero participantes en  Procesos formación permanente desarrollados desde el SIAC"/>
      </filters>
    </filterColumn>
  </autoFilter>
  <mergeCells count="2">
    <mergeCell ref="N1:S1"/>
    <mergeCell ref="L12:L13"/>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Licec Ximena Silva Goyeneche</cp:lastModifiedBy>
  <dcterms:created xsi:type="dcterms:W3CDTF">2026-09-11T05:02:10Z</dcterms:created>
  <dcterms:modified xsi:type="dcterms:W3CDTF">2026-09-21T15:22:39Z</dcterms:modified>
</cp:coreProperties>
</file>