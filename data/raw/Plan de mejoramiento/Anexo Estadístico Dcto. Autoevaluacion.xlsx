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drawings/drawing2.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ocumenttasks/documenttask2.xml" ContentType="application/vnd.ms-excel.documenttask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ocumenttasks/documenttask3.xml" ContentType="application/vnd.ms-excel.documenttasks+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27.xml" ContentType="application/vnd.openxmlformats-officedocument.drawing+xml"/>
  <Override PartName="/xl/drawings/drawing28.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ocumenttasks/documenttask4.xml" ContentType="application/vnd.ms-excel.documenttasks+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drawings/drawing114.xml" ContentType="application/vnd.openxmlformats-officedocument.drawing+xml"/>
  <Override PartName="/xl/drawings/drawing115.xml" ContentType="application/vnd.openxmlformats-officedocument.drawing+xml"/>
  <Override PartName="/xl/drawings/drawing116.xml" ContentType="application/vnd.openxmlformats-officedocument.drawing+xml"/>
  <Override PartName="/xl/drawings/drawing117.xml" ContentType="application/vnd.openxmlformats-officedocument.drawing+xml"/>
  <Override PartName="/xl/drawings/drawing118.xml" ContentType="application/vnd.openxmlformats-officedocument.drawing+xml"/>
  <Override PartName="/xl/drawings/drawing119.xml" ContentType="application/vnd.openxmlformats-officedocument.drawing+xml"/>
  <Override PartName="/xl/drawings/drawing120.xml" ContentType="application/vnd.openxmlformats-officedocument.drawing+xml"/>
  <Override PartName="/xl/drawings/drawing121.xml" ContentType="application/vnd.openxmlformats-officedocument.drawing+xml"/>
  <Override PartName="/xl/drawings/drawing12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23.xml" ContentType="application/vnd.openxmlformats-officedocument.drawing+xml"/>
  <Override PartName="/xl/drawings/drawing12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25.xml" ContentType="application/vnd.openxmlformats-officedocument.drawing+xml"/>
  <Override PartName="/xl/drawings/drawing126.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129.xml" ContentType="application/vnd.openxmlformats-officedocument.drawing+xml"/>
  <Override PartName="/xl/drawings/drawing130.xml" ContentType="application/vnd.openxmlformats-officedocument.drawing+xml"/>
  <Override PartName="/xl/drawings/drawing131.xml" ContentType="application/vnd.openxmlformats-officedocument.drawing+xml"/>
  <Override PartName="/xl/drawings/drawing132.xml" ContentType="application/vnd.openxmlformats-officedocument.drawing+xml"/>
  <Override PartName="/xl/drawings/drawing133.xml" ContentType="application/vnd.openxmlformats-officedocument.drawing+xml"/>
  <Override PartName="/xl/drawings/drawing134.xml" ContentType="application/vnd.openxmlformats-officedocument.drawing+xml"/>
  <Override PartName="/xl/drawings/drawing135.xml" ContentType="application/vnd.openxmlformats-officedocument.drawing+xml"/>
  <Override PartName="/xl/drawings/drawing136.xml" ContentType="application/vnd.openxmlformats-officedocument.drawing+xml"/>
  <Override PartName="/xl/drawings/drawing137.xml" ContentType="application/vnd.openxmlformats-officedocument.drawing+xml"/>
  <Override PartName="/xl/drawings/drawing13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39.xml" ContentType="application/vnd.openxmlformats-officedocument.drawing+xml"/>
  <Override PartName="/xl/drawings/drawing140.xml" ContentType="application/vnd.openxmlformats-officedocument.drawing+xml"/>
  <Override PartName="/xl/drawings/drawing141.xml" ContentType="application/vnd.openxmlformats-officedocument.drawing+xml"/>
  <Override PartName="/xl/drawings/drawing142.xml" ContentType="application/vnd.openxmlformats-officedocument.drawing+xml"/>
  <Override PartName="/xl/drawings/drawing143.xml" ContentType="application/vnd.openxmlformats-officedocument.drawing+xml"/>
  <Override PartName="/xl/drawings/drawing144.xml" ContentType="application/vnd.openxmlformats-officedocument.drawing+xml"/>
  <Override PartName="/xl/drawings/drawing145.xml" ContentType="application/vnd.openxmlformats-officedocument.drawing+xml"/>
  <Override PartName="/xl/drawings/drawing146.xml" ContentType="application/vnd.openxmlformats-officedocument.drawing+xml"/>
  <Override PartName="/xl/drawings/drawing147.xml" ContentType="application/vnd.openxmlformats-officedocument.drawing+xml"/>
  <Override PartName="/xl/drawings/drawing148.xml" ContentType="application/vnd.openxmlformats-officedocument.drawing+xml"/>
  <Override PartName="/xl/drawings/drawing149.xml" ContentType="application/vnd.openxmlformats-officedocument.drawing+xml"/>
  <Override PartName="/xl/drawings/drawing150.xml" ContentType="application/vnd.openxmlformats-officedocument.drawing+xml"/>
  <Override PartName="/xl/drawings/drawing151.xml" ContentType="application/vnd.openxmlformats-officedocument.drawing+xml"/>
  <Override PartName="/xl/drawings/drawing152.xml" ContentType="application/vnd.openxmlformats-officedocument.drawing+xml"/>
  <Override PartName="/xl/drawings/drawing153.xml" ContentType="application/vnd.openxmlformats-officedocument.drawing+xml"/>
  <Override PartName="/xl/drawings/drawing154.xml" ContentType="application/vnd.openxmlformats-officedocument.drawing+xml"/>
  <Override PartName="/xl/drawings/drawing155.xml" ContentType="application/vnd.openxmlformats-officedocument.drawing+xml"/>
  <Override PartName="/xl/drawings/drawing156.xml" ContentType="application/vnd.openxmlformats-officedocument.drawing+xml"/>
  <Override PartName="/xl/drawings/drawing157.xml" ContentType="application/vnd.openxmlformats-officedocument.drawing+xml"/>
  <Override PartName="/xl/drawings/drawing158.xml" ContentType="application/vnd.openxmlformats-officedocument.drawing+xml"/>
  <Override PartName="/xl/drawings/drawing159.xml" ContentType="application/vnd.openxmlformats-officedocument.drawing+xml"/>
  <Override PartName="/xl/drawings/drawing160.xml" ContentType="application/vnd.openxmlformats-officedocument.drawing+xml"/>
  <Override PartName="/xl/drawings/drawing161.xml" ContentType="application/vnd.openxmlformats-officedocument.drawing+xml"/>
  <Override PartName="/xl/drawings/drawing162.xml" ContentType="application/vnd.openxmlformats-officedocument.drawing+xml"/>
  <Override PartName="/xl/drawings/drawing163.xml" ContentType="application/vnd.openxmlformats-officedocument.drawing+xml"/>
  <Override PartName="/xl/drawings/drawing164.xml" ContentType="application/vnd.openxmlformats-officedocument.drawing+xml"/>
  <Override PartName="/xl/drawings/drawing165.xml" ContentType="application/vnd.openxmlformats-officedocument.drawing+xml"/>
  <Override PartName="/xl/drawings/drawing166.xml" ContentType="application/vnd.openxmlformats-officedocument.drawing+xml"/>
  <Override PartName="/xl/drawings/drawing16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5f15395a9ed9a48f/Proyectos_DS/SGING/data/raw/Plan de mejoramiento/"/>
    </mc:Choice>
  </mc:AlternateContent>
  <xr:revisionPtr revIDLastSave="37" documentId="8_{92C17C07-3DB2-47A7-82F6-529DCD11E1DE}" xr6:coauthVersionLast="47" xr6:coauthVersionMax="47" xr10:uidLastSave="{3DD8E131-4625-48A8-A522-616C9E2900D7}"/>
  <bookViews>
    <workbookView xWindow="-108" yWindow="-108" windowWidth="23256" windowHeight="12456" tabRatio="780" firstSheet="65" activeTab="76" xr2:uid="{00000000-000D-0000-FFFF-FFFF00000000}"/>
  </bookViews>
  <sheets>
    <sheet name="Respaldo" sheetId="187" state="hidden" r:id="rId1"/>
    <sheet name="Índice Tablas" sheetId="1" r:id="rId2"/>
    <sheet name="Tabla 1" sheetId="2" r:id="rId3"/>
    <sheet name="Tabla 2" sheetId="3" r:id="rId4"/>
    <sheet name="Tabla 3" sheetId="4" r:id="rId5"/>
    <sheet name="Tabla 4" sheetId="5" r:id="rId6"/>
    <sheet name="Hoja1" sheetId="191" r:id="rId7"/>
    <sheet name="Gráfico 1" sheetId="12" r:id="rId8"/>
    <sheet name="Tabla 5" sheetId="6" r:id="rId9"/>
    <sheet name="Tabla 6" sheetId="7" r:id="rId10"/>
    <sheet name="Gráfico 2" sheetId="13" r:id="rId11"/>
    <sheet name="Tabla 7" sheetId="8" r:id="rId12"/>
    <sheet name="Tabla 8" sheetId="9" r:id="rId13"/>
    <sheet name="Tabla 9" sheetId="10" r:id="rId14"/>
    <sheet name="Tabla 10" sheetId="11" r:id="rId15"/>
    <sheet name="Tabla 23" sheetId="14" r:id="rId16"/>
    <sheet name="Tabla 29" sheetId="189" r:id="rId17"/>
    <sheet name="Tabla 32" sheetId="16" r:id="rId18"/>
    <sheet name="Tabla 33" sheetId="17" r:id="rId19"/>
    <sheet name="Tabla 34" sheetId="18" r:id="rId20"/>
    <sheet name="Ilustración 20" sheetId="19" r:id="rId21"/>
    <sheet name="Ilustración 21" sheetId="21" r:id="rId22"/>
    <sheet name="Ilustración 22" sheetId="23" r:id="rId23"/>
    <sheet name="Tabla 36" sheetId="20" r:id="rId24"/>
    <sheet name="Tabla 39" sheetId="22" r:id="rId25"/>
    <sheet name="Tabla 40" sheetId="24" r:id="rId26"/>
    <sheet name="Tabla 41" sheetId="25" r:id="rId27"/>
    <sheet name="Tabla 42" sheetId="26" r:id="rId28"/>
    <sheet name="Tabla 43" sheetId="27" r:id="rId29"/>
    <sheet name="Tabla 44" sheetId="28" r:id="rId30"/>
    <sheet name="Gráfico 3" sheetId="30" r:id="rId31"/>
    <sheet name="Tabla 45" sheetId="31" r:id="rId32"/>
    <sheet name="Tabla 46" sheetId="32" r:id="rId33"/>
    <sheet name="Tabla 47" sheetId="33" r:id="rId34"/>
    <sheet name="Tabla 48" sheetId="29" r:id="rId35"/>
    <sheet name="Tabla 49" sheetId="34" r:id="rId36"/>
    <sheet name="Gráfico 4" sheetId="35" r:id="rId37"/>
    <sheet name="Tabla 53" sheetId="36" r:id="rId38"/>
    <sheet name="Gráfico 5" sheetId="37" r:id="rId39"/>
    <sheet name="Tabla 55" sheetId="38" r:id="rId40"/>
    <sheet name="Tabla 57" sheetId="40" r:id="rId41"/>
    <sheet name="Tabla 58" sheetId="39" r:id="rId42"/>
    <sheet name="Tabla 61" sheetId="41" r:id="rId43"/>
    <sheet name="Tabla 62" sheetId="42" r:id="rId44"/>
    <sheet name="Tabla 63" sheetId="43" r:id="rId45"/>
    <sheet name="Tabla 64" sheetId="44" r:id="rId46"/>
    <sheet name="Tabla 65" sheetId="45" r:id="rId47"/>
    <sheet name="Tabla 66" sheetId="46" r:id="rId48"/>
    <sheet name="Gráfico 6" sheetId="47" r:id="rId49"/>
    <sheet name="Tabla 67" sheetId="48" r:id="rId50"/>
    <sheet name="Tabla 68" sheetId="49" r:id="rId51"/>
    <sheet name="Tabla 69" sheetId="50" r:id="rId52"/>
    <sheet name="Tabla 70" sheetId="51" r:id="rId53"/>
    <sheet name="Tabla 71" sheetId="52" r:id="rId54"/>
    <sheet name="Tabla 72" sheetId="53" r:id="rId55"/>
    <sheet name="Tabla 73" sheetId="54" r:id="rId56"/>
    <sheet name="Gráfico 8" sheetId="59" r:id="rId57"/>
    <sheet name="Tabla 74" sheetId="55" r:id="rId58"/>
    <sheet name="Tabla 75" sheetId="56" r:id="rId59"/>
    <sheet name="Tabla 76" sheetId="57" r:id="rId60"/>
    <sheet name="Tabla 77" sheetId="58" r:id="rId61"/>
    <sheet name="Tabla 82" sheetId="60" r:id="rId62"/>
    <sheet name="Tabla 83" sheetId="61" r:id="rId63"/>
    <sheet name="Tabla 85" sheetId="62" r:id="rId64"/>
    <sheet name="Gráfico 9" sheetId="63" r:id="rId65"/>
    <sheet name="Tabla 87" sheetId="64" r:id="rId66"/>
    <sheet name="Tabla 98" sheetId="65" r:id="rId67"/>
    <sheet name="Tabla 99" sheetId="66" r:id="rId68"/>
    <sheet name="Tabla 100" sheetId="67" r:id="rId69"/>
    <sheet name="Tabla 199" sheetId="142" r:id="rId70"/>
    <sheet name="Tabla 101" sheetId="68" r:id="rId71"/>
    <sheet name="Tabla 105" sheetId="69" r:id="rId72"/>
    <sheet name="Tabla 108" sheetId="70" r:id="rId73"/>
    <sheet name="Tabla 110" sheetId="71" r:id="rId74"/>
    <sheet name="Tabla 111" sheetId="72" r:id="rId75"/>
    <sheet name="Tabla 112" sheetId="73" r:id="rId76"/>
    <sheet name="Tabla 113" sheetId="74" r:id="rId77"/>
    <sheet name="Tabla 114" sheetId="75" r:id="rId78"/>
    <sheet name="Tabla 115" sheetId="76" r:id="rId79"/>
    <sheet name="Tabla 116" sheetId="77" r:id="rId80"/>
    <sheet name="Tabla 137" sheetId="91" r:id="rId81"/>
    <sheet name="Tabla 121" sheetId="78" r:id="rId82"/>
    <sheet name="Tabla 122" sheetId="79" r:id="rId83"/>
    <sheet name="Tabla 123" sheetId="80" r:id="rId84"/>
    <sheet name="Tabla 126" sheetId="81" r:id="rId85"/>
    <sheet name="Tabla 127" sheetId="82" r:id="rId86"/>
    <sheet name="Gráfico 13" sheetId="83" r:id="rId87"/>
    <sheet name="Tabla 131" sheetId="84" r:id="rId88"/>
    <sheet name="Tabla 132" sheetId="85" r:id="rId89"/>
    <sheet name="Tabla 133" sheetId="86" r:id="rId90"/>
    <sheet name="Tabla 134" sheetId="87" r:id="rId91"/>
    <sheet name="Tabla 135" sheetId="88" r:id="rId92"/>
    <sheet name="Gráfico 15" sheetId="89" r:id="rId93"/>
    <sheet name="Tabla 136" sheetId="90" r:id="rId94"/>
    <sheet name="Tabla 138" sheetId="92" r:id="rId95"/>
    <sheet name="Tabla 139" sheetId="93" r:id="rId96"/>
    <sheet name="Tabla 144" sheetId="94" r:id="rId97"/>
    <sheet name="Tabla 145" sheetId="95" r:id="rId98"/>
    <sheet name="Tabla 147" sheetId="96" r:id="rId99"/>
    <sheet name="Tabla 148" sheetId="97" r:id="rId100"/>
    <sheet name="Tabla 149" sheetId="98" r:id="rId101"/>
    <sheet name="Tabla 150" sheetId="99" r:id="rId102"/>
    <sheet name="Tabla 151" sheetId="100" r:id="rId103"/>
    <sheet name="Gráfico 16" sheetId="101" r:id="rId104"/>
    <sheet name="Tabla 152" sheetId="102" r:id="rId105"/>
    <sheet name="Tabla 153" sheetId="103" r:id="rId106"/>
    <sheet name="Tabla 154" sheetId="104" r:id="rId107"/>
    <sheet name="Tabla 156" sheetId="105" r:id="rId108"/>
    <sheet name="Tabla 157" sheetId="106" r:id="rId109"/>
    <sheet name="Tabla 159" sheetId="107" r:id="rId110"/>
    <sheet name="Tabla 161" sheetId="108" r:id="rId111"/>
    <sheet name="Tabla 164" sheetId="109" r:id="rId112"/>
    <sheet name="Tabla 165" sheetId="110" r:id="rId113"/>
    <sheet name="Tabla 166" sheetId="111" r:id="rId114"/>
    <sheet name="Tabla 167" sheetId="112" r:id="rId115"/>
    <sheet name="Tabla 168" sheetId="113" r:id="rId116"/>
    <sheet name="Tabla 169" sheetId="114" r:id="rId117"/>
    <sheet name="Tabla 170" sheetId="115" r:id="rId118"/>
    <sheet name="Tabla 171" sheetId="116" r:id="rId119"/>
    <sheet name="Tabla 172" sheetId="117" r:id="rId120"/>
    <sheet name="Tabla 173" sheetId="118" r:id="rId121"/>
    <sheet name="Tabla 174" sheetId="119" r:id="rId122"/>
    <sheet name="Tabla 175" sheetId="120" r:id="rId123"/>
    <sheet name="Tabla 179" sheetId="121" r:id="rId124"/>
    <sheet name="Gráfico 17" sheetId="122" r:id="rId125"/>
    <sheet name="Tabla 181" sheetId="123" r:id="rId126"/>
    <sheet name="Gráfico 18" sheetId="124" r:id="rId127"/>
    <sheet name="Tabla 182" sheetId="125" r:id="rId128"/>
    <sheet name="Tabla 183" sheetId="127" r:id="rId129"/>
    <sheet name="Gráfico 19" sheetId="126" r:id="rId130"/>
    <sheet name="Tabla 184" sheetId="128" r:id="rId131"/>
    <sheet name="Tabla 185" sheetId="129" r:id="rId132"/>
    <sheet name="Tabla 186" sheetId="130" r:id="rId133"/>
    <sheet name="Tabla 187" sheetId="131" r:id="rId134"/>
    <sheet name="Tabla 188" sheetId="132" r:id="rId135"/>
    <sheet name="Tabla 189" sheetId="133" r:id="rId136"/>
    <sheet name="Tabla 190" sheetId="134" r:id="rId137"/>
    <sheet name="Tabla 191" sheetId="135" r:id="rId138"/>
    <sheet name="Tabla 193" sheetId="136" r:id="rId139"/>
    <sheet name="Tabla 194" sheetId="137" r:id="rId140"/>
    <sheet name="Gráfico 20" sheetId="138" r:id="rId141"/>
    <sheet name="Gráfico 21" sheetId="140" r:id="rId142"/>
    <sheet name="Tabla 196" sheetId="139" r:id="rId143"/>
    <sheet name="Tabla 197" sheetId="143" r:id="rId144"/>
    <sheet name="Tabla 198" sheetId="141" r:id="rId145"/>
    <sheet name="Tabla 201" sheetId="144" r:id="rId146"/>
    <sheet name="Tabla 204" sheetId="145" r:id="rId147"/>
    <sheet name="Tabla 205" sheetId="146" r:id="rId148"/>
    <sheet name="Tabla 206" sheetId="147" r:id="rId149"/>
    <sheet name="Tabla 208" sheetId="148" r:id="rId150"/>
    <sheet name="Tabla 209" sheetId="149" r:id="rId151"/>
    <sheet name="Tabla 210" sheetId="150" r:id="rId152"/>
    <sheet name="Tabla 212" sheetId="151" r:id="rId153"/>
    <sheet name="Tabla 214" sheetId="153" r:id="rId154"/>
    <sheet name="Tabla 215" sheetId="154" r:id="rId155"/>
    <sheet name="Tabla 216" sheetId="155" r:id="rId156"/>
    <sheet name="Tabla 217" sheetId="156" r:id="rId157"/>
    <sheet name="Tabla 218" sheetId="157" r:id="rId158"/>
    <sheet name="Tabla 219" sheetId="158" r:id="rId159"/>
    <sheet name="Tabla 221" sheetId="159" r:id="rId160"/>
    <sheet name="Tabla 224" sheetId="160" r:id="rId161"/>
    <sheet name="Tabla 225" sheetId="161" r:id="rId162"/>
    <sheet name="Tabla 226" sheetId="162" r:id="rId163"/>
    <sheet name="Tabla 227" sheetId="163" r:id="rId164"/>
    <sheet name="Tabla 228" sheetId="164" r:id="rId165"/>
    <sheet name="Tabla 229" sheetId="165" r:id="rId166"/>
    <sheet name="Tabla 231" sheetId="166" r:id="rId167"/>
    <sheet name="Tabla 232" sheetId="167" r:id="rId168"/>
    <sheet name="Tabla 239" sheetId="168" r:id="rId169"/>
    <sheet name="Tabla 240" sheetId="169" r:id="rId170"/>
    <sheet name="Tabla 81" sheetId="190" r:id="rId171"/>
  </sheets>
  <definedNames>
    <definedName name="_xlnm._FilterDatabase" localSheetId="1" hidden="1">'Índice Tablas'!$I$184:$I$184</definedName>
    <definedName name="_xlnm._FilterDatabase" localSheetId="73" hidden="1">'Tabla 110'!$A$4:$G$21</definedName>
    <definedName name="_xlnm._FilterDatabase" localSheetId="83" hidden="1">'Tabla 123'!$A$4:$D$60</definedName>
    <definedName name="_xlnm._FilterDatabase" localSheetId="12" hidden="1">'Tabla 8'!$A$4:$C$21</definedName>
    <definedName name="_xlnm._FilterDatabase" localSheetId="13" hidden="1">'Tabla 9'!$A$9:$B$9</definedName>
    <definedName name="_ftn1" localSheetId="86">'Gráfico 13'!#REF!</definedName>
    <definedName name="_ftn1" localSheetId="92">'Gráfico 15'!#REF!</definedName>
    <definedName name="_ftn1" localSheetId="103">'Gráfico 16'!#REF!</definedName>
    <definedName name="_ftn1" localSheetId="124">'Gráfico 17'!#REF!</definedName>
    <definedName name="_ftn1" localSheetId="126">'Gráfico 18'!#REF!</definedName>
    <definedName name="_ftn1" localSheetId="129">'Gráfico 19'!#REF!</definedName>
    <definedName name="_ftn1" localSheetId="140">'Gráfico 20'!#REF!</definedName>
    <definedName name="_ftn1" localSheetId="141">'Gráfico 21'!#REF!</definedName>
    <definedName name="_ftn1" localSheetId="30">'Gráfico 3'!#REF!</definedName>
    <definedName name="_ftn1" localSheetId="36">'Gráfico 4'!#REF!</definedName>
    <definedName name="_ftn1" localSheetId="38">'Gráfico 5'!#REF!</definedName>
    <definedName name="_ftn1" localSheetId="48">'Gráfico 6'!#REF!</definedName>
    <definedName name="_ftn1" localSheetId="56">'Gráfico 8'!#REF!</definedName>
    <definedName name="_ftn1" localSheetId="64">'Gráfico 9'!#REF!</definedName>
    <definedName name="_ftn1" localSheetId="20">'Ilustración 20'!#REF!</definedName>
    <definedName name="_ftn1" localSheetId="21">'Ilustración 21'!#REF!</definedName>
    <definedName name="_ftn1" localSheetId="22">'Ilustración 22'!#REF!</definedName>
    <definedName name="_ftn1" localSheetId="68">'Tabla 100'!#REF!</definedName>
    <definedName name="_ftn1" localSheetId="70">'Tabla 101'!#REF!</definedName>
    <definedName name="_ftn1" localSheetId="71">'Tabla 105'!#REF!</definedName>
    <definedName name="_ftn1" localSheetId="72">'Tabla 108'!#REF!</definedName>
    <definedName name="_ftn1" localSheetId="73">'Tabla 110'!#REF!</definedName>
    <definedName name="_ftn1" localSheetId="74">'Tabla 111'!#REF!</definedName>
    <definedName name="_ftn1" localSheetId="75">'Tabla 112'!#REF!</definedName>
    <definedName name="_ftn1" localSheetId="76">'Tabla 113'!#REF!</definedName>
    <definedName name="_ftn1" localSheetId="77">'Tabla 114'!#REF!</definedName>
    <definedName name="_ftn1" localSheetId="78">'Tabla 115'!#REF!</definedName>
    <definedName name="_ftn1" localSheetId="79">'Tabla 116'!#REF!</definedName>
    <definedName name="_ftn1" localSheetId="81">'Tabla 121'!#REF!</definedName>
    <definedName name="_ftn1" localSheetId="82">'Tabla 122'!#REF!</definedName>
    <definedName name="_ftn1" localSheetId="83">'Tabla 123'!#REF!</definedName>
    <definedName name="_ftn1" localSheetId="84">'Tabla 126'!#REF!</definedName>
    <definedName name="_ftn1" localSheetId="85">'Tabla 127'!#REF!</definedName>
    <definedName name="_ftn1" localSheetId="87">'Tabla 131'!#REF!</definedName>
    <definedName name="_ftn1" localSheetId="88">'Tabla 132'!#REF!</definedName>
    <definedName name="_ftn1" localSheetId="89">'Tabla 133'!#REF!</definedName>
    <definedName name="_ftn1" localSheetId="90">'Tabla 134'!#REF!</definedName>
    <definedName name="_ftn1" localSheetId="91">'Tabla 135'!#REF!</definedName>
    <definedName name="_ftn1" localSheetId="93">'Tabla 136'!#REF!</definedName>
    <definedName name="_ftn1" localSheetId="80">'Tabla 137'!#REF!</definedName>
    <definedName name="_ftn1" localSheetId="94">'Tabla 138'!#REF!</definedName>
    <definedName name="_ftn1" localSheetId="95">'Tabla 139'!#REF!</definedName>
    <definedName name="_ftn1" localSheetId="96">'Tabla 144'!#REF!</definedName>
    <definedName name="_ftn1" localSheetId="97">'Tabla 145'!#REF!</definedName>
    <definedName name="_ftn1" localSheetId="98">'Tabla 147'!#REF!</definedName>
    <definedName name="_ftn1" localSheetId="99">'Tabla 148'!#REF!</definedName>
    <definedName name="_ftn1" localSheetId="100">'Tabla 149'!#REF!</definedName>
    <definedName name="_ftn1" localSheetId="101">'Tabla 150'!#REF!</definedName>
    <definedName name="_ftn1" localSheetId="102">'Tabla 151'!#REF!</definedName>
    <definedName name="_ftn1" localSheetId="104">'Tabla 152'!#REF!</definedName>
    <definedName name="_ftn1" localSheetId="105">'Tabla 153'!#REF!</definedName>
    <definedName name="_ftn1" localSheetId="106">'Tabla 154'!#REF!</definedName>
    <definedName name="_ftn1" localSheetId="107">'Tabla 156'!#REF!</definedName>
    <definedName name="_ftn1" localSheetId="108">'Tabla 157'!#REF!</definedName>
    <definedName name="_ftn1" localSheetId="109">'Tabla 159'!#REF!</definedName>
    <definedName name="_ftn1" localSheetId="110">'Tabla 161'!#REF!</definedName>
    <definedName name="_ftn1" localSheetId="111">'Tabla 164'!#REF!</definedName>
    <definedName name="_ftn1" localSheetId="112">'Tabla 165'!#REF!</definedName>
    <definedName name="_ftn1" localSheetId="113">'Tabla 166'!#REF!</definedName>
    <definedName name="_ftn1" localSheetId="114">'Tabla 167'!#REF!</definedName>
    <definedName name="_ftn1" localSheetId="115">'Tabla 168'!#REF!</definedName>
    <definedName name="_ftn1" localSheetId="116">'Tabla 169'!#REF!</definedName>
    <definedName name="_ftn1" localSheetId="117">'Tabla 170'!#REF!</definedName>
    <definedName name="_ftn1" localSheetId="118">'Tabla 171'!#REF!</definedName>
    <definedName name="_ftn1" localSheetId="119">'Tabla 172'!#REF!</definedName>
    <definedName name="_ftn1" localSheetId="120">'Tabla 173'!#REF!</definedName>
    <definedName name="_ftn1" localSheetId="121">'Tabla 174'!#REF!</definedName>
    <definedName name="_ftn1" localSheetId="122">'Tabla 175'!#REF!</definedName>
    <definedName name="_ftn1" localSheetId="123">'Tabla 179'!#REF!</definedName>
    <definedName name="_ftn1" localSheetId="125">'Tabla 181'!#REF!</definedName>
    <definedName name="_ftn1" localSheetId="127">'Tabla 182'!#REF!</definedName>
    <definedName name="_ftn1" localSheetId="128">'Tabla 183'!#REF!</definedName>
    <definedName name="_ftn1" localSheetId="130">'Tabla 184'!#REF!</definedName>
    <definedName name="_ftn1" localSheetId="131">'Tabla 185'!#REF!</definedName>
    <definedName name="_ftn1" localSheetId="132">'Tabla 186'!#REF!</definedName>
    <definedName name="_ftn1" localSheetId="133">'Tabla 187'!#REF!</definedName>
    <definedName name="_ftn1" localSheetId="134">'Tabla 188'!#REF!</definedName>
    <definedName name="_ftn1" localSheetId="135">'Tabla 189'!#REF!</definedName>
    <definedName name="_ftn1" localSheetId="136">'Tabla 190'!#REF!</definedName>
    <definedName name="_ftn1" localSheetId="137">'Tabla 191'!#REF!</definedName>
    <definedName name="_ftn1" localSheetId="138">'Tabla 193'!#REF!</definedName>
    <definedName name="_ftn1" localSheetId="139">'Tabla 194'!#REF!</definedName>
    <definedName name="_ftn1" localSheetId="142">'Tabla 196'!#REF!</definedName>
    <definedName name="_ftn1" localSheetId="143">'Tabla 197'!#REF!</definedName>
    <definedName name="_ftn1" localSheetId="144">'Tabla 198'!#REF!</definedName>
    <definedName name="_ftn1" localSheetId="69">'Tabla 199'!#REF!</definedName>
    <definedName name="_ftn1" localSheetId="145">'Tabla 201'!#REF!</definedName>
    <definedName name="_ftn1" localSheetId="146">'Tabla 204'!#REF!</definedName>
    <definedName name="_ftn1" localSheetId="147">'Tabla 205'!#REF!</definedName>
    <definedName name="_ftn1" localSheetId="148">'Tabla 206'!#REF!</definedName>
    <definedName name="_ftn1" localSheetId="149">'Tabla 208'!#REF!</definedName>
    <definedName name="_ftn1" localSheetId="150">'Tabla 209'!#REF!</definedName>
    <definedName name="_ftn1" localSheetId="151">'Tabla 210'!#REF!</definedName>
    <definedName name="_ftn1" localSheetId="152">'Tabla 212'!#REF!</definedName>
    <definedName name="_ftn1" localSheetId="153">'Tabla 214'!#REF!</definedName>
    <definedName name="_ftn1" localSheetId="154">'Tabla 215'!#REF!</definedName>
    <definedName name="_ftn1" localSheetId="155">'Tabla 216'!#REF!</definedName>
    <definedName name="_ftn1" localSheetId="156">'Tabla 217'!#REF!</definedName>
    <definedName name="_ftn1" localSheetId="157">'Tabla 218'!#REF!</definedName>
    <definedName name="_ftn1" localSheetId="158">'Tabla 219'!#REF!</definedName>
    <definedName name="_ftn1" localSheetId="159">'Tabla 221'!#REF!</definedName>
    <definedName name="_ftn1" localSheetId="160">'Tabla 224'!#REF!</definedName>
    <definedName name="_ftn1" localSheetId="161">'Tabla 225'!#REF!</definedName>
    <definedName name="_ftn1" localSheetId="162">'Tabla 226'!#REF!</definedName>
    <definedName name="_ftn1" localSheetId="163">'Tabla 227'!#REF!</definedName>
    <definedName name="_ftn1" localSheetId="164">'Tabla 228'!#REF!</definedName>
    <definedName name="_ftn1" localSheetId="165">'Tabla 229'!#REF!</definedName>
    <definedName name="_ftn1" localSheetId="166">'Tabla 231'!#REF!</definedName>
    <definedName name="_ftn1" localSheetId="167">'Tabla 232'!#REF!</definedName>
    <definedName name="_ftn1" localSheetId="168">'Tabla 239'!#REF!</definedName>
    <definedName name="_ftn1" localSheetId="169">'Tabla 240'!#REF!</definedName>
    <definedName name="_ftn1" localSheetId="16">'Tabla 29'!#REF!</definedName>
    <definedName name="_ftn1" localSheetId="17">'Tabla 32'!#REF!</definedName>
    <definedName name="_ftn1" localSheetId="18">'Tabla 33'!#REF!</definedName>
    <definedName name="_ftn1" localSheetId="19">'Tabla 34'!#REF!</definedName>
    <definedName name="_ftn1" localSheetId="23">'Tabla 36'!#REF!</definedName>
    <definedName name="_ftn1" localSheetId="24">'Tabla 39'!#REF!</definedName>
    <definedName name="_ftn1" localSheetId="25">'Tabla 40'!#REF!</definedName>
    <definedName name="_ftn1" localSheetId="26">'Tabla 41'!#REF!</definedName>
    <definedName name="_ftn1" localSheetId="27">'Tabla 42'!#REF!</definedName>
    <definedName name="_ftn1" localSheetId="28">'Tabla 43'!#REF!</definedName>
    <definedName name="_ftn1" localSheetId="29">'Tabla 44'!#REF!</definedName>
    <definedName name="_ftn1" localSheetId="31">'Tabla 45'!#REF!</definedName>
    <definedName name="_ftn1" localSheetId="32">'Tabla 46'!#REF!</definedName>
    <definedName name="_ftn1" localSheetId="33">'Tabla 47'!#REF!</definedName>
    <definedName name="_ftn1" localSheetId="34">'Tabla 48'!#REF!</definedName>
    <definedName name="_ftn1" localSheetId="35">'Tabla 49'!#REF!</definedName>
    <definedName name="_ftn1" localSheetId="37">'Tabla 53'!#REF!</definedName>
    <definedName name="_ftn1" localSheetId="39">'Tabla 55'!#REF!</definedName>
    <definedName name="_ftn1" localSheetId="40">'Tabla 57'!#REF!</definedName>
    <definedName name="_ftn1" localSheetId="41">'Tabla 58'!#REF!</definedName>
    <definedName name="_ftn1" localSheetId="42">'Tabla 61'!#REF!</definedName>
    <definedName name="_ftn1" localSheetId="43">'Tabla 62'!#REF!</definedName>
    <definedName name="_ftn1" localSheetId="44">'Tabla 63'!#REF!</definedName>
    <definedName name="_ftn1" localSheetId="45">'Tabla 64'!#REF!</definedName>
    <definedName name="_ftn1" localSheetId="46">'Tabla 65'!#REF!</definedName>
    <definedName name="_ftn1" localSheetId="47">'Tabla 66'!#REF!</definedName>
    <definedName name="_ftn1" localSheetId="49">'Tabla 67'!#REF!</definedName>
    <definedName name="_ftn1" localSheetId="50">'Tabla 68'!#REF!</definedName>
    <definedName name="_ftn1" localSheetId="51">'Tabla 69'!#REF!</definedName>
    <definedName name="_ftn1" localSheetId="52">'Tabla 70'!#REF!</definedName>
    <definedName name="_ftn1" localSheetId="53">'Tabla 71'!#REF!</definedName>
    <definedName name="_ftn1" localSheetId="54">'Tabla 72'!#REF!</definedName>
    <definedName name="_ftn1" localSheetId="55">'Tabla 73'!#REF!</definedName>
    <definedName name="_ftn1" localSheetId="57">'Tabla 74'!#REF!</definedName>
    <definedName name="_ftn1" localSheetId="58">'Tabla 75'!#REF!</definedName>
    <definedName name="_ftn1" localSheetId="59">'Tabla 76'!#REF!</definedName>
    <definedName name="_ftn1" localSheetId="60">'Tabla 77'!#REF!</definedName>
    <definedName name="_ftn1" localSheetId="61">'Tabla 82'!#REF!</definedName>
    <definedName name="_ftn1" localSheetId="62">'Tabla 83'!#REF!</definedName>
    <definedName name="_ftn1" localSheetId="63">'Tabla 85'!#REF!</definedName>
    <definedName name="_ftn1" localSheetId="65">'Tabla 87'!#REF!</definedName>
    <definedName name="_ftn1" localSheetId="66">'Tabla 98'!#REF!</definedName>
    <definedName name="_ftn1" localSheetId="67">'Tabla 99'!#REF!</definedName>
    <definedName name="_ftnref1" localSheetId="86">'Gráfico 13'!#REF!</definedName>
    <definedName name="_ftnref1" localSheetId="92">'Gráfico 15'!#REF!</definedName>
    <definedName name="_ftnref1" localSheetId="103">'Gráfico 16'!#REF!</definedName>
    <definedName name="_ftnref1" localSheetId="124">'Gráfico 17'!#REF!</definedName>
    <definedName name="_ftnref1" localSheetId="126">'Gráfico 18'!#REF!</definedName>
    <definedName name="_ftnref1" localSheetId="129">'Gráfico 19'!#REF!</definedName>
    <definedName name="_ftnref1" localSheetId="140">'Gráfico 20'!#REF!</definedName>
    <definedName name="_ftnref1" localSheetId="141">'Gráfico 21'!#REF!</definedName>
    <definedName name="_ftnref1" localSheetId="30">'Gráfico 3'!#REF!</definedName>
    <definedName name="_ftnref1" localSheetId="36">'Gráfico 4'!#REF!</definedName>
    <definedName name="_ftnref1" localSheetId="38">'Gráfico 5'!#REF!</definedName>
    <definedName name="_ftnref1" localSheetId="48">'Gráfico 6'!#REF!</definedName>
    <definedName name="_ftnref1" localSheetId="56">'Gráfico 8'!#REF!</definedName>
    <definedName name="_ftnref1" localSheetId="64">'Gráfico 9'!#REF!</definedName>
    <definedName name="_ftnref1" localSheetId="20">'Ilustración 20'!#REF!</definedName>
    <definedName name="_ftnref1" localSheetId="21">'Ilustración 21'!#REF!</definedName>
    <definedName name="_ftnref1" localSheetId="22">'Ilustración 22'!#REF!</definedName>
    <definedName name="_ftnref1" localSheetId="68">'Tabla 100'!#REF!</definedName>
    <definedName name="_ftnref1" localSheetId="70">'Tabla 101'!#REF!</definedName>
    <definedName name="_ftnref1" localSheetId="71">'Tabla 105'!#REF!</definedName>
    <definedName name="_ftnref1" localSheetId="72">'Tabla 108'!#REF!</definedName>
    <definedName name="_ftnref1" localSheetId="73">'Tabla 110'!#REF!</definedName>
    <definedName name="_ftnref1" localSheetId="74">'Tabla 111'!#REF!</definedName>
    <definedName name="_ftnref1" localSheetId="75">'Tabla 112'!#REF!</definedName>
    <definedName name="_ftnref1" localSheetId="76">'Tabla 113'!#REF!</definedName>
    <definedName name="_ftnref1" localSheetId="77">'Tabla 114'!#REF!</definedName>
    <definedName name="_ftnref1" localSheetId="78">'Tabla 115'!#REF!</definedName>
    <definedName name="_ftnref1" localSheetId="79">'Tabla 116'!#REF!</definedName>
    <definedName name="_ftnref1" localSheetId="81">'Tabla 121'!#REF!</definedName>
    <definedName name="_ftnref1" localSheetId="82">'Tabla 122'!#REF!</definedName>
    <definedName name="_ftnref1" localSheetId="83">'Tabla 123'!#REF!</definedName>
    <definedName name="_ftnref1" localSheetId="84">'Tabla 126'!#REF!</definedName>
    <definedName name="_ftnref1" localSheetId="85">'Tabla 127'!#REF!</definedName>
    <definedName name="_ftnref1" localSheetId="87">'Tabla 131'!#REF!</definedName>
    <definedName name="_ftnref1" localSheetId="88">'Tabla 132'!#REF!</definedName>
    <definedName name="_ftnref1" localSheetId="89">'Tabla 133'!#REF!</definedName>
    <definedName name="_ftnref1" localSheetId="90">'Tabla 134'!#REF!</definedName>
    <definedName name="_ftnref1" localSheetId="91">'Tabla 135'!#REF!</definedName>
    <definedName name="_ftnref1" localSheetId="93">'Tabla 136'!#REF!</definedName>
    <definedName name="_ftnref1" localSheetId="80">'Tabla 137'!#REF!</definedName>
    <definedName name="_ftnref1" localSheetId="94">'Tabla 138'!#REF!</definedName>
    <definedName name="_ftnref1" localSheetId="95">'Tabla 139'!#REF!</definedName>
    <definedName name="_ftnref1" localSheetId="96">'Tabla 144'!#REF!</definedName>
    <definedName name="_ftnref1" localSheetId="97">'Tabla 145'!#REF!</definedName>
    <definedName name="_ftnref1" localSheetId="98">'Tabla 147'!#REF!</definedName>
    <definedName name="_ftnref1" localSheetId="99">'Tabla 148'!#REF!</definedName>
    <definedName name="_ftnref1" localSheetId="100">'Tabla 149'!#REF!</definedName>
    <definedName name="_ftnref1" localSheetId="101">'Tabla 150'!#REF!</definedName>
    <definedName name="_ftnref1" localSheetId="102">'Tabla 151'!#REF!</definedName>
    <definedName name="_ftnref1" localSheetId="104">'Tabla 152'!#REF!</definedName>
    <definedName name="_ftnref1" localSheetId="105">'Tabla 153'!#REF!</definedName>
    <definedName name="_ftnref1" localSheetId="106">'Tabla 154'!#REF!</definedName>
    <definedName name="_ftnref1" localSheetId="107">'Tabla 156'!#REF!</definedName>
    <definedName name="_ftnref1" localSheetId="108">'Tabla 157'!#REF!</definedName>
    <definedName name="_ftnref1" localSheetId="109">'Tabla 159'!#REF!</definedName>
    <definedName name="_ftnref1" localSheetId="110">'Tabla 161'!#REF!</definedName>
    <definedName name="_ftnref1" localSheetId="111">'Tabla 164'!#REF!</definedName>
    <definedName name="_ftnref1" localSheetId="112">'Tabla 165'!#REF!</definedName>
    <definedName name="_ftnref1" localSheetId="113">'Tabla 166'!#REF!</definedName>
    <definedName name="_ftnref1" localSheetId="114">'Tabla 167'!#REF!</definedName>
    <definedName name="_ftnref1" localSheetId="115">'Tabla 168'!#REF!</definedName>
    <definedName name="_ftnref1" localSheetId="116">'Tabla 169'!#REF!</definedName>
    <definedName name="_ftnref1" localSheetId="117">'Tabla 170'!#REF!</definedName>
    <definedName name="_ftnref1" localSheetId="118">'Tabla 171'!#REF!</definedName>
    <definedName name="_ftnref1" localSheetId="119">'Tabla 172'!#REF!</definedName>
    <definedName name="_ftnref1" localSheetId="120">'Tabla 173'!#REF!</definedName>
    <definedName name="_ftnref1" localSheetId="121">'Tabla 174'!#REF!</definedName>
    <definedName name="_ftnref1" localSheetId="122">'Tabla 175'!#REF!</definedName>
    <definedName name="_ftnref1" localSheetId="123">'Tabla 179'!#REF!</definedName>
    <definedName name="_ftnref1" localSheetId="125">'Tabla 181'!#REF!</definedName>
    <definedName name="_ftnref1" localSheetId="127">'Tabla 182'!#REF!</definedName>
    <definedName name="_ftnref1" localSheetId="128">'Tabla 183'!#REF!</definedName>
    <definedName name="_ftnref1" localSheetId="130">'Tabla 184'!#REF!</definedName>
    <definedName name="_ftnref1" localSheetId="131">'Tabla 185'!#REF!</definedName>
    <definedName name="_ftnref1" localSheetId="132">'Tabla 186'!#REF!</definedName>
    <definedName name="_ftnref1" localSheetId="133">'Tabla 187'!#REF!</definedName>
    <definedName name="_ftnref1" localSheetId="134">'Tabla 188'!#REF!</definedName>
    <definedName name="_ftnref1" localSheetId="135">'Tabla 189'!#REF!</definedName>
    <definedName name="_ftnref1" localSheetId="136">'Tabla 190'!#REF!</definedName>
    <definedName name="_ftnref1" localSheetId="137">'Tabla 191'!#REF!</definedName>
    <definedName name="_ftnref1" localSheetId="138">'Tabla 193'!#REF!</definedName>
    <definedName name="_ftnref1" localSheetId="139">'Tabla 194'!#REF!</definedName>
    <definedName name="_ftnref1" localSheetId="142">'Tabla 196'!#REF!</definedName>
    <definedName name="_ftnref1" localSheetId="143">'Tabla 197'!#REF!</definedName>
    <definedName name="_ftnref1" localSheetId="144">'Tabla 198'!#REF!</definedName>
    <definedName name="_ftnref1" localSheetId="69">'Tabla 199'!#REF!</definedName>
    <definedName name="_ftnref1" localSheetId="145">'Tabla 201'!#REF!</definedName>
    <definedName name="_ftnref1" localSheetId="146">'Tabla 204'!#REF!</definedName>
    <definedName name="_ftnref1" localSheetId="147">'Tabla 205'!#REF!</definedName>
    <definedName name="_ftnref1" localSheetId="148">'Tabla 206'!#REF!</definedName>
    <definedName name="_ftnref1" localSheetId="149">'Tabla 208'!#REF!</definedName>
    <definedName name="_ftnref1" localSheetId="150">'Tabla 209'!#REF!</definedName>
    <definedName name="_ftnref1" localSheetId="151">'Tabla 210'!#REF!</definedName>
    <definedName name="_ftnref1" localSheetId="152">'Tabla 212'!#REF!</definedName>
    <definedName name="_ftnref1" localSheetId="153">'Tabla 214'!#REF!</definedName>
    <definedName name="_ftnref1" localSheetId="154">'Tabla 215'!#REF!</definedName>
    <definedName name="_ftnref1" localSheetId="155">'Tabla 216'!#REF!</definedName>
    <definedName name="_ftnref1" localSheetId="156">'Tabla 217'!#REF!</definedName>
    <definedName name="_ftnref1" localSheetId="157">'Tabla 218'!#REF!</definedName>
    <definedName name="_ftnref1" localSheetId="158">'Tabla 219'!#REF!</definedName>
    <definedName name="_ftnref1" localSheetId="159">'Tabla 221'!#REF!</definedName>
    <definedName name="_ftnref1" localSheetId="160">'Tabla 224'!#REF!</definedName>
    <definedName name="_ftnref1" localSheetId="161">'Tabla 225'!#REF!</definedName>
    <definedName name="_ftnref1" localSheetId="162">'Tabla 226'!#REF!</definedName>
    <definedName name="_ftnref1" localSheetId="163">'Tabla 227'!#REF!</definedName>
    <definedName name="_ftnref1" localSheetId="164">'Tabla 228'!#REF!</definedName>
    <definedName name="_ftnref1" localSheetId="165">'Tabla 229'!#REF!</definedName>
    <definedName name="_ftnref1" localSheetId="166">'Tabla 231'!#REF!</definedName>
    <definedName name="_ftnref1" localSheetId="167">'Tabla 232'!#REF!</definedName>
    <definedName name="_ftnref1" localSheetId="168">'Tabla 239'!#REF!</definedName>
    <definedName name="_ftnref1" localSheetId="169">'Tabla 240'!#REF!</definedName>
    <definedName name="_ftnref1" localSheetId="16">'Tabla 29'!#REF!</definedName>
    <definedName name="_ftnref1" localSheetId="17">'Tabla 32'!#REF!</definedName>
    <definedName name="_ftnref1" localSheetId="18">'Tabla 33'!#REF!</definedName>
    <definedName name="_ftnref1" localSheetId="19">'Tabla 34'!#REF!</definedName>
    <definedName name="_ftnref1" localSheetId="23">'Tabla 36'!#REF!</definedName>
    <definedName name="_ftnref1" localSheetId="24">'Tabla 39'!#REF!</definedName>
    <definedName name="_ftnref1" localSheetId="25">'Tabla 40'!#REF!</definedName>
    <definedName name="_ftnref1" localSheetId="26">'Tabla 41'!#REF!</definedName>
    <definedName name="_ftnref1" localSheetId="27">'Tabla 42'!#REF!</definedName>
    <definedName name="_ftnref1" localSheetId="28">'Tabla 43'!#REF!</definedName>
    <definedName name="_ftnref1" localSheetId="29">'Tabla 44'!#REF!</definedName>
    <definedName name="_ftnref1" localSheetId="31">'Tabla 45'!#REF!</definedName>
    <definedName name="_ftnref1" localSheetId="32">'Tabla 46'!#REF!</definedName>
    <definedName name="_ftnref1" localSheetId="33">'Tabla 47'!#REF!</definedName>
    <definedName name="_ftnref1" localSheetId="34">'Tabla 48'!#REF!</definedName>
    <definedName name="_ftnref1" localSheetId="35">'Tabla 49'!#REF!</definedName>
    <definedName name="_ftnref1" localSheetId="37">'Tabla 53'!#REF!</definedName>
    <definedName name="_ftnref1" localSheetId="39">'Tabla 55'!#REF!</definedName>
    <definedName name="_ftnref1" localSheetId="40">'Tabla 57'!#REF!</definedName>
    <definedName name="_ftnref1" localSheetId="41">'Tabla 58'!#REF!</definedName>
    <definedName name="_ftnref1" localSheetId="42">'Tabla 61'!#REF!</definedName>
    <definedName name="_ftnref1" localSheetId="43">'Tabla 62'!#REF!</definedName>
    <definedName name="_ftnref1" localSheetId="44">'Tabla 63'!#REF!</definedName>
    <definedName name="_ftnref1" localSheetId="45">'Tabla 64'!#REF!</definedName>
    <definedName name="_ftnref1" localSheetId="46">'Tabla 65'!#REF!</definedName>
    <definedName name="_ftnref1" localSheetId="47">'Tabla 66'!#REF!</definedName>
    <definedName name="_ftnref1" localSheetId="49">'Tabla 67'!#REF!</definedName>
    <definedName name="_ftnref1" localSheetId="50">'Tabla 68'!#REF!</definedName>
    <definedName name="_ftnref1" localSheetId="51">'Tabla 69'!#REF!</definedName>
    <definedName name="_ftnref1" localSheetId="52">'Tabla 70'!#REF!</definedName>
    <definedName name="_ftnref1" localSheetId="53">'Tabla 71'!#REF!</definedName>
    <definedName name="_ftnref1" localSheetId="54">'Tabla 72'!#REF!</definedName>
    <definedName name="_ftnref1" localSheetId="55">'Tabla 73'!#REF!</definedName>
    <definedName name="_ftnref1" localSheetId="57">'Tabla 74'!#REF!</definedName>
    <definedName name="_ftnref1" localSheetId="58">'Tabla 75'!#REF!</definedName>
    <definedName name="_ftnref1" localSheetId="59">'Tabla 76'!#REF!</definedName>
    <definedName name="_ftnref1" localSheetId="60">'Tabla 77'!#REF!</definedName>
    <definedName name="_ftnref1" localSheetId="61">'Tabla 82'!#REF!</definedName>
    <definedName name="_ftnref1" localSheetId="62">'Tabla 83'!#REF!</definedName>
    <definedName name="_ftnref1" localSheetId="63">'Tabla 85'!#REF!</definedName>
    <definedName name="_ftnref1" localSheetId="65">'Tabla 87'!#REF!</definedName>
    <definedName name="_ftnref1" localSheetId="66">'Tabla 98'!#REF!</definedName>
    <definedName name="_ftnref1" localSheetId="67">'Tabla 99'!#REF!</definedName>
    <definedName name="_Hlk170381596" localSheetId="86">'Gráfico 13'!#REF!</definedName>
    <definedName name="_Hlk170381596" localSheetId="92">'Gráfico 15'!#REF!</definedName>
    <definedName name="_Hlk170381596" localSheetId="103">'Gráfico 16'!#REF!</definedName>
    <definedName name="_Hlk170381596" localSheetId="124">'Gráfico 17'!#REF!</definedName>
    <definedName name="_Hlk170381596" localSheetId="126">'Gráfico 18'!#REF!</definedName>
    <definedName name="_Hlk170381596" localSheetId="129">'Gráfico 19'!#REF!</definedName>
    <definedName name="_Hlk170381596" localSheetId="140">'Gráfico 20'!#REF!</definedName>
    <definedName name="_Hlk170381596" localSheetId="141">'Gráfico 21'!#REF!</definedName>
    <definedName name="_Hlk170381596" localSheetId="68">'Tabla 100'!#REF!</definedName>
    <definedName name="_Hlk170381596" localSheetId="70">'Tabla 101'!#REF!</definedName>
    <definedName name="_Hlk170381596" localSheetId="71">'Tabla 105'!#REF!</definedName>
    <definedName name="_Hlk170381596" localSheetId="72">'Tabla 108'!#REF!</definedName>
    <definedName name="_Hlk170381596" localSheetId="73">'Tabla 110'!#REF!</definedName>
    <definedName name="_Hlk170381596" localSheetId="74">'Tabla 111'!#REF!</definedName>
    <definedName name="_Hlk170381596" localSheetId="75">'Tabla 112'!#REF!</definedName>
    <definedName name="_Hlk170381596" localSheetId="76">'Tabla 113'!#REF!</definedName>
    <definedName name="_Hlk170381596" localSheetId="77">'Tabla 114'!#REF!</definedName>
    <definedName name="_Hlk170381596" localSheetId="78">'Tabla 115'!#REF!</definedName>
    <definedName name="_Hlk170381596" localSheetId="79">'Tabla 116'!#REF!</definedName>
    <definedName name="_Hlk170381596" localSheetId="81">'Tabla 121'!#REF!</definedName>
    <definedName name="_Hlk170381596" localSheetId="82">'Tabla 122'!#REF!</definedName>
    <definedName name="_Hlk170381596" localSheetId="83">'Tabla 123'!#REF!</definedName>
    <definedName name="_Hlk170381596" localSheetId="84">'Tabla 126'!#REF!</definedName>
    <definedName name="_Hlk170381596" localSheetId="85">'Tabla 127'!#REF!</definedName>
    <definedName name="_Hlk170381596" localSheetId="87">'Tabla 131'!#REF!</definedName>
    <definedName name="_Hlk170381596" localSheetId="88">'Tabla 132'!#REF!</definedName>
    <definedName name="_Hlk170381596" localSheetId="89">'Tabla 133'!#REF!</definedName>
    <definedName name="_Hlk170381596" localSheetId="90">'Tabla 134'!#REF!</definedName>
    <definedName name="_Hlk170381596" localSheetId="91">'Tabla 135'!#REF!</definedName>
    <definedName name="_Hlk170381596" localSheetId="93">'Tabla 136'!#REF!</definedName>
    <definedName name="_Hlk170381596" localSheetId="80">'Tabla 137'!#REF!</definedName>
    <definedName name="_Hlk170381596" localSheetId="94">'Tabla 138'!#REF!</definedName>
    <definedName name="_Hlk170381596" localSheetId="95">'Tabla 139'!#REF!</definedName>
    <definedName name="_Hlk170381596" localSheetId="96">'Tabla 144'!#REF!</definedName>
    <definedName name="_Hlk170381596" localSheetId="97">'Tabla 145'!#REF!</definedName>
    <definedName name="_Hlk170381596" localSheetId="98">'Tabla 147'!#REF!</definedName>
    <definedName name="_Hlk170381596" localSheetId="99">'Tabla 148'!#REF!</definedName>
    <definedName name="_Hlk170381596" localSheetId="100">'Tabla 149'!#REF!</definedName>
    <definedName name="_Hlk170381596" localSheetId="101">'Tabla 150'!#REF!</definedName>
    <definedName name="_Hlk170381596" localSheetId="102">'Tabla 151'!#REF!</definedName>
    <definedName name="_Hlk170381596" localSheetId="104">'Tabla 152'!#REF!</definedName>
    <definedName name="_Hlk170381596" localSheetId="105">'Tabla 153'!#REF!</definedName>
    <definedName name="_Hlk170381596" localSheetId="106">'Tabla 154'!#REF!</definedName>
    <definedName name="_Hlk170381596" localSheetId="107">'Tabla 156'!#REF!</definedName>
    <definedName name="_Hlk170381596" localSheetId="108">'Tabla 157'!#REF!</definedName>
    <definedName name="_Hlk170381596" localSheetId="109">'Tabla 159'!#REF!</definedName>
    <definedName name="_Hlk170381596" localSheetId="110">'Tabla 161'!#REF!</definedName>
    <definedName name="_Hlk170381596" localSheetId="111">'Tabla 164'!#REF!</definedName>
    <definedName name="_Hlk170381596" localSheetId="112">'Tabla 165'!#REF!</definedName>
    <definedName name="_Hlk170381596" localSheetId="113">'Tabla 166'!#REF!</definedName>
    <definedName name="_Hlk170381596" localSheetId="114">'Tabla 167'!#REF!</definedName>
    <definedName name="_Hlk170381596" localSheetId="115">'Tabla 168'!#REF!</definedName>
    <definedName name="_Hlk170381596" localSheetId="116">'Tabla 169'!#REF!</definedName>
    <definedName name="_Hlk170381596" localSheetId="117">'Tabla 170'!#REF!</definedName>
    <definedName name="_Hlk170381596" localSheetId="118">'Tabla 171'!#REF!</definedName>
    <definedName name="_Hlk170381596" localSheetId="119">'Tabla 172'!#REF!</definedName>
    <definedName name="_Hlk170381596" localSheetId="120">'Tabla 173'!#REF!</definedName>
    <definedName name="_Hlk170381596" localSheetId="121">'Tabla 174'!#REF!</definedName>
    <definedName name="_Hlk170381596" localSheetId="122">'Tabla 175'!#REF!</definedName>
    <definedName name="_Hlk170381596" localSheetId="123">'Tabla 179'!#REF!</definedName>
    <definedName name="_Hlk170381596" localSheetId="125">'Tabla 181'!#REF!</definedName>
    <definedName name="_Hlk170381596" localSheetId="127">'Tabla 182'!#REF!</definedName>
    <definedName name="_Hlk170381596" localSheetId="128">'Tabla 183'!#REF!</definedName>
    <definedName name="_Hlk170381596" localSheetId="130">'Tabla 184'!#REF!</definedName>
    <definedName name="_Hlk170381596" localSheetId="131">'Tabla 185'!#REF!</definedName>
    <definedName name="_Hlk170381596" localSheetId="132">'Tabla 186'!#REF!</definedName>
    <definedName name="_Hlk170381596" localSheetId="133">'Tabla 187'!#REF!</definedName>
    <definedName name="_Hlk170381596" localSheetId="134">'Tabla 188'!#REF!</definedName>
    <definedName name="_Hlk170381596" localSheetId="135">'Tabla 189'!#REF!</definedName>
    <definedName name="_Hlk170381596" localSheetId="136">'Tabla 190'!#REF!</definedName>
    <definedName name="_Hlk170381596" localSheetId="137">'Tabla 191'!#REF!</definedName>
    <definedName name="_Hlk170381596" localSheetId="138">'Tabla 193'!#REF!</definedName>
    <definedName name="_Hlk170381596" localSheetId="139">'Tabla 194'!#REF!</definedName>
    <definedName name="_Hlk170381596" localSheetId="142">'Tabla 196'!#REF!</definedName>
    <definedName name="_Hlk170381596" localSheetId="143">'Tabla 197'!#REF!</definedName>
    <definedName name="_Hlk170381596" localSheetId="144">'Tabla 198'!#REF!</definedName>
    <definedName name="_Hlk170381596" localSheetId="69">'Tabla 199'!#REF!</definedName>
    <definedName name="_Hlk170381596" localSheetId="145">'Tabla 201'!#REF!</definedName>
    <definedName name="_Hlk170381596" localSheetId="146">'Tabla 204'!#REF!</definedName>
    <definedName name="_Hlk170381596" localSheetId="147">'Tabla 205'!#REF!</definedName>
    <definedName name="_Hlk170381596" localSheetId="148">'Tabla 206'!#REF!</definedName>
    <definedName name="_Hlk170381596" localSheetId="149">'Tabla 208'!#REF!</definedName>
    <definedName name="_Hlk170381596" localSheetId="150">'Tabla 209'!#REF!</definedName>
    <definedName name="_Hlk170381596" localSheetId="151">'Tabla 210'!#REF!</definedName>
    <definedName name="_Hlk170381596" localSheetId="152">'Tabla 212'!#REF!</definedName>
    <definedName name="_Hlk170381596" localSheetId="153">'Tabla 214'!#REF!</definedName>
    <definedName name="_Hlk170381596" localSheetId="154">'Tabla 215'!#REF!</definedName>
    <definedName name="_Hlk170381596" localSheetId="155">'Tabla 216'!#REF!</definedName>
    <definedName name="_Hlk170381596" localSheetId="156">'Tabla 217'!#REF!</definedName>
    <definedName name="_Hlk170381596" localSheetId="157">'Tabla 218'!#REF!</definedName>
    <definedName name="_Hlk170381596" localSheetId="158">'Tabla 219'!#REF!</definedName>
    <definedName name="_Hlk170381596" localSheetId="159">'Tabla 221'!#REF!</definedName>
    <definedName name="_Hlk170381596" localSheetId="160">'Tabla 224'!#REF!</definedName>
    <definedName name="_Hlk170381596" localSheetId="161">'Tabla 225'!#REF!</definedName>
    <definedName name="_Hlk170381596" localSheetId="162">'Tabla 226'!#REF!</definedName>
    <definedName name="_Hlk170381596" localSheetId="163">'Tabla 227'!#REF!</definedName>
    <definedName name="_Hlk170381596" localSheetId="164">'Tabla 228'!#REF!</definedName>
    <definedName name="_Hlk170381596" localSheetId="165">'Tabla 229'!#REF!</definedName>
    <definedName name="_Hlk170381596" localSheetId="166">'Tabla 231'!#REF!</definedName>
    <definedName name="_Hlk170381596" localSheetId="167">'Tabla 232'!#REF!</definedName>
    <definedName name="_Hlk170381596" localSheetId="168">'Tabla 239'!#REF!</definedName>
    <definedName name="_Hlk170381596" localSheetId="169">'Tabla 240'!#REF!</definedName>
    <definedName name="_Hlk170381596" localSheetId="67">'Tabla 99'!$B$5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24" l="1"/>
  <c r="C15" i="24"/>
  <c r="B15" i="24"/>
  <c r="C11" i="25"/>
  <c r="H21" i="77"/>
  <c r="I25" i="75"/>
  <c r="J25" i="75"/>
  <c r="J8" i="11"/>
  <c r="I16" i="70"/>
  <c r="H16" i="70"/>
  <c r="J10" i="20"/>
  <c r="J14" i="20"/>
  <c r="M18" i="34"/>
  <c r="P18" i="35"/>
  <c r="N17" i="35"/>
  <c r="N15" i="35"/>
  <c r="N16" i="35"/>
  <c r="N14" i="35"/>
  <c r="H16" i="160"/>
  <c r="I16" i="160"/>
  <c r="I12" i="160"/>
  <c r="I8" i="160"/>
  <c r="D50" i="35"/>
  <c r="E50" i="35"/>
  <c r="F50" i="35"/>
  <c r="G50" i="35"/>
  <c r="C50" i="35"/>
  <c r="G45" i="35"/>
  <c r="G46" i="35"/>
  <c r="G47" i="35"/>
  <c r="G48" i="35"/>
  <c r="G49" i="35"/>
  <c r="G44" i="35"/>
  <c r="G41" i="35"/>
  <c r="F41" i="35"/>
  <c r="E41" i="35"/>
  <c r="D41" i="35"/>
  <c r="C41" i="35"/>
  <c r="C29" i="35"/>
  <c r="G29" i="35"/>
  <c r="F29" i="35"/>
  <c r="E29" i="35"/>
  <c r="D29" i="35"/>
  <c r="G33" i="35"/>
  <c r="G34" i="35"/>
  <c r="G35" i="35"/>
  <c r="G36" i="35"/>
  <c r="G37" i="35"/>
  <c r="G38" i="35"/>
  <c r="G39" i="35"/>
  <c r="G40" i="35"/>
  <c r="G32" i="35"/>
  <c r="G22" i="35"/>
  <c r="G23" i="35"/>
  <c r="G24" i="35"/>
  <c r="G25" i="35"/>
  <c r="G26" i="35"/>
  <c r="G27" i="35"/>
  <c r="G28" i="35"/>
  <c r="G21" i="35"/>
  <c r="E18" i="35"/>
  <c r="F18" i="35"/>
  <c r="D18" i="35"/>
  <c r="G11" i="35"/>
  <c r="G12" i="35"/>
  <c r="G13" i="35"/>
  <c r="G14" i="35"/>
  <c r="G15" i="35"/>
  <c r="G16" i="35"/>
  <c r="G17" i="35"/>
  <c r="G10" i="35"/>
  <c r="J36" i="33"/>
  <c r="I36" i="33"/>
  <c r="J18" i="140"/>
  <c r="I18" i="140"/>
  <c r="H18" i="140"/>
  <c r="G18" i="140"/>
  <c r="F18" i="140"/>
  <c r="E18" i="140"/>
  <c r="D18" i="140"/>
  <c r="C18" i="140"/>
  <c r="B18" i="140"/>
  <c r="J14" i="140"/>
  <c r="I14" i="140"/>
  <c r="H14" i="140"/>
  <c r="G14" i="140"/>
  <c r="F14" i="140"/>
  <c r="E14" i="140"/>
  <c r="D14" i="140"/>
  <c r="C14" i="140"/>
  <c r="B14" i="140"/>
  <c r="J16" i="140"/>
  <c r="I16" i="140"/>
  <c r="H16" i="140"/>
  <c r="G16" i="140"/>
  <c r="F16" i="140"/>
  <c r="E16" i="140"/>
  <c r="D16" i="140"/>
  <c r="C16" i="140"/>
  <c r="B16" i="140"/>
  <c r="M6" i="134"/>
  <c r="M13" i="134" s="1"/>
  <c r="Q8" i="82"/>
  <c r="P7" i="82"/>
  <c r="O7" i="82"/>
  <c r="I10" i="69"/>
  <c r="E18" i="3"/>
  <c r="D18" i="3"/>
  <c r="C18" i="3"/>
  <c r="B18" i="3"/>
  <c r="F17" i="3"/>
  <c r="F16" i="3"/>
  <c r="F15" i="3"/>
  <c r="F18" i="3" s="1"/>
  <c r="P6" i="109"/>
  <c r="J19" i="165"/>
  <c r="J18" i="165"/>
  <c r="J17" i="165"/>
  <c r="J16" i="165"/>
  <c r="J15" i="165"/>
  <c r="J14" i="165"/>
  <c r="J13" i="165"/>
  <c r="J12" i="165"/>
  <c r="J11" i="165"/>
  <c r="J10" i="165"/>
  <c r="J9" i="165"/>
  <c r="J8" i="165"/>
  <c r="J7" i="165"/>
  <c r="J6" i="165"/>
  <c r="G5" i="150"/>
  <c r="F20" i="141"/>
  <c r="E20" i="141"/>
  <c r="D20" i="141"/>
  <c r="C20" i="141"/>
  <c r="B20" i="141"/>
  <c r="N11" i="135"/>
  <c r="M11" i="135"/>
  <c r="N13" i="134"/>
  <c r="P9" i="105"/>
  <c r="P8" i="105"/>
  <c r="P7" i="105"/>
  <c r="P6" i="105"/>
  <c r="M6" i="103"/>
  <c r="M5" i="103"/>
  <c r="P7" i="102"/>
  <c r="P6" i="102"/>
  <c r="P5" i="102"/>
  <c r="O7" i="102"/>
  <c r="N7" i="102"/>
  <c r="P11" i="99"/>
  <c r="P10" i="99"/>
  <c r="P9" i="99"/>
  <c r="P8" i="99"/>
  <c r="P7" i="99"/>
  <c r="P6" i="99"/>
  <c r="P5" i="99"/>
  <c r="O11" i="99"/>
  <c r="N11" i="99"/>
  <c r="G19" i="98"/>
  <c r="F19" i="98"/>
  <c r="E19" i="98"/>
  <c r="D19" i="98"/>
  <c r="C19" i="98"/>
  <c r="B19" i="98"/>
  <c r="P7" i="97"/>
  <c r="P6" i="97"/>
  <c r="P5" i="97"/>
  <c r="P8" i="96"/>
  <c r="P7" i="96"/>
  <c r="P6" i="96"/>
  <c r="P5" i="96"/>
  <c r="O8" i="96"/>
  <c r="N8" i="96"/>
  <c r="P6" i="95"/>
  <c r="P5" i="95"/>
  <c r="I7" i="92"/>
  <c r="E13" i="90"/>
  <c r="D13" i="90"/>
  <c r="C13" i="90"/>
  <c r="B13" i="90"/>
  <c r="L5" i="87"/>
  <c r="M6" i="86"/>
  <c r="M5" i="86"/>
  <c r="L5" i="85"/>
  <c r="L5" i="84"/>
  <c r="Q9" i="82"/>
  <c r="Q6" i="82"/>
  <c r="Q5" i="82"/>
  <c r="P10" i="82"/>
  <c r="O10" i="82"/>
  <c r="B13" i="76"/>
  <c r="B13" i="74"/>
  <c r="H10" i="69"/>
  <c r="J10" i="69"/>
  <c r="J9" i="69"/>
  <c r="J8" i="69"/>
  <c r="J7" i="69"/>
  <c r="J6" i="69"/>
  <c r="L9" i="142"/>
  <c r="L8" i="142"/>
  <c r="L7" i="142"/>
  <c r="L6" i="142"/>
  <c r="J8" i="67"/>
  <c r="J7" i="67"/>
  <c r="J6" i="67"/>
  <c r="J5" i="67"/>
  <c r="K18" i="38"/>
  <c r="J18" i="38"/>
  <c r="I18" i="38"/>
  <c r="H18" i="38"/>
  <c r="D14" i="34"/>
  <c r="B14" i="34"/>
  <c r="K14" i="20"/>
  <c r="P12" i="17"/>
  <c r="P6" i="17"/>
  <c r="P7" i="17"/>
  <c r="P8" i="17"/>
  <c r="P9" i="17"/>
  <c r="P10" i="17"/>
  <c r="P11" i="17"/>
  <c r="P5" i="17"/>
  <c r="F18" i="138"/>
  <c r="E18" i="138"/>
  <c r="D18" i="138"/>
  <c r="C18" i="138"/>
  <c r="B18" i="138"/>
  <c r="F17" i="138"/>
  <c r="E17" i="138"/>
  <c r="D17" i="138"/>
  <c r="C17" i="138"/>
  <c r="B17" i="138"/>
  <c r="C9" i="136"/>
  <c r="D9" i="136"/>
  <c r="E9" i="136"/>
  <c r="F9" i="136"/>
  <c r="G9" i="136"/>
  <c r="H9" i="136"/>
  <c r="I9" i="136"/>
  <c r="J9" i="136"/>
  <c r="K9" i="136"/>
  <c r="L9" i="136"/>
  <c r="M9" i="136"/>
  <c r="N9" i="136"/>
  <c r="O9" i="136"/>
  <c r="B9" i="136"/>
  <c r="N8" i="137"/>
  <c r="O8" i="137"/>
  <c r="P7" i="136"/>
  <c r="P6" i="136"/>
  <c r="O18" i="131"/>
  <c r="P18" i="131"/>
  <c r="N9" i="130"/>
  <c r="O9" i="130"/>
  <c r="D11" i="126"/>
  <c r="E11" i="126"/>
  <c r="F11" i="126"/>
  <c r="G11" i="126"/>
  <c r="H11" i="126"/>
  <c r="I11" i="126"/>
  <c r="J11" i="126"/>
  <c r="K11" i="126"/>
  <c r="L11" i="126"/>
  <c r="M11" i="126"/>
  <c r="N11" i="126"/>
  <c r="O11" i="126"/>
  <c r="P11" i="126"/>
  <c r="C11" i="126"/>
  <c r="O9" i="124"/>
  <c r="O8" i="123"/>
  <c r="G18" i="35" l="1"/>
  <c r="Q10" i="82"/>
  <c r="B20" i="143"/>
  <c r="C20" i="143"/>
  <c r="D20" i="143"/>
  <c r="E20" i="143"/>
  <c r="F20" i="143"/>
  <c r="G19" i="143"/>
  <c r="G18" i="143"/>
  <c r="G20" i="143" s="1"/>
  <c r="N14" i="113"/>
  <c r="O14" i="113"/>
  <c r="I7" i="119"/>
  <c r="I7" i="118"/>
  <c r="O12" i="139"/>
  <c r="P6" i="139"/>
  <c r="P7" i="139"/>
  <c r="P8" i="139"/>
  <c r="P9" i="139"/>
  <c r="P10" i="139"/>
  <c r="P11" i="139"/>
  <c r="P5" i="139"/>
  <c r="P12" i="139" s="1"/>
  <c r="N12" i="139"/>
  <c r="I9" i="121"/>
  <c r="O8" i="12"/>
  <c r="N8" i="12"/>
  <c r="B13" i="18"/>
  <c r="B14" i="18" s="1"/>
  <c r="O9" i="13"/>
  <c r="N9" i="13"/>
  <c r="D10" i="125"/>
  <c r="E10" i="125"/>
  <c r="F10" i="125"/>
  <c r="G10" i="125"/>
  <c r="H10" i="125"/>
  <c r="I10" i="125"/>
  <c r="J10" i="125"/>
  <c r="K10" i="125"/>
  <c r="L10" i="125"/>
  <c r="M10" i="125"/>
  <c r="N10" i="125"/>
  <c r="O10" i="125"/>
  <c r="P10" i="125"/>
  <c r="C10" i="125"/>
  <c r="O14" i="127"/>
  <c r="P14" i="127"/>
  <c r="N12" i="124"/>
  <c r="O12" i="124"/>
  <c r="N13" i="124"/>
  <c r="O13" i="124"/>
  <c r="N14" i="124"/>
  <c r="O14" i="124"/>
  <c r="K6" i="112"/>
  <c r="K5" i="112"/>
  <c r="J7" i="112"/>
  <c r="K7" i="112" s="1"/>
  <c r="I7" i="112"/>
  <c r="P6" i="111"/>
  <c r="P7" i="111"/>
  <c r="P8" i="111"/>
  <c r="P5" i="111"/>
  <c r="O8" i="111"/>
  <c r="P8" i="110"/>
  <c r="P6" i="110"/>
  <c r="P7" i="110"/>
  <c r="P5" i="110"/>
  <c r="L6" i="115"/>
  <c r="L7" i="115"/>
  <c r="L8" i="115"/>
  <c r="L9" i="115"/>
  <c r="L5" i="115"/>
  <c r="P17" i="7"/>
  <c r="O17" i="7"/>
  <c r="P11" i="7"/>
  <c r="O11" i="7"/>
  <c r="P5" i="7"/>
  <c r="O5" i="7"/>
  <c r="K26" i="88" l="1"/>
  <c r="P26" i="88"/>
  <c r="P17" i="88"/>
  <c r="P18" i="88"/>
  <c r="P19" i="88"/>
  <c r="P20" i="88"/>
  <c r="P21" i="88"/>
  <c r="P22" i="88"/>
  <c r="P23" i="88"/>
  <c r="P24" i="88"/>
  <c r="P25" i="88"/>
  <c r="P16" i="88"/>
  <c r="P15" i="88"/>
  <c r="P7" i="88"/>
  <c r="P8" i="88"/>
  <c r="P9" i="88"/>
  <c r="P10" i="88"/>
  <c r="P11" i="88"/>
  <c r="P12" i="88"/>
  <c r="P13" i="88"/>
  <c r="P14" i="88"/>
  <c r="P6" i="88"/>
  <c r="P5" i="88"/>
  <c r="O27" i="88"/>
  <c r="O26" i="88"/>
  <c r="N26" i="88"/>
  <c r="N27" i="88"/>
  <c r="K14" i="2"/>
  <c r="J15" i="160"/>
  <c r="J14" i="160"/>
  <c r="J11" i="160"/>
  <c r="J10" i="160"/>
  <c r="J6" i="160"/>
  <c r="H12" i="160"/>
  <c r="G12" i="160"/>
  <c r="F12" i="160"/>
  <c r="E12" i="160"/>
  <c r="D12" i="160"/>
  <c r="C12" i="160"/>
  <c r="H8" i="160"/>
  <c r="C26" i="88"/>
  <c r="C27" i="88" s="1"/>
  <c r="D26" i="88"/>
  <c r="D27" i="88" s="1"/>
  <c r="E26" i="88"/>
  <c r="E27" i="88" s="1"/>
  <c r="F26" i="88"/>
  <c r="F27" i="88" s="1"/>
  <c r="G26" i="88"/>
  <c r="G27" i="88" s="1"/>
  <c r="H26" i="88"/>
  <c r="H27" i="88" s="1"/>
  <c r="I26" i="88"/>
  <c r="I27" i="88" s="1"/>
  <c r="J26" i="88"/>
  <c r="J27" i="88" s="1"/>
  <c r="K27" i="88"/>
  <c r="L26" i="88"/>
  <c r="L27" i="88" s="1"/>
  <c r="B26" i="88"/>
  <c r="B27" i="88" s="1"/>
  <c r="D31" i="190"/>
  <c r="C31" i="190"/>
  <c r="B31" i="190"/>
  <c r="C15" i="144"/>
  <c r="D15" i="144"/>
  <c r="E15" i="144"/>
  <c r="F15" i="144"/>
  <c r="G15" i="144"/>
  <c r="H15" i="144"/>
  <c r="I15" i="144"/>
  <c r="J15" i="144"/>
  <c r="K15" i="144"/>
  <c r="L15" i="144"/>
  <c r="M15" i="144"/>
  <c r="B15" i="144"/>
  <c r="J6" i="77"/>
  <c r="J7" i="77"/>
  <c r="J8" i="77"/>
  <c r="J9" i="77"/>
  <c r="J10" i="77"/>
  <c r="J11" i="77"/>
  <c r="J12" i="77"/>
  <c r="J13" i="77"/>
  <c r="J14" i="77"/>
  <c r="J15" i="77"/>
  <c r="J16" i="77"/>
  <c r="J17" i="77"/>
  <c r="J18" i="77"/>
  <c r="J19" i="77"/>
  <c r="J20" i="77"/>
  <c r="J5" i="77"/>
  <c r="M8" i="111"/>
  <c r="M8" i="110"/>
  <c r="J12" i="160" l="1"/>
  <c r="J16" i="160"/>
  <c r="B8" i="10"/>
  <c r="F7" i="3"/>
  <c r="F8" i="3"/>
  <c r="F6" i="3"/>
  <c r="C9" i="3"/>
  <c r="D9" i="3"/>
  <c r="E9" i="3"/>
  <c r="B9" i="3"/>
  <c r="F7" i="165"/>
  <c r="F19" i="165" s="1"/>
  <c r="E7" i="165"/>
  <c r="E19" i="165" s="1"/>
  <c r="D7" i="165"/>
  <c r="D19" i="165" s="1"/>
  <c r="C7" i="165"/>
  <c r="C19" i="165" s="1"/>
  <c r="B7" i="165"/>
  <c r="G7" i="165"/>
  <c r="G19" i="165" s="1"/>
  <c r="K9" i="168"/>
  <c r="K8" i="168"/>
  <c r="K7" i="168"/>
  <c r="K6" i="168"/>
  <c r="K10" i="168" s="1"/>
  <c r="I10" i="168"/>
  <c r="C10" i="168"/>
  <c r="G10" i="168"/>
  <c r="F10" i="168"/>
  <c r="E10" i="168"/>
  <c r="D10" i="168"/>
  <c r="J7" i="160"/>
  <c r="J8" i="160" s="1"/>
  <c r="G16" i="160"/>
  <c r="F16" i="160"/>
  <c r="E16" i="160"/>
  <c r="D16" i="160"/>
  <c r="C16" i="160"/>
  <c r="B19" i="165" l="1"/>
  <c r="F9" i="3"/>
  <c r="M12" i="139" l="1"/>
  <c r="J14" i="2"/>
  <c r="I150" i="154"/>
  <c r="L10" i="126"/>
  <c r="K10" i="126"/>
  <c r="J10" i="126"/>
  <c r="I10" i="126"/>
  <c r="H10" i="126"/>
  <c r="G10" i="126"/>
  <c r="F10" i="126"/>
  <c r="E10" i="126"/>
  <c r="D10" i="126"/>
  <c r="C10" i="126"/>
  <c r="M8" i="137"/>
  <c r="L13" i="134"/>
  <c r="L11" i="135"/>
  <c r="N18" i="131"/>
  <c r="M9" i="130"/>
  <c r="N14" i="127"/>
  <c r="M9" i="124"/>
  <c r="M8" i="123"/>
  <c r="M9" i="13" l="1"/>
  <c r="M8" i="12"/>
  <c r="M6" i="16"/>
  <c r="I14" i="20"/>
  <c r="H9" i="121"/>
  <c r="M12" i="17"/>
  <c r="H25" i="75"/>
  <c r="B15" i="145"/>
  <c r="C15" i="145"/>
  <c r="D15" i="145"/>
  <c r="E15" i="145"/>
  <c r="F15" i="145"/>
  <c r="G15" i="145"/>
  <c r="H15" i="145"/>
  <c r="I15" i="145"/>
  <c r="J15" i="145"/>
  <c r="K15" i="145"/>
  <c r="L15" i="145"/>
  <c r="M15" i="145"/>
  <c r="H150" i="154"/>
  <c r="I149" i="154"/>
  <c r="H149" i="154"/>
  <c r="I120" i="154"/>
  <c r="H120" i="154"/>
  <c r="I119" i="154"/>
  <c r="H119" i="154"/>
  <c r="H90" i="154"/>
  <c r="H89" i="154"/>
  <c r="I90" i="154"/>
  <c r="I89" i="154"/>
  <c r="H60" i="154"/>
  <c r="H59" i="154"/>
  <c r="I60" i="154"/>
  <c r="I59" i="154"/>
  <c r="I30" i="154"/>
  <c r="H30" i="154"/>
  <c r="I29" i="154"/>
  <c r="H29" i="154"/>
  <c r="H7" i="92"/>
  <c r="M14" i="113" l="1"/>
  <c r="P14" i="113" s="1"/>
  <c r="G8" i="67"/>
  <c r="H7" i="119"/>
  <c r="H7" i="118"/>
  <c r="M14" i="88"/>
  <c r="M5" i="88"/>
  <c r="I10" i="148"/>
  <c r="C11" i="147"/>
  <c r="C11" i="146"/>
  <c r="B12" i="169"/>
  <c r="B11" i="151"/>
  <c r="L9" i="148"/>
  <c r="L8" i="148"/>
  <c r="L7" i="148"/>
  <c r="L6" i="148"/>
  <c r="M14" i="124"/>
  <c r="L5" i="116"/>
  <c r="P13" i="113"/>
  <c r="P12" i="113"/>
  <c r="P11" i="113"/>
  <c r="P10" i="113"/>
  <c r="P9" i="113"/>
  <c r="P8" i="113"/>
  <c r="P7" i="113"/>
  <c r="P6" i="113"/>
  <c r="P5" i="113"/>
  <c r="N7" i="82"/>
  <c r="Q7" i="82" s="1"/>
  <c r="N10" i="82"/>
  <c r="F16" i="141"/>
  <c r="M26" i="88" l="1"/>
  <c r="M25" i="88"/>
  <c r="M13" i="124"/>
  <c r="M12" i="124"/>
  <c r="L12" i="139"/>
  <c r="H10" i="168"/>
  <c r="I14" i="2"/>
  <c r="D8" i="160"/>
  <c r="E8" i="160"/>
  <c r="F8" i="160"/>
  <c r="G8" i="160"/>
  <c r="C8" i="160"/>
  <c r="I148" i="154"/>
  <c r="H148" i="154"/>
  <c r="I147" i="154"/>
  <c r="H147" i="154"/>
  <c r="I118" i="154"/>
  <c r="H118" i="154"/>
  <c r="I117" i="154"/>
  <c r="H117" i="154"/>
  <c r="I88" i="154"/>
  <c r="H88" i="154"/>
  <c r="I87" i="154"/>
  <c r="H87" i="154"/>
  <c r="I57" i="154"/>
  <c r="H57" i="154"/>
  <c r="I58" i="154"/>
  <c r="H58" i="154"/>
  <c r="I28" i="154"/>
  <c r="H28" i="154"/>
  <c r="I27" i="154"/>
  <c r="H27" i="154"/>
  <c r="M9" i="125"/>
  <c r="L9" i="125"/>
  <c r="K9" i="125"/>
  <c r="J9" i="125"/>
  <c r="I9" i="125"/>
  <c r="H9" i="125"/>
  <c r="G9" i="125"/>
  <c r="F9" i="125"/>
  <c r="E9" i="125"/>
  <c r="D9" i="125"/>
  <c r="C9" i="125"/>
  <c r="C12" i="124"/>
  <c r="D12" i="124"/>
  <c r="E12" i="124"/>
  <c r="F12" i="124"/>
  <c r="G12" i="124"/>
  <c r="H12" i="124"/>
  <c r="I12" i="124"/>
  <c r="J12" i="124"/>
  <c r="K12" i="124"/>
  <c r="C13" i="124"/>
  <c r="D13" i="124"/>
  <c r="E13" i="124"/>
  <c r="F13" i="124"/>
  <c r="G13" i="124"/>
  <c r="H13" i="124"/>
  <c r="I13" i="124"/>
  <c r="J13" i="124"/>
  <c r="K13" i="124"/>
  <c r="C14" i="124"/>
  <c r="D14" i="124"/>
  <c r="E14" i="124"/>
  <c r="F14" i="124"/>
  <c r="G14" i="124"/>
  <c r="H14" i="124"/>
  <c r="I14" i="124"/>
  <c r="J14" i="124"/>
  <c r="K14" i="124"/>
  <c r="B13" i="124"/>
  <c r="B14" i="124"/>
  <c r="B12" i="124"/>
  <c r="L6" i="16"/>
  <c r="M27" i="88" l="1"/>
  <c r="P27" i="88"/>
  <c r="L12" i="17"/>
  <c r="K12" i="17"/>
  <c r="I9" i="142" l="1"/>
  <c r="H9" i="142"/>
  <c r="G9" i="142"/>
  <c r="F8" i="67"/>
  <c r="G21" i="77" l="1"/>
  <c r="J21" i="77" s="1"/>
  <c r="G25" i="75"/>
  <c r="G16" i="70"/>
  <c r="C10" i="82" l="1"/>
  <c r="D10" i="82"/>
  <c r="E10" i="82"/>
  <c r="F10" i="82"/>
  <c r="G10" i="82"/>
  <c r="H10" i="82"/>
  <c r="I10" i="82"/>
  <c r="J10" i="82"/>
  <c r="K10" i="82"/>
  <c r="L10" i="82"/>
  <c r="M10" i="82"/>
  <c r="D7" i="82"/>
  <c r="E7" i="82"/>
  <c r="F7" i="82"/>
  <c r="G7" i="82"/>
  <c r="H7" i="82"/>
  <c r="I7" i="82"/>
  <c r="J7" i="82"/>
  <c r="K7" i="82"/>
  <c r="L7" i="82"/>
  <c r="M7" i="82"/>
  <c r="C7" i="82"/>
  <c r="G7" i="58"/>
  <c r="F7" i="58"/>
  <c r="C7" i="57"/>
  <c r="D7" i="57"/>
  <c r="E7" i="57"/>
  <c r="F7" i="57"/>
  <c r="G7" i="57"/>
  <c r="B7" i="57"/>
  <c r="G7" i="56"/>
  <c r="F7" i="56"/>
  <c r="E7" i="56"/>
  <c r="D7" i="56"/>
  <c r="C7" i="56"/>
  <c r="B7" i="56"/>
  <c r="B7" i="55"/>
  <c r="G7" i="55"/>
  <c r="F7" i="55"/>
  <c r="G8" i="52"/>
  <c r="F8" i="51"/>
  <c r="G8" i="51"/>
  <c r="G11" i="51" s="1"/>
  <c r="G7" i="50"/>
  <c r="B7" i="50"/>
  <c r="C7" i="50"/>
  <c r="D7" i="50"/>
  <c r="E7" i="50"/>
  <c r="F7" i="50"/>
  <c r="B12" i="49"/>
  <c r="C12" i="49"/>
  <c r="D12" i="49"/>
  <c r="E12" i="49"/>
  <c r="G12" i="49"/>
  <c r="F12" i="49"/>
  <c r="F11" i="48"/>
  <c r="G10" i="48"/>
  <c r="G11" i="48" s="1"/>
  <c r="G12" i="48" s="1"/>
  <c r="G11" i="46"/>
  <c r="F11" i="46"/>
  <c r="G7" i="46"/>
  <c r="F7" i="46"/>
  <c r="F10" i="45"/>
  <c r="G8" i="44"/>
  <c r="B8" i="44"/>
  <c r="C8" i="44"/>
  <c r="D8" i="44"/>
  <c r="E8" i="44"/>
  <c r="F8" i="44"/>
  <c r="G8" i="41"/>
  <c r="F8" i="41"/>
  <c r="B8" i="150" l="1"/>
  <c r="C8" i="150"/>
  <c r="D8" i="150"/>
  <c r="C6" i="150"/>
  <c r="G6" i="150" s="1"/>
  <c r="B11" i="147"/>
  <c r="B11" i="146"/>
  <c r="L8" i="137"/>
  <c r="G7" i="150" l="1"/>
  <c r="G8" i="150"/>
  <c r="K11" i="135"/>
  <c r="K13" i="134"/>
  <c r="M18" i="131"/>
  <c r="L9" i="130"/>
  <c r="M14" i="127"/>
  <c r="L9" i="124"/>
  <c r="L8" i="123"/>
  <c r="M10" i="126" s="1"/>
  <c r="L9" i="13"/>
  <c r="H10" i="148"/>
  <c r="L10" i="148" s="1"/>
  <c r="K9" i="13"/>
  <c r="J9" i="13"/>
  <c r="I9" i="13"/>
  <c r="H9" i="13"/>
  <c r="G9" i="13"/>
  <c r="F9" i="13"/>
  <c r="E9" i="13"/>
  <c r="D9" i="13"/>
  <c r="C9" i="13"/>
  <c r="B9" i="13"/>
  <c r="B8" i="12"/>
  <c r="C8" i="12"/>
  <c r="D8" i="12"/>
  <c r="L8" i="12"/>
  <c r="K8" i="12"/>
  <c r="J8" i="12"/>
  <c r="I8" i="12"/>
  <c r="H8" i="12"/>
  <c r="G8" i="12"/>
  <c r="F8" i="12"/>
  <c r="E8" i="12"/>
  <c r="L12" i="124" l="1"/>
  <c r="L13" i="124"/>
  <c r="L14" i="1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tc={626C2689-5716-40F0-8280-3CB90ADAB05F}</author>
  </authors>
  <commentList>
    <comment ref="F142" authorId="0" shapeId="0" xr:uid="{626C2689-5716-40F0-8280-3CB90ADAB05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La tabla no corresponde al nombre en el indice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tc={FC2DC2B6-1274-478D-8CED-84CDBE778630}</author>
  </authors>
  <commentList>
    <comment ref="J4" authorId="0" shapeId="0" xr:uid="{FC2DC2B6-1274-478D-8CED-84CDBE778630}">
      <text>
        <t>[Comentario encadenado]
Tu versión de Excel te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@Brayan Sebastian Diaz Gomez me puede echar una mano porfavor  actualizando a 2025-1, 
tengo acceso a los datos pero no se cuales son los oficiales reportados. 
Respuesta:
    @Carlos Gustavo Rincon Quinones Listo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tc={D9B7782F-6EC5-48D9-A9D0-DE79EBAECF5A}</author>
  </authors>
  <commentList>
    <comment ref="A13" authorId="0" shapeId="0" xr:uid="{D9B7782F-6EC5-48D9-A9D0-DE79EBAECF5A}">
      <text>
        <t>[Comentario encadenado]
Tu versión de Excel te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@Carlos Gustavo Rincon Quinones 2026-1 revisar por fa estos son los datos que me dan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tc={1F11D3BF-3541-47A0-A621-8054405CAE3E}</author>
    <author>tc={D218375D-21E8-42B2-A932-06AAC2FF169D}</author>
  </authors>
  <commentList>
    <comment ref="L6" authorId="0" shapeId="0" xr:uid="{1F11D3BF-3541-47A0-A621-8054405CAE3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Buenas tardes, 
@Lina Vanessa Gonzalez Duran 
Desde Huella se debe anexar las becas para familiares que no son contabilizadas por recursos humanos, estos 38 corresponden a colaboradores que recibieron auxilios educativos, becas impulso, y becas huella pregrado y posgrado (que firmaron pagare)
Respuesta:
    Se agregan 26 beneficiados de beca por familiar de colaborador
</t>
      </text>
    </comment>
    <comment ref="M6" authorId="1" shapeId="0" xr:uid="{D218375D-21E8-42B2-A932-06AAC2FF169D}">
      <text>
        <t>[Comentario encadenado]
Tu versión de Excel te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Desde Huella se debe anexar las becas para familiares que no son contabilizadas por recursos humanos, estos 82 corresponden a colaboradores que recibieron auxilios educativos, becas impulso, y becas huella pregrado y posgrado (que firmaron pagare) @Lina Vanessa Gonzalez Duran 
Respuesta:
    Confirmo se sumaron 38 becas de familiar de colaborador otorgadas en 2025-1</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tc={3300AFA2-93C9-4C4D-8EA2-9B9AE1923681}</author>
  </authors>
  <commentList>
    <comment ref="B2" authorId="0" shapeId="0" xr:uid="{3300AFA2-93C9-4C4D-8EA2-9B9AE1923681}">
      <text>
        <t>[Comentario encadenado]
Tu versión de Excel te permite leer este comentario encadenado; sin embargo, las ediciones que se apliquen se quitarán si el archivo se abre en una versión más reciente de Excel. Más información: https://go.microsoft.com/fwlink/?linkid=870924
Comentario:
    @Carlos Gustavo Rincon Quinones actualizar datos
Respuesta:
    Y titulo</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tc={AB43861E-1344-864D-A8B9-B60885629CC4}</author>
  </authors>
  <commentList>
    <comment ref="A4" authorId="0" shapeId="0" xr:uid="{AB43861E-1344-864D-A8B9-B60885629CC4}">
      <text>
        <t>[Comentario encadenado]
Tu versión de Excel te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@Jhordan Stiven Saenz TibasosaHola, Jhordan. Debemos desglosar la información de los resultados por unidad académica aquí.
Respuesta:
    Listo, ya se actualizó en esta tabla la información, son 122 contando a Jenny que no se había contado en el cruce.</t>
      </text>
    </comment>
  </commentList>
</comments>
</file>

<file path=xl/sharedStrings.xml><?xml version="1.0" encoding="utf-8"?>
<sst xmlns="http://schemas.openxmlformats.org/spreadsheetml/2006/main" count="7270" uniqueCount="2183">
  <si>
    <t>No</t>
  </si>
  <si>
    <t>Factor</t>
  </si>
  <si>
    <t>SUBCAPÍTULO/CARACTERÍSTICA</t>
  </si>
  <si>
    <t>Tabla No</t>
  </si>
  <si>
    <t>Gráfico</t>
  </si>
  <si>
    <t>Nombre</t>
  </si>
  <si>
    <t>Fuente</t>
  </si>
  <si>
    <t>Responsable Información</t>
  </si>
  <si>
    <t>Enlace</t>
  </si>
  <si>
    <t>CONTEXTO INSTITUCIONAL</t>
  </si>
  <si>
    <t>Cifras institucionales</t>
  </si>
  <si>
    <t>Evolución de la oferta académica de la Sede Bogotá en el quinquenio</t>
  </si>
  <si>
    <t>DAC</t>
  </si>
  <si>
    <t>Hector pérez</t>
  </si>
  <si>
    <t>Sebastián Diaz</t>
  </si>
  <si>
    <t>Distribución de la oferta académica por facultades</t>
  </si>
  <si>
    <t>Programas acreditados en alta calidad en la Sede Bogotá</t>
  </si>
  <si>
    <t>Programas con informe de autoevaluación radicado en CNA</t>
  </si>
  <si>
    <t>Programas con condiciones iniciales aprobadas</t>
  </si>
  <si>
    <t>Matrícula de estudiantes 2019-2 a 2024-1</t>
  </si>
  <si>
    <t>Datos y Analítica</t>
  </si>
  <si>
    <t>Javier Mendieta</t>
  </si>
  <si>
    <t>Maylor Sabio</t>
  </si>
  <si>
    <t>Profesores por dedicación 2019-2 a 2024-1</t>
  </si>
  <si>
    <t>Dirección de Docencia</t>
  </si>
  <si>
    <t>Lina Giraldo</t>
  </si>
  <si>
    <t>Ángela Ramírez</t>
  </si>
  <si>
    <t>Profesores por nivel de formación</t>
  </si>
  <si>
    <t>Graduados por nivel de formación y modalidad 2019-2 a 2024-1</t>
  </si>
  <si>
    <t>Grupos de investigación categorizados en Ministerio de Ciencias, Tecnología e Innovación Minciencias</t>
  </si>
  <si>
    <t>Dir Investigación</t>
  </si>
  <si>
    <t>Jenny Hernández</t>
  </si>
  <si>
    <t>David Ricciulli</t>
  </si>
  <si>
    <t>Investigadores categorizados Minciencias</t>
  </si>
  <si>
    <t>Semilleros por facultad 2019-2- a 2024-1</t>
  </si>
  <si>
    <t>FACTOR 1. Identidad institucional</t>
  </si>
  <si>
    <t>Característica 3. Formación integral y construcción de identidad</t>
  </si>
  <si>
    <t>Resultados de las acciones de formación integral</t>
  </si>
  <si>
    <t>Carlos Rincón</t>
  </si>
  <si>
    <t>Característica 6. Rendición de cuentas</t>
  </si>
  <si>
    <t>Visualizaciones del informe de sostenibilidad anual</t>
  </si>
  <si>
    <t>Gerencia de Planeación y Gestión</t>
  </si>
  <si>
    <t>Liliana Bernal</t>
  </si>
  <si>
    <t>Camilo Chacón</t>
  </si>
  <si>
    <t>FACTOR 3. Desarrollo, gestión y sostenibilidad institucional</t>
  </si>
  <si>
    <t>Característica 7. Administración y Gestión</t>
  </si>
  <si>
    <t>Personal administrativo beneficiado con políticas de estímulos 2019-2 a 2024-1</t>
  </si>
  <si>
    <t>Gerencia Talento HUmano</t>
  </si>
  <si>
    <t>Andrea Carmona</t>
  </si>
  <si>
    <t>Francy Lineth Castrillón</t>
  </si>
  <si>
    <t xml:space="preserve">Participación de administrativos en formación </t>
  </si>
  <si>
    <t>Ascensos en la planta administrativa</t>
  </si>
  <si>
    <t>Mónica Avendaño</t>
  </si>
  <si>
    <t>Característica 8. Procesos de COmunicación</t>
  </si>
  <si>
    <t>Ilustración 20</t>
  </si>
  <si>
    <t>Frecuencia de uso de medios de comunicación para informarse</t>
  </si>
  <si>
    <t>Gerencia de Mercadeo / Estudio Brand equity Kanta</t>
  </si>
  <si>
    <t>Nestor Ivan Moreno</t>
  </si>
  <si>
    <t>Laura Barrera</t>
  </si>
  <si>
    <t>Ilustración 21</t>
  </si>
  <si>
    <t>Medios destacados para el Poli</t>
  </si>
  <si>
    <t>Ilustración 22</t>
  </si>
  <si>
    <t>Alcance de personas en Redes sociales cuentas del Poli</t>
  </si>
  <si>
    <t>Dirección de marca</t>
  </si>
  <si>
    <t>Leads obtenidos año a año por canal en el Poli</t>
  </si>
  <si>
    <t>Característica 10. Recursos de apoyo académico</t>
  </si>
  <si>
    <t>Tipología de recursos documentales en la Biblioteca</t>
  </si>
  <si>
    <t>Dirección de Bibliotecas</t>
  </si>
  <si>
    <t>Carmen Romero</t>
  </si>
  <si>
    <t>Elizabeth Rodríguez Mora</t>
  </si>
  <si>
    <t>Libros por área de conocimiento</t>
  </si>
  <si>
    <t>Revistas por área de conocimiento</t>
  </si>
  <si>
    <t>Recursos bibliográficos 2019-2 a 2024-1</t>
  </si>
  <si>
    <t>Uso de los Recursos Bibliográficos 2019-2 a 2024-1</t>
  </si>
  <si>
    <t>Divulgación periódica revistas</t>
  </si>
  <si>
    <t>Editorial</t>
  </si>
  <si>
    <t>Eduardo Norman Acevedo</t>
  </si>
  <si>
    <t>Guillermo Alberto González</t>
  </si>
  <si>
    <t>Estado de los ambientes inmersivos</t>
  </si>
  <si>
    <t>Secretaría Académica y de Extensión</t>
  </si>
  <si>
    <t>Luis Martín Trujillo</t>
  </si>
  <si>
    <t>Ambientes inmersivos registrados a nombre del Politécnico Grancolombiano</t>
  </si>
  <si>
    <t>Histórico de la salida a los estudiantes de los diferentes ambientes</t>
  </si>
  <si>
    <t>Uso de los ambientes inmersivos por los estudiantes Poli</t>
  </si>
  <si>
    <t xml:space="preserve">Distribución de los MI-Books por facultades </t>
  </si>
  <si>
    <t>Medición uso recorridos</t>
  </si>
  <si>
    <t>Visitas MI-Books por país</t>
  </si>
  <si>
    <t>Talleres y laboratorios de la Institución</t>
  </si>
  <si>
    <t>Dirección de Infraestructura</t>
  </si>
  <si>
    <t>Raul Ricardo Cortes Rincón</t>
  </si>
  <si>
    <t>Edith marthza Nino</t>
  </si>
  <si>
    <t>Sitios de práctica</t>
  </si>
  <si>
    <t>Dir Graduados y Proyección Empresarial</t>
  </si>
  <si>
    <t>Luis Miguel Corredor</t>
  </si>
  <si>
    <t>Característica 11. Infraestructura Física y Tecnológica</t>
  </si>
  <si>
    <t>Infraestructura física del Poli</t>
  </si>
  <si>
    <t>Infraestructura física 2019-2 a 2024-1</t>
  </si>
  <si>
    <t>Infraestructura Tecnológica 2019-2 a 2024-1</t>
  </si>
  <si>
    <t>Uriel Mejia Terán</t>
  </si>
  <si>
    <t>Iván Diaz / Diana García</t>
  </si>
  <si>
    <t>Característica 12. recursos y gestión Financiera</t>
  </si>
  <si>
    <t>Ingresos operacionales de la Institución</t>
  </si>
  <si>
    <t>Planeación Financiera</t>
  </si>
  <si>
    <t>Diana Baquero</t>
  </si>
  <si>
    <t>Fuentes de financiamiento internas y externas de la Institución</t>
  </si>
  <si>
    <t>Comportamiento de excedentes operacional y neto</t>
  </si>
  <si>
    <t>Evolución y composición del patrimonio</t>
  </si>
  <si>
    <t>Evolución y composición del activo</t>
  </si>
  <si>
    <t>Evolución del estado de la situación financiera</t>
  </si>
  <si>
    <t>inversiones realizadas en torno al plan de mejoramiento</t>
  </si>
  <si>
    <t>Liquidez y Capital de Trabajo</t>
  </si>
  <si>
    <t>Inversiones misionales de la Institución</t>
  </si>
  <si>
    <t>Inversiones en bienestar</t>
  </si>
  <si>
    <t>Inversiones en proyección social</t>
  </si>
  <si>
    <t>Inversión en investigación</t>
  </si>
  <si>
    <t>Inversión en internacionalización</t>
  </si>
  <si>
    <t>Inversión en Docencia</t>
  </si>
  <si>
    <t>Ingresos Por extensión</t>
  </si>
  <si>
    <t>Inversión en Infraestructura</t>
  </si>
  <si>
    <t>Inversión en Infraestructura tecnológica</t>
  </si>
  <si>
    <t>Inversión en contenidos virtuales</t>
  </si>
  <si>
    <t>Inversión en Medios Audiovisuales y Biblioteca</t>
  </si>
  <si>
    <t>FACTOR 4. Mejoramiento continuo y Autoregulación</t>
  </si>
  <si>
    <t>Característica 14. procesos de Autorregulación</t>
  </si>
  <si>
    <t>Proyectos finalizados</t>
  </si>
  <si>
    <t>Rubén Dario Gelvez</t>
  </si>
  <si>
    <t>Proyectos en ejecución</t>
  </si>
  <si>
    <t>Característica 16. Evaluación de directivas, profesores y personal administrativo</t>
  </si>
  <si>
    <t>Procesos formación permanente desarrollados desde el SIAC</t>
  </si>
  <si>
    <t>Resultados de la evaluación de administrativos</t>
  </si>
  <si>
    <t>Dirección de Formación</t>
  </si>
  <si>
    <t>Resultados de la evaluación de profesores</t>
  </si>
  <si>
    <t>FACTOR 5. Estructura y procesos académicos</t>
  </si>
  <si>
    <t>Característica 18. Componentes pedagógicos y de evaluación</t>
  </si>
  <si>
    <t>Formación a equipos curriculares encargados de la declaración y formulación de resultados de aprendizaje</t>
  </si>
  <si>
    <t>Dirección de currículo</t>
  </si>
  <si>
    <t>Maria Isabel Cortes</t>
  </si>
  <si>
    <t>Diana Shirley Velasquez</t>
  </si>
  <si>
    <t>Formación para declarar indicadores de logro</t>
  </si>
  <si>
    <t>Participación de profesores formación del Modelo Institucional de Resultados de Aprendizaje</t>
  </si>
  <si>
    <t>Participación de profesores en el plan de cualificación institucional</t>
  </si>
  <si>
    <t>Característica 20. Procesos de creación, modificación y ampliación de programas académicos</t>
  </si>
  <si>
    <t>Evolución de la nueva oferta 2019-2024</t>
  </si>
  <si>
    <t>FACTOR 6. Aportes de la investigación, la innovación, el desarrollo tecnológico y la creación al entorno</t>
  </si>
  <si>
    <t>Característica 21. Formación para la investigación, creación e innovación</t>
  </si>
  <si>
    <t>Estudiantes en actividades de investigación 2019 a 2024-1</t>
  </si>
  <si>
    <t>Característica 22. Investigación, desarrollo tecnológico, innovación y creación</t>
  </si>
  <si>
    <t>Resultado de los grupos institucionales en la Convocatoria de Medición de Grupos e Investigadores 894</t>
  </si>
  <si>
    <t>Investigadores categorizados por área en la Convocatoria de Medición de Grupos e Investigadores 894</t>
  </si>
  <si>
    <t>Profesores en capacitaciones de investigación durante el quinquenio</t>
  </si>
  <si>
    <t>Estímulos por productividad de alto impacto entregados a profesores</t>
  </si>
  <si>
    <t xml:space="preserve">Número de Proyectos de investigación 2019-2024 </t>
  </si>
  <si>
    <t>Número de Proyectos con obtención de recursos externos</t>
  </si>
  <si>
    <t>Productividad académica por tipología entre 2019-2024-1</t>
  </si>
  <si>
    <t>Histórico de producción del Laboratorio de Experiencias de Aprendizaje Inmersivo (LEAI y MI-Book) 2019-2024</t>
  </si>
  <si>
    <t>David Ricciulli/luis Martín Trujillo</t>
  </si>
  <si>
    <t>Histórico de uso de los ambientes inmersivos por parte de los estudiantes 2019-2024</t>
  </si>
  <si>
    <t>Proyectos con aliados regionales</t>
  </si>
  <si>
    <t>FACTOR 7. Impacto Social</t>
  </si>
  <si>
    <t>Característica 23. Institución y entorno</t>
  </si>
  <si>
    <t>Capacitación y actualización profesional entre 2019-2 a 2024-1</t>
  </si>
  <si>
    <t>Servicios corporativos</t>
  </si>
  <si>
    <t xml:space="preserve">John Jaime Marín </t>
  </si>
  <si>
    <t>Estudiantes que realizan práctica profesional de acuerdo con los tipos de vinculación 2019-2 a 2024-1</t>
  </si>
  <si>
    <t>Estudiantes modalidad virtual que han realizado practicas pedagógicas entre 2019-2024</t>
  </si>
  <si>
    <t>Estudiantes modalidad presencial y virtual que han realizado prácticas educativas del programa de Psicología entre 2019-2024</t>
  </si>
  <si>
    <t>Estudiantes modalidad presencial y virtual que han realizado prácticas en el consultorio tributario y empresarial entre 2019-2024</t>
  </si>
  <si>
    <t>Consultorio Tributario y Empresarial</t>
  </si>
  <si>
    <t>Estudiantes en modalidad presencial que han realizado prácticas entre 2019-2024</t>
  </si>
  <si>
    <t>Estudiantes de modalidad presencial que han realizado prácticas en la Agencia Trompo entre 2019-2024</t>
  </si>
  <si>
    <t>Histórico de Becas otorgadas por el Poli entre 2019-2 y 2024-1</t>
  </si>
  <si>
    <t>Dirección de Bienestar</t>
  </si>
  <si>
    <t>Juan Carlos Rivera</t>
  </si>
  <si>
    <t>Lina Vanessa gonzález</t>
  </si>
  <si>
    <t>Usuarios que han tomado el servicio de transporte desde 2019 a 2024-1</t>
  </si>
  <si>
    <t>Servicios Administrativos</t>
  </si>
  <si>
    <t>Gustavo Espinel</t>
  </si>
  <si>
    <t>Investigación asociada a proyección social 2019-1 a 2024-1</t>
  </si>
  <si>
    <t>Actividad y población impactada entre 2020-2023</t>
  </si>
  <si>
    <t xml:space="preserve">Escuela de Educación e Innovación
</t>
  </si>
  <si>
    <t>Gerardo Machuca</t>
  </si>
  <si>
    <t>Semilleros asociados a proyección social 2019-2024-1</t>
  </si>
  <si>
    <t>David Ricciulli /Maria alejandra Tequia</t>
  </si>
  <si>
    <t>Trabajos de grado que han aportado a la solución de problemas en el entorno</t>
  </si>
  <si>
    <t>****</t>
  </si>
  <si>
    <t>Carlos Augusto García</t>
  </si>
  <si>
    <t>Mary Natalia Ortegón</t>
  </si>
  <si>
    <t>FACTOR 8. Visibilidad nacional e internacional</t>
  </si>
  <si>
    <t>Característica 25. Inserción de la Institución en contextos académicos nacionales e internacionales</t>
  </si>
  <si>
    <t>Convenios por países</t>
  </si>
  <si>
    <t>Dirección de Relaciones Internacionales e Interinstitucionales</t>
  </si>
  <si>
    <t>Raquel Breton</t>
  </si>
  <si>
    <t>Número de clases espejo y estudiantes que participaron en estos espacios</t>
  </si>
  <si>
    <t>Número de estudiantes con reconocimientos académicos por medio de seminarios internacionales virtuales, doble titulación, intercambio virtual</t>
  </si>
  <si>
    <t>Número de profesores y expertos invitados</t>
  </si>
  <si>
    <t>Número de estudiantes en internacionalización en casa</t>
  </si>
  <si>
    <t>Número de estudiantes en cursos de idiomas</t>
  </si>
  <si>
    <t>Número de convenios con ICETEX para asistentes extranjeros</t>
  </si>
  <si>
    <t>Evolución bilingüismo profesores</t>
  </si>
  <si>
    <t>Número de eventos académicos desde y para la academia</t>
  </si>
  <si>
    <t>Contenido del Poli para otros</t>
  </si>
  <si>
    <t>Actividades en las regiones</t>
  </si>
  <si>
    <t>Característica 26. Relaciones externas de profesores y estudiantes</t>
  </si>
  <si>
    <t>Cifras de movilidad saliente y entrante de estudiantes y profesores</t>
  </si>
  <si>
    <t>Países de destino y origen para movilidad</t>
  </si>
  <si>
    <t>Reconocimientos</t>
  </si>
  <si>
    <t>Número de publicaciones internacionales</t>
  </si>
  <si>
    <t>FACTOR 9. Bienestar institucional</t>
  </si>
  <si>
    <t>Característica 27. Estructura y funcionamiento del bienestar institucional</t>
  </si>
  <si>
    <t>Atención Centro de Psicológica</t>
  </si>
  <si>
    <t>Participación de la comunidad en actividades artísticas y culturales</t>
  </si>
  <si>
    <t>Lina Vanessa González</t>
  </si>
  <si>
    <t>Participación de la comunidad en actividades deportivas</t>
  </si>
  <si>
    <t>Participación de la comunidad en Moocs</t>
  </si>
  <si>
    <t xml:space="preserve">Información de Estrategias de prevención de Riesgo ocupacional </t>
  </si>
  <si>
    <t xml:space="preserve">Sistema de Gestión de Seguridad y Salud en el Trabajo 
</t>
  </si>
  <si>
    <t>Luz Adriana Álvarez</t>
  </si>
  <si>
    <t>Sandra Milena Sánchez</t>
  </si>
  <si>
    <t xml:space="preserve">Participación de la comunidad en los programas de prevención de riesgo </t>
  </si>
  <si>
    <t>Eloina Durán</t>
  </si>
  <si>
    <t>Atención a la comunidad en Enfermería</t>
  </si>
  <si>
    <t>Participación en actividades de promoción y cuidado de la salud</t>
  </si>
  <si>
    <t>Actividades tendientes a prevenir desastres y atender emergencias</t>
  </si>
  <si>
    <t>Participación en Estrategias de Bienestar de administrativos</t>
  </si>
  <si>
    <t>Participación en Estrategias de Bienestar de profesores</t>
  </si>
  <si>
    <t>Porcentajes de satisfacción de las actividades de bienestar _ Administrativos y Profesores</t>
  </si>
  <si>
    <t>FACTOR 10. Comunidad de profesores</t>
  </si>
  <si>
    <t>Característica 28. Derechos y deberes de los profesores</t>
  </si>
  <si>
    <t>Ascenso de profesores en el Escalafón profesoral en el quinquenio</t>
  </si>
  <si>
    <t>Planta profesoral distribuida por categoría en el escalafón durante el quinquenio</t>
  </si>
  <si>
    <t>Característica 29. Planta profesoral</t>
  </si>
  <si>
    <t>Distribución de profesores por dedicación</t>
  </si>
  <si>
    <t>Histórico profesores tiempo completo y medio tiempo anuales e indefinidos</t>
  </si>
  <si>
    <t>Profesores por Facultad</t>
  </si>
  <si>
    <t>Proporción por tipo de contrato</t>
  </si>
  <si>
    <t>Relación Profesor/ Estudiante con contrato indefinido y anual</t>
  </si>
  <si>
    <t>Relación Profesor/Estudiante  total duraciones</t>
  </si>
  <si>
    <t>Evolución de profesores por dedicación y nivel de formación</t>
  </si>
  <si>
    <t>RECURSOS INVERTIDOS EN FORMACIÓN A PROFESORES</t>
  </si>
  <si>
    <t>Diana Baquero - Andrea Carmona</t>
  </si>
  <si>
    <t>Recursos Invertidos por Nivel de Formación</t>
  </si>
  <si>
    <t>Distribución de la Labor profesoral semanal-histórica</t>
  </si>
  <si>
    <t>Planes de trabajo, horas semanales profesores de planta</t>
  </si>
  <si>
    <t>Característica 30. Trayectoria profesoral</t>
  </si>
  <si>
    <t>Resultados de la Evaluación 360° a profesores en el quinquenio</t>
  </si>
  <si>
    <t>Dirección de Formación y desarrollo.</t>
  </si>
  <si>
    <t>Resultados Evaluación Integral de Desempeño profesoral 360° por actores</t>
  </si>
  <si>
    <t>Estudio comparado: Resultados Evaluación Integral de Desempeño profesoral</t>
  </si>
  <si>
    <t>Característica 31. Desarrollo profesoral</t>
  </si>
  <si>
    <t>Formación de profesores en el quinquenio 2019-2 a 2024-1</t>
  </si>
  <si>
    <t>Evolución Bilingüismo Profesores en el Quinquenio</t>
  </si>
  <si>
    <t>Inversión en formación de profesores durante el quinquenio</t>
  </si>
  <si>
    <t>Andrea Carmona - Diana Baquero</t>
  </si>
  <si>
    <t>Número de apoyos a profesores durante el quinquenio</t>
  </si>
  <si>
    <t xml:space="preserve">Andrea Carmona </t>
  </si>
  <si>
    <t>Profesores T.C en estrategias Resultados de Aprendizaje 2021 a 2023</t>
  </si>
  <si>
    <t>Característica 32. Interacción académica de los profesore</t>
  </si>
  <si>
    <t>Consolidado del último quinquenio frente a la participación de la Institución en distintos escenarios que le ha otorgado algún reconocimiento por su gestión, participación y/o resultado</t>
  </si>
  <si>
    <t>FACTOR 11. Comunidad de estudiantes</t>
  </si>
  <si>
    <t>Característica 33. Derechos y deberes de los estudiantes</t>
  </si>
  <si>
    <t>Estudiantes en condición de discapacidad matriculados 2019 a 2024-1</t>
  </si>
  <si>
    <t>Caracterización poblacional estudiantes sede Bogotá</t>
  </si>
  <si>
    <t>Dirección de Experiencia e Inclusión</t>
  </si>
  <si>
    <t>Carolina Jurado</t>
  </si>
  <si>
    <t>Caracterización poblacional estudiantes sede Virtual</t>
  </si>
  <si>
    <t>Estudiantes en seguimiento a 2024</t>
  </si>
  <si>
    <t>Capacitación Fortalecimiento de Cultura Inclusiva</t>
  </si>
  <si>
    <t>Recaudo Fondo de inclusión</t>
  </si>
  <si>
    <t>Ruta de atención de casos de violencia basada en género</t>
  </si>
  <si>
    <t>Característica 34. Admisión y permanencia de estudiantes</t>
  </si>
  <si>
    <t>Estudiantes Admitidos durante el quinquenio 2019-2 a 2024-1</t>
  </si>
  <si>
    <t>Población Estudiantes 2019-2 a 2024-1</t>
  </si>
  <si>
    <t>Comunidad de estudiantes por modalidad 2019-2 a 2024-1</t>
  </si>
  <si>
    <t>Tasa de deserción cohorte promedio SPADIES quinquenio 2019-2022</t>
  </si>
  <si>
    <t>SPADIES</t>
  </si>
  <si>
    <t>Deserción anual SPADIES 2019 a 2022</t>
  </si>
  <si>
    <t>Tasa de deserción Poli</t>
  </si>
  <si>
    <t>Dirección de permanencia</t>
  </si>
  <si>
    <t>Andrés Felipe Correa</t>
  </si>
  <si>
    <t>Diana Leticia Guerrero - Erika Lizeth Alzate</t>
  </si>
  <si>
    <t>Característica 35. Estímulos y apoyos para estudiantes</t>
  </si>
  <si>
    <t>Beneficios a estudiantes durante el quinquenio</t>
  </si>
  <si>
    <t>FACTOR 12. Comunidad de egresados</t>
  </si>
  <si>
    <t>Característica 36. Seguimiento a egresados</t>
  </si>
  <si>
    <t>Graduados que han diligenciado los instrumentos de seguimiento</t>
  </si>
  <si>
    <t>Dirección de Graduados.</t>
  </si>
  <si>
    <t>Cristina Forero</t>
  </si>
  <si>
    <t>Nidia Lucero Rueda</t>
  </si>
  <si>
    <t>Vinculación laboral - recién graduados</t>
  </si>
  <si>
    <t>Observatorio Laboral MEN</t>
  </si>
  <si>
    <t>Ingresos salariales (IBC) Nivel de estudios: Poli vs País</t>
  </si>
  <si>
    <t>Sector empleabilidad de graduados Poli</t>
  </si>
  <si>
    <t xml:space="preserve">Qué tan relacionado se encuentra su trabajo con el programa de formación </t>
  </si>
  <si>
    <t>Relación de programas de formación con participación de graduados</t>
  </si>
  <si>
    <t>Característica 37. Egresados y programas académicos</t>
  </si>
  <si>
    <t>Nivel de Satisfacción con la Institución</t>
  </si>
  <si>
    <t>Graduados que continúan sus estudios de posgrado Poli 2019-2 a 2024-1</t>
  </si>
  <si>
    <t>Característica 38. Relación de los egresados con la Institución</t>
  </si>
  <si>
    <t>Contribuciones académicas de los graduados</t>
  </si>
  <si>
    <t>Relación de graduados participantes de las actividades del Centro Emprendimiento</t>
  </si>
  <si>
    <t xml:space="preserve">Centro de Emprendimiento – Reporte SNIES
</t>
  </si>
  <si>
    <t>Orden</t>
  </si>
  <si>
    <t>Observaciones</t>
  </si>
  <si>
    <t>Matrícula de estudiantes 2019-2 a 2025-1</t>
  </si>
  <si>
    <t>Profesores por dedicación 2019-2 a 2025-1</t>
  </si>
  <si>
    <t>Graduados por nivel de formación y modalidad 2019-2 a 2025-1</t>
  </si>
  <si>
    <t>Nota: Se actualizan con los últimos resultados Convocatoria 957</t>
  </si>
  <si>
    <t>Semilleros por facultad 2019-2- a 2025-1</t>
  </si>
  <si>
    <t>Personal administrativo beneficiado con políticas de estímulos 2019-2 a 2025-1</t>
  </si>
  <si>
    <t xml:space="preserve">Gerencia de Mercadeo / Estudio Brand equity </t>
  </si>
  <si>
    <t>Natalia Rincón</t>
  </si>
  <si>
    <t>Tipología de recursos documentales en la Biblioteca 2025-1</t>
  </si>
  <si>
    <t>Recursos bibliográficos 2019-2 a 2025-1</t>
  </si>
  <si>
    <t>Uso de los Recursos Bibliográficos 2019-2 a 2025-1</t>
  </si>
  <si>
    <t>Infraestructura física 2019-2 a 2025-1</t>
  </si>
  <si>
    <t>Infraestructura Tecnológica 2019-2 a 2025-1</t>
  </si>
  <si>
    <t>Son datos anuales, se actualiza con información cierre 2024</t>
  </si>
  <si>
    <t>Evolución de la nueva oferta 2019-2025-1</t>
  </si>
  <si>
    <t>Estudiantes en actividades de investigación 2019 a 2025-1</t>
  </si>
  <si>
    <t>Resultado de los grupos institucionales en la Convocatoria de Medición de Grupos e Investigadores 957</t>
  </si>
  <si>
    <t>Investigadores categorizados por área en la Convocatoria de Medición de Grupos e Investigadores 957</t>
  </si>
  <si>
    <t>Número de Proyectos de investigación 2019-2025-1</t>
  </si>
  <si>
    <t>Productividad académica por tipología entre 2019-2025-1</t>
  </si>
  <si>
    <t>Histórico de producción del Laboratorio de Experiencias de Aprendizaje Inmersivo (LEAI y MI-Book) 2019-2025-1</t>
  </si>
  <si>
    <t>Director del CREA</t>
  </si>
  <si>
    <t>Histórico de uso de los ambientes inmersivos por parte de los estudiantes 2019-2025-1</t>
  </si>
  <si>
    <t>Capacitación y actualización profesional entre 2019-2 a 2025-1</t>
  </si>
  <si>
    <t>Estudiantes que realizan práctica profesional de acuerdo con los tipos de vinculación 2019-2 a 2025-1</t>
  </si>
  <si>
    <t>Se actualiza metodología de cálculo, y se recalculan los datos del periodo de análisis</t>
  </si>
  <si>
    <t>Estudiantes modalidad virtual que han realizado practicas pedagógicas entre 2019-2025-1</t>
  </si>
  <si>
    <t>Estudiantes modalidad presencial y virtual que han realizado prácticas educativas del programa de Psicología entre 2019-2025-1</t>
  </si>
  <si>
    <t>Estudiantes modalidad presencial y virtual que han realizado prácticas en el consultorio tributario y empresarial entre 2019-2025-1</t>
  </si>
  <si>
    <t>Estudiantes en modalidad presencial que han realizado prácticas entre 2019-2025-1</t>
  </si>
  <si>
    <t>&lt;</t>
  </si>
  <si>
    <t>Estudiantes de modalidad presencial que han realizado prácticas en la Agencia Trompo entre 2019-2025-1</t>
  </si>
  <si>
    <t>Histórico de Becas otorgadas por el Poli entre 2019-2 y 2025-1</t>
  </si>
  <si>
    <t>Usuarios que han tomado el servicio de transporte desde 2019 a 2025-1</t>
  </si>
  <si>
    <t>Investigación asociada a proyección social 2019-1 a 2025-1</t>
  </si>
  <si>
    <t>Actividad y población impactada entre 2020-2025-1</t>
  </si>
  <si>
    <t>Semilleros asociados a proyección social 2019-2025-1</t>
  </si>
  <si>
    <t>Natalia Turriago</t>
  </si>
  <si>
    <t>Recursos invertidos en formación a profesores</t>
  </si>
  <si>
    <t>Formación de profesores en el quinquenio 2019-2 a 2025-1</t>
  </si>
  <si>
    <t>Profesores T.C en estrategias Resultados de Aprendizaje 2021 a 2025-1</t>
  </si>
  <si>
    <t>Característica 32. Interacción académica de los profesores</t>
  </si>
  <si>
    <t xml:space="preserve">Se realizó una actualización metodológica y se calculan los datos históricos. </t>
  </si>
  <si>
    <t>Estudiantes en condición de discapacidad matriculados 2019 a 2025-1</t>
  </si>
  <si>
    <t>Estudiantes en seguimiento a 2025-1</t>
  </si>
  <si>
    <t>Estudiantes Admitidos durante el quinquenio 2019-2 a 2025-1</t>
  </si>
  <si>
    <t>Población Estudiantes 2019-2 a 2025-1</t>
  </si>
  <si>
    <t>Comunidad de estudiantes por modalidad 2019-2 a 2025-1</t>
  </si>
  <si>
    <t>Tasa de deserción cohorte promedio SPADIES quinquenio 2019-2023</t>
  </si>
  <si>
    <t>Deserción anual SPADIES 2019 a 2023</t>
  </si>
  <si>
    <t>Qué tan relacionado se encuentra su trabajo con el programa de formación ?</t>
  </si>
  <si>
    <t>Graduados que continúan sus estudios de posgrado Poli 2019-2 a 2025-1</t>
  </si>
  <si>
    <t>Tabla NO</t>
  </si>
  <si>
    <t>MODALIDAD</t>
  </si>
  <si>
    <t>NIVEL DE FORMACIÓN</t>
  </si>
  <si>
    <t>2024-1</t>
  </si>
  <si>
    <t>2024-2</t>
  </si>
  <si>
    <t>2025-1</t>
  </si>
  <si>
    <t>2025-2</t>
  </si>
  <si>
    <t>2026-1</t>
  </si>
  <si>
    <t>PRESENCIAL</t>
  </si>
  <si>
    <t>TECNOLÓGICOS</t>
  </si>
  <si>
    <t>PROFESIONALES UNIVERSITARIOS</t>
  </si>
  <si>
    <t>ESPECIALIZACIONES UNIVERSITARIAS</t>
  </si>
  <si>
    <t>MAESTRÍAS</t>
  </si>
  <si>
    <t>VIRTUAL</t>
  </si>
  <si>
    <t>TÉCNICOS PROFESIONALES</t>
  </si>
  <si>
    <t>ESPECIALIZACIONES TECNOLÓGICAS</t>
  </si>
  <si>
    <t>TOTAL</t>
  </si>
  <si>
    <t>FACULTAD</t>
  </si>
  <si>
    <t>PREGRADO</t>
  </si>
  <si>
    <t>POSGRADO</t>
  </si>
  <si>
    <t>FACULTAD DE INGENIERÍA, DISEÑO E INNOVACIÓN</t>
  </si>
  <si>
    <t>FACULTAD DE NEGOCIOS, GESTIÓN Y SOSTENIBILIDAD</t>
  </si>
  <si>
    <t>FACULTAD DE SOCIEDAD, CULTURA Y CREATIVIDAD</t>
  </si>
  <si>
    <t>Programas acreditados en alta calidad en la Sede Bogotá 2025-1</t>
  </si>
  <si>
    <t>SNIES</t>
  </si>
  <si>
    <t>SEDE</t>
  </si>
  <si>
    <t>ESCUELA</t>
  </si>
  <si>
    <t>PROGRAMA</t>
  </si>
  <si>
    <t>VIGENCIA</t>
  </si>
  <si>
    <t>BOGOTÁ</t>
  </si>
  <si>
    <t>FIDI</t>
  </si>
  <si>
    <t>ESCUELA DE DISEÑO</t>
  </si>
  <si>
    <t>DISEÑO GRÁFICO</t>
  </si>
  <si>
    <t>ESCUELA DE TECNOLOGÍA, INFORMACIÓN Y COMUNICACIÓN</t>
  </si>
  <si>
    <t>INGENIERÍA EN TELECOMUNICACIONES</t>
  </si>
  <si>
    <t>ESCUELA DE OPTIMIZACIÓN, INFRAESTRUCTURA Y AUTOMATIZACIÓN</t>
  </si>
  <si>
    <t>INGENIERÍA INDUSTRIAL</t>
  </si>
  <si>
    <t>INGENIERÍA DE SISTEMAS</t>
  </si>
  <si>
    <t>FNGS</t>
  </si>
  <si>
    <t>ESCUELA DE NEGOCIOS Y DESARROLLO INTERNACIONAL</t>
  </si>
  <si>
    <t>TECNOLOGÍA EN GESTIÓN DE SERVICIOS PARA AEROLÍNEAS</t>
  </si>
  <si>
    <t>NACIONAL</t>
  </si>
  <si>
    <t>ESCUELA DE ADMINISTRACIÓN Y COMPETITIVIDAD</t>
  </si>
  <si>
    <t>TECNOLOGÍA EN GESTIÓN FINANCIERA</t>
  </si>
  <si>
    <t>NEGOCIOS INTERNACIONALES</t>
  </si>
  <si>
    <t>ADMINISTRACIÓN DE EMPRESAS</t>
  </si>
  <si>
    <t>FSCC</t>
  </si>
  <si>
    <t>ESCUELA DE MARKETING Y BRANDING</t>
  </si>
  <si>
    <t>MERCADEO Y PUBLICIDAD</t>
  </si>
  <si>
    <t>ESCUELA DE COMUNICACIÓN, ARTES VISUALES Y DIGITALES</t>
  </si>
  <si>
    <t>PROFESIONAL EN MEDIOS AUDIOVISUALES</t>
  </si>
  <si>
    <t>ESCUELA DE DERECHO Y GOBIERNO</t>
  </si>
  <si>
    <t>TECNICA PROFESIONAL JUDICIAL</t>
  </si>
  <si>
    <t>Programas acreditados en alta calidad en la Sede Bogotá - Nacional 2026-1</t>
  </si>
  <si>
    <t>DISEÑO INDUSTRIAL</t>
  </si>
  <si>
    <r>
      <t>4</t>
    </r>
    <r>
      <rPr>
        <sz val="11"/>
        <color theme="1"/>
        <rFont val="Calibri"/>
        <family val="2"/>
        <scheme val="minor"/>
      </rPr>
      <t>*</t>
    </r>
  </si>
  <si>
    <t>MEDIOS AUDIOVISUALES</t>
  </si>
  <si>
    <t>COMUNICACIÓN SOCIAL - PERIODISMO</t>
  </si>
  <si>
    <t>MAESTRÍA EN GERENCIA ESTRATÉGICA DE MERCADEO</t>
  </si>
  <si>
    <t>ESCUELA DE PSICOLOGÍA, TALENTO HUMANO Y SOCIEDAD</t>
  </si>
  <si>
    <t>PROFESIONAL EN GESTIÓN DE LA SEGURIDAD Y LA SALUD LABORAL</t>
  </si>
  <si>
    <t>TÉCNICA PROFESIONAL JUDICIAL</t>
  </si>
  <si>
    <t>COMUNICACIÓN SOCIAL – PERIODISMO</t>
  </si>
  <si>
    <t>Programas con informe de autoevaluación radicado en CNA 2026-1</t>
  </si>
  <si>
    <t>MEDELLÍN</t>
  </si>
  <si>
    <t>PSICOLOGÍA</t>
  </si>
  <si>
    <t xml:space="preserve">Gráfico No </t>
  </si>
  <si>
    <t>2019-2</t>
  </si>
  <si>
    <t>2020-1</t>
  </si>
  <si>
    <t>2020-2</t>
  </si>
  <si>
    <t>2021-1</t>
  </si>
  <si>
    <t>2021-2</t>
  </si>
  <si>
    <t>2022-1</t>
  </si>
  <si>
    <t>2022-2</t>
  </si>
  <si>
    <t>2023-1</t>
  </si>
  <si>
    <t>2023-2</t>
  </si>
  <si>
    <t>Tiempo Completo</t>
  </si>
  <si>
    <t>Medio Tiempo</t>
  </si>
  <si>
    <t>Hora Cátedra</t>
  </si>
  <si>
    <t>DISEÑO DE MODAS</t>
  </si>
  <si>
    <t>ESCUELA DE CONTADURÍA Y FINANZAS GLOBALES</t>
  </si>
  <si>
    <t>CONTADURÍA PÚBLICA</t>
  </si>
  <si>
    <t>ESCUELA DE EDUCACIÓN E INNOVACIÓN</t>
  </si>
  <si>
    <t>LICENCIATURA EN EDUCACIÓN INFANTIL</t>
  </si>
  <si>
    <t>Programas con condiciones iniciales aprobadas 2026-1</t>
  </si>
  <si>
    <t>Virtual</t>
  </si>
  <si>
    <t>Nacional</t>
  </si>
  <si>
    <t>Escuela de Educación e Innovación</t>
  </si>
  <si>
    <t>Licenciatura en Ciencias Sociales</t>
  </si>
  <si>
    <t>Escuela de Contabilidad y Finanzas Globales</t>
  </si>
  <si>
    <t>Contaduría Pública</t>
  </si>
  <si>
    <t>Escuela de Administración y Competitividad</t>
  </si>
  <si>
    <t>Administracion de Empresas</t>
  </si>
  <si>
    <t>Presencial</t>
  </si>
  <si>
    <t>Medellín</t>
  </si>
  <si>
    <t>*</t>
  </si>
  <si>
    <t>Nivel formación</t>
  </si>
  <si>
    <t>Total Presencial</t>
  </si>
  <si>
    <t>T profesional</t>
  </si>
  <si>
    <t>Tecnológico</t>
  </si>
  <si>
    <t>Universitario</t>
  </si>
  <si>
    <t>Especialización</t>
  </si>
  <si>
    <t>Maestría</t>
  </si>
  <si>
    <t>Total Virtual</t>
  </si>
  <si>
    <t>Total Sede Bogotá</t>
  </si>
  <si>
    <t>.</t>
  </si>
  <si>
    <t>Doctorado</t>
  </si>
  <si>
    <t>Pregrado</t>
  </si>
  <si>
    <t>Modalidad</t>
  </si>
  <si>
    <t>Nivel de formación</t>
  </si>
  <si>
    <t>Técnico Profesional</t>
  </si>
  <si>
    <t>Total</t>
  </si>
  <si>
    <t>Facultad</t>
  </si>
  <si>
    <t>Grupo</t>
  </si>
  <si>
    <t>Categoría</t>
  </si>
  <si>
    <t>Facultad de Ingeniería, Diseño e Innovación</t>
  </si>
  <si>
    <t>CITIC</t>
  </si>
  <si>
    <t>A</t>
  </si>
  <si>
    <t>Diseño, Artefacto y Sociedad – DAS</t>
  </si>
  <si>
    <t>C</t>
  </si>
  <si>
    <t>Optimización, Infraestructura y Automatización – OPINA</t>
  </si>
  <si>
    <t>B</t>
  </si>
  <si>
    <t>E-TIC</t>
  </si>
  <si>
    <t>REC</t>
  </si>
  <si>
    <t>Facultad de Sociedad, Cultura y Creatividad</t>
  </si>
  <si>
    <t>Derecho, Sociedad y Empresa – DSE</t>
  </si>
  <si>
    <t>MERCADEO I+2 - MI2</t>
  </si>
  <si>
    <t>Psicología Educación y Cultura – PEC</t>
  </si>
  <si>
    <t>A1</t>
  </si>
  <si>
    <t>Educación, Innovación y Sociedad – EIS</t>
  </si>
  <si>
    <t>Narrativas, Creación y Estéticas – NCE</t>
  </si>
  <si>
    <t>Ciudadanías, Acción social y Desarrollo – CIADE</t>
  </si>
  <si>
    <t>Comunicación Estratégica y Creativa – CEC</t>
  </si>
  <si>
    <t>Grupo de Investigación en Gestión de las Organizaciones Laborales y Seguridad Laboral</t>
  </si>
  <si>
    <t>Facultad Negocios, Gestión y Sostenibilidad</t>
  </si>
  <si>
    <t>Economía, Negocios y Desarrollo Internacional – ENDI</t>
  </si>
  <si>
    <t>Administración, Competitividad y Sostenibilidad – GACS</t>
  </si>
  <si>
    <t>Equipo de Investigación en Contabilidad, Organizaciones y Sociedad – EICOS</t>
  </si>
  <si>
    <t>GIAP</t>
  </si>
  <si>
    <t>Nota: Cnvocatoria 957 Minciencias</t>
  </si>
  <si>
    <t>Investigadores categorizados Minciencias. Convocatoria 957</t>
  </si>
  <si>
    <t>Investigadores</t>
  </si>
  <si>
    <t>Junior</t>
  </si>
  <si>
    <t>Asociado</t>
  </si>
  <si>
    <t>Senior</t>
  </si>
  <si>
    <t>Resultados concocatoria 957 Minciencas</t>
  </si>
  <si>
    <t>Semilleros por facultad 2019-2- a 2026-1</t>
  </si>
  <si>
    <t xml:space="preserve">Facultad </t>
  </si>
  <si>
    <t>Facultad Ingeniería Diseño e Innovación</t>
  </si>
  <si>
    <t>Facultad Sociedad, Cultura y Creatividad</t>
  </si>
  <si>
    <t xml:space="preserve">Total </t>
  </si>
  <si>
    <t>Dimensión</t>
  </si>
  <si>
    <t>Acciones</t>
  </si>
  <si>
    <t>Académica</t>
  </si>
  <si>
    <t>Semilleros de investigación</t>
  </si>
  <si>
    <t>tabla 10</t>
  </si>
  <si>
    <t>Clases espejo</t>
  </si>
  <si>
    <t>tabla 145</t>
  </si>
  <si>
    <t>Estudiantes</t>
  </si>
  <si>
    <t xml:space="preserve">Uso de los ambientes inmersivos por los estudiantes </t>
  </si>
  <si>
    <t>-</t>
  </si>
  <si>
    <t>Tabla 47</t>
  </si>
  <si>
    <t>Promedio global Pruebas Saber Pro</t>
  </si>
  <si>
    <t>revisar tabla 131</t>
  </si>
  <si>
    <t>Socioemocional</t>
  </si>
  <si>
    <t>Estudiantes en centro de Psicología</t>
  </si>
  <si>
    <t>Participación de estudiantes en actividades de Cultura inclusiva y Prácticas pedagógicas</t>
  </si>
  <si>
    <t>tabla 209 y tabla 131 a 134</t>
  </si>
  <si>
    <t>Cultural y artística</t>
  </si>
  <si>
    <t>Estudiantes en actividades deportivas</t>
  </si>
  <si>
    <t>Tabla 166</t>
  </si>
  <si>
    <t>Estudiantes en actividades culturales y artísticas</t>
  </si>
  <si>
    <t>Tabla 165</t>
  </si>
  <si>
    <t>Ambiental y sostenible</t>
  </si>
  <si>
    <t>Artículos Divulgación periódica revistas: Especializada en los Objetivos de Desarrollo Sostenible - ODS</t>
  </si>
  <si>
    <t>Tabla 44</t>
  </si>
  <si>
    <t>AÑO DEL INFORME</t>
  </si>
  <si>
    <t>Personal administrativo beneficiado con políticas de estímulos</t>
  </si>
  <si>
    <t>Auxilios otorgados para formaciones como bilingüismo, capacitaciones</t>
  </si>
  <si>
    <t xml:space="preserve">Número de becas para colaboradores y familiares (administrativos) </t>
  </si>
  <si>
    <t>Año</t>
  </si>
  <si>
    <t>Total general</t>
  </si>
  <si>
    <t>Bilingüe</t>
  </si>
  <si>
    <t>Complementaria</t>
  </si>
  <si>
    <t>Digital</t>
  </si>
  <si>
    <t>Disciplinar</t>
  </si>
  <si>
    <t>Investigación, Innovación, Internacionalización</t>
  </si>
  <si>
    <t>Pedagógica</t>
  </si>
  <si>
    <t>POLISIGS</t>
  </si>
  <si>
    <t>Número</t>
  </si>
  <si>
    <t>Se actualiza al cierre de año</t>
  </si>
  <si>
    <t>Medio / Plataforma</t>
  </si>
  <si>
    <t>Instagram</t>
  </si>
  <si>
    <t>Buscadores (Google, Bing, Safari, Otros)</t>
  </si>
  <si>
    <t>Youtube</t>
  </si>
  <si>
    <t>Facebook</t>
  </si>
  <si>
    <t>Servicios Streaming</t>
  </si>
  <si>
    <t>Televisión por suscripción/plataformas on demand</t>
  </si>
  <si>
    <t>Otras Redes Sociales</t>
  </si>
  <si>
    <t>Twitter</t>
  </si>
  <si>
    <t>Web de medios informativos</t>
  </si>
  <si>
    <t>Spotify</t>
  </si>
  <si>
    <t>Televisión Nacional</t>
  </si>
  <si>
    <t>TikTok</t>
  </si>
  <si>
    <t>Prensa, revistas y publicaciones digitales</t>
  </si>
  <si>
    <t>Radio</t>
  </si>
  <si>
    <t>Prensa, revistas y publicaciones impresas</t>
  </si>
  <si>
    <t>Lo uso todo el tiempo</t>
  </si>
  <si>
    <t>Lo uso de forma frecuente</t>
  </si>
  <si>
    <t>Lo uso ocasionalmente</t>
  </si>
  <si>
    <t>Casi nunca / nunca lo uso</t>
  </si>
  <si>
    <t>Canal</t>
  </si>
  <si>
    <t>Promedio de categoría 2022</t>
  </si>
  <si>
    <t>Promedio de categoría 2023</t>
  </si>
  <si>
    <t>Promedio de categoría 2024</t>
  </si>
  <si>
    <t>Promedio de categoría 2025</t>
  </si>
  <si>
    <t>Promedio de categoría 2026</t>
  </si>
  <si>
    <t>Poli 2022</t>
  </si>
  <si>
    <t>Poli 2023</t>
  </si>
  <si>
    <t>Poli 2024</t>
  </si>
  <si>
    <t>Poli 2025</t>
  </si>
  <si>
    <t>Poli 2026</t>
  </si>
  <si>
    <t>TBCA</t>
  </si>
  <si>
    <t>Internet/Redes sociales</t>
  </si>
  <si>
    <t>TV</t>
  </si>
  <si>
    <t>Eventos, actividades y ferias universitarias</t>
  </si>
  <si>
    <t>Recomendación de un amigo o familiar</t>
  </si>
  <si>
    <t>Campus, sedes, centros de servicios, oficinas</t>
  </si>
  <si>
    <t>Vallas y paraderos</t>
  </si>
  <si>
    <t>Periódicos / Revistas</t>
  </si>
  <si>
    <t>En algún otro lugar</t>
  </si>
  <si>
    <t>Transporte público</t>
  </si>
  <si>
    <t>Anuncios por internet</t>
  </si>
  <si>
    <t>No he visto/oído</t>
  </si>
  <si>
    <t>Periodo</t>
  </si>
  <si>
    <t>Valor</t>
  </si>
  <si>
    <t>Canales</t>
  </si>
  <si>
    <t>2024.1</t>
  </si>
  <si>
    <t>ATL</t>
  </si>
  <si>
    <t>B2B</t>
  </si>
  <si>
    <t>BTL</t>
  </si>
  <si>
    <t>CSU</t>
  </si>
  <si>
    <t>DIGITAL</t>
  </si>
  <si>
    <t>HIGH SCHOOL</t>
  </si>
  <si>
    <t>INBOUND</t>
  </si>
  <si>
    <t>REMARKETING</t>
  </si>
  <si>
    <t>WHATSAPP</t>
  </si>
  <si>
    <t>Tipología Documental</t>
  </si>
  <si>
    <t>Títulos</t>
  </si>
  <si>
    <t>Volúmenes</t>
  </si>
  <si>
    <t>Libros Físicos</t>
  </si>
  <si>
    <t>Publicaciones seriadas impresas</t>
  </si>
  <si>
    <t xml:space="preserve">Material Audiovisual (películas educativas, cine, documentales y contenido en streaming)  </t>
  </si>
  <si>
    <t>Libros digitales</t>
  </si>
  <si>
    <t>Recursos electrónicos Bibliográficos (revistas, artículos, noticias, legislación y publicaciones académicas, monografías, tesis)</t>
  </si>
  <si>
    <t>18,000,000</t>
  </si>
  <si>
    <t>Repositorio Institucional</t>
  </si>
  <si>
    <t>Áreas del conocimiento</t>
  </si>
  <si>
    <t>ARTES</t>
  </si>
  <si>
    <t>CIENCIAS ADMINISTRATIVAS (CIENCIAS APLICADAS)</t>
  </si>
  <si>
    <t>CIENCIAS NATURALES Y MATEMATICAS</t>
  </si>
  <si>
    <t>CIENCIAS SOCIALES</t>
  </si>
  <si>
    <t>FILOSOFIA Y PSICOLOGIA</t>
  </si>
  <si>
    <t>GEOGRAFIA E HISTORIA</t>
  </si>
  <si>
    <t>LENGUAS</t>
  </si>
  <si>
    <t>LITERATURA</t>
  </si>
  <si>
    <t>METODOLOGIA, SISTEMAS, INFORMACION Y PERIODISMO</t>
  </si>
  <si>
    <t>RELIGION</t>
  </si>
  <si>
    <t>Revistas por Áreas</t>
  </si>
  <si>
    <t>Revistas de Ciencias Administrativas, Económicas y Contables</t>
  </si>
  <si>
    <t>Revistas de Ciencias Sociales</t>
  </si>
  <si>
    <t>Revistas de Ingeniería y Ciencias Básicas</t>
  </si>
  <si>
    <t>Revistas de Mercadeo, Comunicación y Artes</t>
  </si>
  <si>
    <t>Revistas Generales</t>
  </si>
  <si>
    <t>Periódicos y códigos Legis</t>
  </si>
  <si>
    <t>Recursos bibliográficos 2019-2 a 2026-1</t>
  </si>
  <si>
    <t>2023-</t>
  </si>
  <si>
    <t>NUMERO BIBLIOTECAS</t>
  </si>
  <si>
    <t>NUMERO DE BASES DE DATOS ESPECIALIZADAS</t>
  </si>
  <si>
    <t>NUMERO DE LIBROS ELECTRONICOS</t>
  </si>
  <si>
    <t>TITULOS DE LIBROS PROPIOS</t>
  </si>
  <si>
    <t>VOLUMENES (LIBROS) DE LA COLECCION TOTAL PROPIOS</t>
  </si>
  <si>
    <t>NUMERO DE TITULOS DE LIBROS ADQUIRIDOS EN EL PERIODO ACADEMICO</t>
  </si>
  <si>
    <t>NUMERO DE VOLUMENES (LIBROS) DE LA COLECCION TOTAL ADQUIRIDOS EN EL PERIODO ACADEMICO</t>
  </si>
  <si>
    <t>NUMERO DE TITULOS DE PUBLICACIONES PERIODICAS</t>
  </si>
  <si>
    <t>CANTIDAD DE MATERIAL AUDIOVISUAL</t>
  </si>
  <si>
    <t>Uso de los Recursos Bibliográficos 2019-2 a 2026-1</t>
  </si>
  <si>
    <t>Ítem</t>
  </si>
  <si>
    <t xml:space="preserve">CONMUTACIÓN BIBLIOGRÁFICA </t>
  </si>
  <si>
    <t>CONSULTAS BASE DE DATOS</t>
  </si>
  <si>
    <t>CONSULTA REPOSITORIO INSTITUCIONAL ALEJANDRÍA</t>
  </si>
  <si>
    <t>CONSULTA DE LIBROS EN SALAS</t>
  </si>
  <si>
    <t>CONSULTAS DESCUBRIDOR RECURSOS BIBLIOGRÁFICOS</t>
  </si>
  <si>
    <t>PRÉSTAMO CUBÍCULOS DE ESTUDIO</t>
  </si>
  <si>
    <t>PRÉSTAMO CUBÍCULOS DE VIDEO</t>
  </si>
  <si>
    <t>PRÉSTAMO EXTERNO LIBROS</t>
  </si>
  <si>
    <t>INGRESOS A LA BIBLIOTECA</t>
  </si>
  <si>
    <t>CONSULTA LIBROS ELECTRÓNICOS</t>
  </si>
  <si>
    <t>PRÉSTAMO MATERIAL AUDIOVISUAL</t>
  </si>
  <si>
    <t>PRÉSTAMO COMPUTADORES</t>
  </si>
  <si>
    <t>PRÉSTAMO DE TABLETS</t>
  </si>
  <si>
    <t>PRÉSTAMO DE PUBLICACIONES PERIÓDICAS</t>
  </si>
  <si>
    <t>Artículos</t>
  </si>
  <si>
    <t>Nombre de la revista</t>
  </si>
  <si>
    <t>Área temática</t>
  </si>
  <si>
    <t>Periodicidad</t>
  </si>
  <si>
    <t>Panorama</t>
  </si>
  <si>
    <t>Académica en Educación y ELearning</t>
  </si>
  <si>
    <t>Semestral</t>
  </si>
  <si>
    <t>ISSN-L: 1909-7433 / E-ISSN: 2145-308X</t>
  </si>
  <si>
    <t>Punto de Vista</t>
  </si>
  <si>
    <t>Divulgativa en Administración, economía y contabilidad</t>
  </si>
  <si>
    <t>Anual</t>
  </si>
  <si>
    <t>ISSN-L: 0123-580X / E-ISSN: 2027-5153</t>
  </si>
  <si>
    <t>Poliantea</t>
  </si>
  <si>
    <t>Divulgativa en la Facultad: Sociedad, cultura y creatividad</t>
  </si>
  <si>
    <t>ISSN-L: 1794-3159 / E-ISSN: 2145-3101</t>
  </si>
  <si>
    <t>Likan</t>
  </si>
  <si>
    <t>Divulgativa en diseño de modas</t>
  </si>
  <si>
    <t>E-ISSN: 2711-3698</t>
  </si>
  <si>
    <t>Elementos</t>
  </si>
  <si>
    <t>Divulgativa en ingeniería</t>
  </si>
  <si>
    <t>ISSN-L: 2248-5252 / E-ISSN: 2027-923X</t>
  </si>
  <si>
    <t>Revista Multicultural La Moviola</t>
  </si>
  <si>
    <t>Divulgativa en temas audiovisuales</t>
  </si>
  <si>
    <t>ISSN: 2665-556X</t>
  </si>
  <si>
    <t>Revista Prototypo</t>
  </si>
  <si>
    <t>Divulgativa para la Escuela de Diseño</t>
  </si>
  <si>
    <t>ISSN: 2590-7743</t>
  </si>
  <si>
    <t>Encuentros con Semilleros</t>
  </si>
  <si>
    <t>Divulgación de proyectos de investigación formativa</t>
  </si>
  <si>
    <t>ISSN: 2711-4414 (En línea)</t>
  </si>
  <si>
    <t>Gestión de la seguridad y la salud en el trabajo</t>
  </si>
  <si>
    <t>Divulgativa de proyectos asociados a la salud y seguridad en el trabajo</t>
  </si>
  <si>
    <t>ISSN: 2744-8398 (En línea)</t>
  </si>
  <si>
    <t>Nuevos desafíos del derecho</t>
  </si>
  <si>
    <t>Especializada en derecho</t>
  </si>
  <si>
    <t>ISSN: 2745-1461 (En línea)</t>
  </si>
  <si>
    <t>Objetivo de desarrollo sostenible</t>
  </si>
  <si>
    <t>Especializada en los Objetivos de Desarrollo Sostenible - ODS</t>
  </si>
  <si>
    <t>Fin</t>
  </si>
  <si>
    <t>ISSN: 2805-6418 (En línea)</t>
  </si>
  <si>
    <t>Posibilidades</t>
  </si>
  <si>
    <t>Divulgativa en proyectos de investigación en creación</t>
  </si>
  <si>
    <t>ISSN: 2805-5926 (En línea)</t>
  </si>
  <si>
    <t>Estado de los ambientes inmersivos 2025</t>
  </si>
  <si>
    <t>Para programar</t>
  </si>
  <si>
    <t>En desarrollo</t>
  </si>
  <si>
    <t>En pruebas</t>
  </si>
  <si>
    <t>Para implementar</t>
  </si>
  <si>
    <t>En aula</t>
  </si>
  <si>
    <t>Estado de los ambientes inmersivos 2026</t>
  </si>
  <si>
    <t>Ambientes inmersivos registrados a nombre del Politécnico Grancolombiano 2025</t>
  </si>
  <si>
    <t>Registrados </t>
  </si>
  <si>
    <t>En proceso </t>
  </si>
  <si>
    <t>Por solicitar </t>
  </si>
  <si>
    <t>Total </t>
  </si>
  <si>
    <t>24 </t>
  </si>
  <si>
    <t>11 </t>
  </si>
  <si>
    <t>Ambientes inmersivos registrados a nombre del Politécnico Grancolombiano 2026-1</t>
  </si>
  <si>
    <t>ACTIVIDAD</t>
  </si>
  <si>
    <t>Proyectos en aula virtual</t>
  </si>
  <si>
    <t>Proyectos listos para salir a aula</t>
  </si>
  <si>
    <t>Ambiente inmersivo</t>
  </si>
  <si>
    <t>Total 2019</t>
  </si>
  <si>
    <t>Total 2020</t>
  </si>
  <si>
    <t>Total 2021</t>
  </si>
  <si>
    <t>Total 2022</t>
  </si>
  <si>
    <t>Total 2023</t>
  </si>
  <si>
    <t>Total 2024</t>
  </si>
  <si>
    <t>Total 2025</t>
  </si>
  <si>
    <t>Total 2026-1</t>
  </si>
  <si>
    <t>Simulador de Análisis Financiero</t>
  </si>
  <si>
    <t>Simulador de Control de Calidad</t>
  </si>
  <si>
    <t>Simulador de Costos por órdenes y por procesos</t>
  </si>
  <si>
    <t>Software de Diagnostico Empresarial</t>
  </si>
  <si>
    <t xml:space="preserve">Simulador de Evaluación Financiera de proyectos </t>
  </si>
  <si>
    <t>Simulador de Finanzas corporativas</t>
  </si>
  <si>
    <t>Software para el Diagnóstico de las Habilidades Gerenciales</t>
  </si>
  <si>
    <t xml:space="preserve">Simulador de eventos discretos </t>
  </si>
  <si>
    <t>Simulador de Producción</t>
  </si>
  <si>
    <t>Juego para la gerencia de mercadeo</t>
  </si>
  <si>
    <t>Juego de Proceso Estratégico - matrices</t>
  </si>
  <si>
    <t>Laboratorio Virtual Física 1</t>
  </si>
  <si>
    <t>Laboratorio Virtual Física 2</t>
  </si>
  <si>
    <t>Laboratorio Virtual Física 3</t>
  </si>
  <si>
    <t>Simulador de Mercado de Capitales</t>
  </si>
  <si>
    <t>Simulador de decisiones fiscales en el sector público</t>
  </si>
  <si>
    <t>Software de Prospectiva</t>
  </si>
  <si>
    <t>Simulador de Riesgos Biológicos</t>
  </si>
  <si>
    <t>Simulador de Riesgos de Seguridad</t>
  </si>
  <si>
    <t>Simulador de Riesgos Ergonómicos</t>
  </si>
  <si>
    <t>Simulador de Riesgos Físicos</t>
  </si>
  <si>
    <t>Simulador de Riesgos Naturales</t>
  </si>
  <si>
    <t>Simulador de Riesgos Químicos</t>
  </si>
  <si>
    <t>Software de comunicación organizacional</t>
  </si>
  <si>
    <t>Laboratorio de operaciones aeroportuarias</t>
  </si>
  <si>
    <t>Juego de cuadro integral de mando</t>
  </si>
  <si>
    <t>Simulador de Psicología Educativa</t>
  </si>
  <si>
    <t>Simulador de Psicología Organizacional</t>
  </si>
  <si>
    <t>Simulador de Psicometría</t>
  </si>
  <si>
    <t>Simlador de Psicología comunitaria</t>
  </si>
  <si>
    <r>
      <t>FNGS</t>
    </r>
    <r>
      <rPr>
        <sz val="10"/>
        <color rgb="FFFFFFFF"/>
        <rFont val="Arial"/>
        <family val="2"/>
      </rPr>
      <t> </t>
    </r>
  </si>
  <si>
    <r>
      <t>FSCC</t>
    </r>
    <r>
      <rPr>
        <sz val="10"/>
        <color rgb="FFFFFFFF"/>
        <rFont val="Arial"/>
        <family val="2"/>
      </rPr>
      <t> </t>
    </r>
  </si>
  <si>
    <r>
      <t>FIDI</t>
    </r>
    <r>
      <rPr>
        <sz val="10"/>
        <color rgb="FFFFFFFF"/>
        <rFont val="Arial"/>
        <family val="2"/>
      </rPr>
      <t> </t>
    </r>
  </si>
  <si>
    <r>
      <t>Dirección de Currículo</t>
    </r>
    <r>
      <rPr>
        <sz val="10"/>
        <color rgb="FFFFFFFF"/>
        <rFont val="Arial"/>
        <family val="2"/>
      </rPr>
      <t> </t>
    </r>
  </si>
  <si>
    <r>
      <t>Aseguramiento de la Calidad</t>
    </r>
    <r>
      <rPr>
        <sz val="10"/>
        <color rgb="FFFFFFFF"/>
        <rFont val="Arial"/>
        <family val="2"/>
      </rPr>
      <t> </t>
    </r>
  </si>
  <si>
    <r>
      <rPr>
        <sz val="10"/>
        <color rgb="FF000000"/>
        <rFont val="Open Sans"/>
        <family val="2"/>
      </rPr>
      <t>43,16%</t>
    </r>
    <r>
      <rPr>
        <sz val="10"/>
        <color rgb="FF000000"/>
        <rFont val="Arial"/>
        <family val="2"/>
      </rPr>
      <t> </t>
    </r>
    <r>
      <rPr>
        <sz val="10"/>
        <color rgb="FF000000"/>
        <rFont val="Open Sans"/>
        <family val="2"/>
      </rPr>
      <t> </t>
    </r>
  </si>
  <si>
    <r>
      <rPr>
        <sz val="10"/>
        <color rgb="FF000000"/>
        <rFont val="Open Sans"/>
        <family val="2"/>
      </rPr>
      <t>23,74%</t>
    </r>
    <r>
      <rPr>
        <sz val="10"/>
        <color rgb="FF000000"/>
        <rFont val="Arial"/>
        <family val="2"/>
      </rPr>
      <t> </t>
    </r>
    <r>
      <rPr>
        <sz val="10"/>
        <color rgb="FF000000"/>
        <rFont val="Open Sans"/>
        <family val="2"/>
      </rPr>
      <t> </t>
    </r>
  </si>
  <si>
    <r>
      <rPr>
        <sz val="10"/>
        <color rgb="FF000000"/>
        <rFont val="Open Sans"/>
        <family val="2"/>
      </rPr>
      <t>2,87%</t>
    </r>
    <r>
      <rPr>
        <sz val="10"/>
        <color rgb="FF000000"/>
        <rFont val="Arial"/>
        <family val="2"/>
      </rPr>
      <t> </t>
    </r>
    <r>
      <rPr>
        <sz val="10"/>
        <color rgb="FF000000"/>
        <rFont val="Open Sans"/>
        <family val="2"/>
      </rPr>
      <t> </t>
    </r>
  </si>
  <si>
    <r>
      <rPr>
        <sz val="10"/>
        <color rgb="FF000000"/>
        <rFont val="Open Sans"/>
        <family val="2"/>
      </rPr>
      <t>0,71%</t>
    </r>
    <r>
      <rPr>
        <sz val="10"/>
        <color rgb="FF000000"/>
        <rFont val="Arial"/>
        <family val="2"/>
      </rPr>
      <t> </t>
    </r>
    <r>
      <rPr>
        <sz val="10"/>
        <color rgb="FF000000"/>
        <rFont val="Open Sans"/>
        <family val="2"/>
      </rPr>
      <t> </t>
    </r>
  </si>
  <si>
    <t>País</t>
  </si>
  <si>
    <t>Porcentaje</t>
  </si>
  <si>
    <t>Visitas</t>
  </si>
  <si>
    <t>Colombia</t>
  </si>
  <si>
    <t>Estados unidos</t>
  </si>
  <si>
    <t>México</t>
  </si>
  <si>
    <t>España</t>
  </si>
  <si>
    <t>Ecuador</t>
  </si>
  <si>
    <t>Perú</t>
  </si>
  <si>
    <t>Costa Rica</t>
  </si>
  <si>
    <t>Indonesia</t>
  </si>
  <si>
    <t>Alemania</t>
  </si>
  <si>
    <t>Usuarios activos</t>
  </si>
  <si>
    <t>Números de eventos</t>
  </si>
  <si>
    <t>Usuarios nuevos</t>
  </si>
  <si>
    <t>Recorridos 360°</t>
  </si>
  <si>
    <t>Recorrido Sede Colores - Medellín</t>
  </si>
  <si>
    <t>Recorrido Calle 85</t>
  </si>
  <si>
    <t>Recorrido Procesos lácteos</t>
  </si>
  <si>
    <t>Recorrido Procesos pecuarios</t>
  </si>
  <si>
    <t>Recorrido Protege tu paramo</t>
  </si>
  <si>
    <t>Recorrido Citycampus</t>
  </si>
  <si>
    <t>Recorrido Campus principal</t>
  </si>
  <si>
    <t>Recorrido Desarrollo sostenible</t>
  </si>
  <si>
    <t>Salas Virtuales CREA</t>
  </si>
  <si>
    <t>Salas virtuales de audiencias y conciliación - derecho laboral</t>
  </si>
  <si>
    <t>Salas virtuales de asamblea - OEA</t>
  </si>
  <si>
    <t>Salas virtuales de audiencias y conciliación - derecho penal</t>
  </si>
  <si>
    <t>Salas virtuales de audiencias y conciliación - derecho público</t>
  </si>
  <si>
    <t>Salas virtuales de audiencias y conciliación - derecho privado</t>
  </si>
  <si>
    <t>Salas virtuales de asamblea - ONU</t>
  </si>
  <si>
    <t>Salas de negociación</t>
  </si>
  <si>
    <t>Sala de audiencias y concertación virtual</t>
  </si>
  <si>
    <t>Aplicativos Didácticos CREA</t>
  </si>
  <si>
    <t>Cuadro integral de mando</t>
  </si>
  <si>
    <t>Construcción de objetivos</t>
  </si>
  <si>
    <t>Construyendo conceptos financieros</t>
  </si>
  <si>
    <t>Cuerpo en movimiento</t>
  </si>
  <si>
    <t>Plataforma de inventario de medios</t>
  </si>
  <si>
    <t>Matriz de stakeholders</t>
  </si>
  <si>
    <t>Calculadora de Huella Ecológica</t>
  </si>
  <si>
    <t>Construyendo conceptos: Pensamiento en diseño</t>
  </si>
  <si>
    <t>Descifrando enigma</t>
  </si>
  <si>
    <t>Juegos Digitales Educativos CREA</t>
  </si>
  <si>
    <t>Desafio Financiero 360°</t>
  </si>
  <si>
    <t>Operaciones básicas en matemáticas</t>
  </si>
  <si>
    <t>ECPA</t>
  </si>
  <si>
    <t>Gestión de inventarios</t>
  </si>
  <si>
    <t>Juego Memoria Poli</t>
  </si>
  <si>
    <t>Modelo Canva para la cadena de producción</t>
  </si>
  <si>
    <t>Talleres y laboratorios de la Institución 2025</t>
  </si>
  <si>
    <t>Talleres y laboratorios de la Institución 2026-1</t>
  </si>
  <si>
    <t>ESPACIO</t>
  </si>
  <si>
    <t xml:space="preserve">LABORATORIOS </t>
  </si>
  <si>
    <t>TALLER</t>
  </si>
  <si>
    <t xml:space="preserve">AULA ESPECIALIZADA </t>
  </si>
  <si>
    <t>BLOQUE J CAMPUS PRINCIPAL</t>
  </si>
  <si>
    <t>TALLER DE CERÁMICA</t>
  </si>
  <si>
    <t>TALLER DE PINTURA</t>
  </si>
  <si>
    <t>TALLER DE METALES</t>
  </si>
  <si>
    <t xml:space="preserve">TALLER DE MADERA </t>
  </si>
  <si>
    <t xml:space="preserve">TALLER DE TERMOFROMADO </t>
  </si>
  <si>
    <t>TALLER DE PROTOTIPADO</t>
  </si>
  <si>
    <t>AULA TALLER</t>
  </si>
  <si>
    <t>BLOQUE L CAMPUS PRINCIPAL</t>
  </si>
  <si>
    <t>LABORATORIO DE FÍSICA</t>
  </si>
  <si>
    <t>LABORATORIO DE ELECTRÓNICA</t>
  </si>
  <si>
    <t>LABORATORIO DE QUÍMICA</t>
  </si>
  <si>
    <t>LABORATORIO PRIMER PISO</t>
  </si>
  <si>
    <t>BLOQUE K CAMPUS PRINCIPAL</t>
  </si>
  <si>
    <t xml:space="preserve">LABORATORIO DE FOTOGRAFÍA </t>
  </si>
  <si>
    <t xml:space="preserve">LABORATORIO DE REDES </t>
  </si>
  <si>
    <t>ESTUDIOS DE FOTOGRAFÍA 1</t>
  </si>
  <si>
    <t>ESTUDIOS DE FOTOGRAFÍA 2</t>
  </si>
  <si>
    <t>SALA DE POSTPRODUCCIÓN DE VIDEO 1</t>
  </si>
  <si>
    <t>SALA DE POSTPRODUCCIÓN DE VIDEO 2</t>
  </si>
  <si>
    <t>SALA DE POSTPRODUCCIÓN DE VIDEO 3</t>
  </si>
  <si>
    <t>SALA DE SONIDO 1</t>
  </si>
  <si>
    <t>SALA DE SONIDO 2</t>
  </si>
  <si>
    <t>SALA DE SONIDO 3</t>
  </si>
  <si>
    <t>ESTUDIOS DE CINE Y TELEVISIÓN 1</t>
  </si>
  <si>
    <t>ESTUDIOS DE CINE Y TELEVISIÓN 2</t>
  </si>
  <si>
    <t>TALLER DE MODAS Y CONFECCIÓN</t>
  </si>
  <si>
    <t>MASTER DE VIDEO 1</t>
  </si>
  <si>
    <t>MASTER DE VIDEO 2</t>
  </si>
  <si>
    <t xml:space="preserve">AULAS ESPECIALIZADAS </t>
  </si>
  <si>
    <t>RETOS BLOQUE F 1 CAMPUS PRINCIPAL</t>
  </si>
  <si>
    <t>RETOS BLOQUE F 2 CAMPUS PRINCIPAL</t>
  </si>
  <si>
    <t>MAKERLAB BLOQUE H CAMPUS PRINCIPAL</t>
  </si>
  <si>
    <t>SALON EMPRESAS SIMULADAS BLOQUE E CAMPUS PRINCIPAL</t>
  </si>
  <si>
    <t>SALÓN DE BOLSA BLOQUE D CAMPUS PRINCIPAL</t>
  </si>
  <si>
    <t>AULA FLEXIBLE BLOQUE H 1 CAMPUS PRINCIPAL</t>
  </si>
  <si>
    <t>AULA FLEXIBLE BLOQUE H 2 CAMPUS PRINCIPAL</t>
  </si>
  <si>
    <t>SALA DE AUDIENCIAS BLOQUE B CAMPUS PRINCIPAL</t>
  </si>
  <si>
    <t>CAMARA DE GESSEL BLOQUE B CAMPUS PRINCIPAL</t>
  </si>
  <si>
    <t>CONSULTORIOS DE PSICOLOGÍA</t>
  </si>
  <si>
    <t>EMISORA CAMPUS PRINCIPAL</t>
  </si>
  <si>
    <t>AULA ARTES DE LA ESCENA BLOQUE K CAMPUS PRINCIPAL</t>
  </si>
  <si>
    <t>AULA CENTRO DE INVESTIGACIÓN BLOQUE B 1 CAMPUS PRINCIPAL</t>
  </si>
  <si>
    <t>AULA CENTRO DE INVESTIGACIÓN BLOQUE B 2 CAMPUS PRINCIPAL</t>
  </si>
  <si>
    <t>AULA CENTRO DE INVESTIGACIÓN BLOQUE H CAMPUS PRINCIPAL</t>
  </si>
  <si>
    <t xml:space="preserve">AULA CENTRO DE INVESTIGACIÓN CITY CAMPUS </t>
  </si>
  <si>
    <t>AUDITORIO BLOQUE K CAMPUS PRINCIPAL</t>
  </si>
  <si>
    <t>CONCINA  BLOQUE H</t>
  </si>
  <si>
    <t>AUDITORIO JAIME MICHELSEN URIBE CAMPUS PRINCIPAL</t>
  </si>
  <si>
    <t>Escenarios en donde nuestros estudiantes han realizado sus prácticas (son vinculaciones individuales, no convenios interinstitucionales)</t>
  </si>
  <si>
    <t>Infraestructura física del Poli 2025</t>
  </si>
  <si>
    <t>Infraestructura física del Poli 2026</t>
  </si>
  <si>
    <t>METROS CUADRADOS</t>
  </si>
  <si>
    <t>CAMPUS</t>
  </si>
  <si>
    <t>CITY CAMPUS</t>
  </si>
  <si>
    <t>CALLE 84</t>
  </si>
  <si>
    <t>TOTALES</t>
  </si>
  <si>
    <t>Aulas</t>
  </si>
  <si>
    <t>Laboratorios</t>
  </si>
  <si>
    <t>Talleres</t>
  </si>
  <si>
    <t>Auditorios</t>
  </si>
  <si>
    <t>Bibliotecas</t>
  </si>
  <si>
    <t>Prácticas</t>
  </si>
  <si>
    <t>Oficinas</t>
  </si>
  <si>
    <t>Deportivos</t>
  </si>
  <si>
    <t>Cafeterías</t>
  </si>
  <si>
    <t>Recreación</t>
  </si>
  <si>
    <t>Sanitarios</t>
  </si>
  <si>
    <t>Otros</t>
  </si>
  <si>
    <t>ÁREA ACTIVIDADES DEPORTIVAS (m²)</t>
  </si>
  <si>
    <t>NÚMERO AULAS DE CLASE</t>
  </si>
  <si>
    <t>ÁREA AULAS (m²)</t>
  </si>
  <si>
    <t>ÁREA UTIL (m²)</t>
  </si>
  <si>
    <t>NÚMERO AULAS ESPECIALIZADAS</t>
  </si>
  <si>
    <t>NÚMERO AULAS DE CÓMPUTO</t>
  </si>
  <si>
    <t>NÚMERO BIBLIOTECAS</t>
  </si>
  <si>
    <t>NÚMERO AUDITORIOS</t>
  </si>
  <si>
    <t>NÚMERO LABORATORIOS Y TALLERES ESPECIALIZADOS</t>
  </si>
  <si>
    <t>NÚMERO ASIENTOS POR AULA</t>
  </si>
  <si>
    <t>ÁREA TOTAL CONSTRUIDA (m²)</t>
  </si>
  <si>
    <t>ÁREA LABORATORIOS (m²)</t>
  </si>
  <si>
    <t>Número PC´S Para Estudiantes</t>
  </si>
  <si>
    <t>Número PC´S Para Administrativos</t>
  </si>
  <si>
    <t>Número PC´S Para Profesores</t>
  </si>
  <si>
    <t>Correo Estudiantes (Gb)</t>
  </si>
  <si>
    <t>ND</t>
  </si>
  <si>
    <t>0.5</t>
  </si>
  <si>
    <t>% De Cubrimiento Del Campus Con Red Inalámbrica</t>
  </si>
  <si>
    <t>Ancho De Banda Para Acceso A Internet (Mgbt)</t>
  </si>
  <si>
    <t>Número Puntos De Red Funcionando Para Acceso A Internet</t>
  </si>
  <si>
    <t>Equipos Robustos</t>
  </si>
  <si>
    <t>Número PC´S Con Acceso A Intranet</t>
  </si>
  <si>
    <t>* Cifras en millones de pesos</t>
  </si>
  <si>
    <t>Ingreso matriculas</t>
  </si>
  <si>
    <t>Ingreso de extensión</t>
  </si>
  <si>
    <t>Total ingresos operacionales</t>
  </si>
  <si>
    <t>Cifras en millones de pesos</t>
  </si>
  <si>
    <t>Ingresos Operacionales</t>
  </si>
  <si>
    <t>Ingresos no Operacionales</t>
  </si>
  <si>
    <t>Ingresos totales</t>
  </si>
  <si>
    <t>Ingresos</t>
  </si>
  <si>
    <t>Costos y gastos Oper.</t>
  </si>
  <si>
    <t>Excedente operacional</t>
  </si>
  <si>
    <t>Margen Operacional</t>
  </si>
  <si>
    <t>Ingresos no Oper.</t>
  </si>
  <si>
    <t>Gastos no Oper.</t>
  </si>
  <si>
    <t>Excedente antes de Tx</t>
  </si>
  <si>
    <t>Excedente Neto</t>
  </si>
  <si>
    <t>Margen neto</t>
  </si>
  <si>
    <t>Fondo Social</t>
  </si>
  <si>
    <t>Adopción NIIF</t>
  </si>
  <si>
    <t>Excedentes</t>
  </si>
  <si>
    <t>Total Patrimonio</t>
  </si>
  <si>
    <t>Caja</t>
  </si>
  <si>
    <t>Cuentas por cobrar</t>
  </si>
  <si>
    <t>PPE</t>
  </si>
  <si>
    <t>Total Activo</t>
  </si>
  <si>
    <t>Activos Corrientes</t>
  </si>
  <si>
    <t>Activos no Corrientes</t>
  </si>
  <si>
    <t>Total Activos</t>
  </si>
  <si>
    <t>Pasivos Corrientes</t>
  </si>
  <si>
    <t>Pasivos no Corrientes</t>
  </si>
  <si>
    <t>Total Pasivos</t>
  </si>
  <si>
    <t>Patrimonio</t>
  </si>
  <si>
    <t>Capital de trabajo</t>
  </si>
  <si>
    <t>Índice de liquidez</t>
  </si>
  <si>
    <t>Inversiones realizadas en torno al plan de mejoramiento.</t>
  </si>
  <si>
    <t>Infraestructura</t>
  </si>
  <si>
    <t>Tecnología</t>
  </si>
  <si>
    <t>Contenidos Virtuales</t>
  </si>
  <si>
    <t>Biblioteca, CMA</t>
  </si>
  <si>
    <t>Fortalecimiento Docencia</t>
  </si>
  <si>
    <t>Planes de mejoramiento</t>
  </si>
  <si>
    <t>Part% sobre Ingreso</t>
  </si>
  <si>
    <t>Docencia</t>
  </si>
  <si>
    <t>Investigación</t>
  </si>
  <si>
    <t>Bienestar</t>
  </si>
  <si>
    <t>Proyección Social</t>
  </si>
  <si>
    <t>Internacionalización</t>
  </si>
  <si>
    <t>Extensión</t>
  </si>
  <si>
    <t>Bienestar y regionalización</t>
  </si>
  <si>
    <t>Servicio y permanencia</t>
  </si>
  <si>
    <t>Subtotal Bienestar</t>
  </si>
  <si>
    <t>%Part/Ingreso</t>
  </si>
  <si>
    <t>Auxilios estudiantiles</t>
  </si>
  <si>
    <t>Auxilios Pandemia</t>
  </si>
  <si>
    <t>Total Bienestar</t>
  </si>
  <si>
    <t>Becas</t>
  </si>
  <si>
    <t>Proyección social y graduados</t>
  </si>
  <si>
    <t>Práctica estudiantil y académica</t>
  </si>
  <si>
    <t>Subtotal Proyección social</t>
  </si>
  <si>
    <t>Becas Pandemia</t>
  </si>
  <si>
    <t>Total Proyección Social</t>
  </si>
  <si>
    <t>Fomento</t>
  </si>
  <si>
    <t>Total Investigación</t>
  </si>
  <si>
    <t>Misiones Académicas</t>
  </si>
  <si>
    <t>Relaciones Internacionales</t>
  </si>
  <si>
    <t>Idiomas</t>
  </si>
  <si>
    <t>Total Internacionalización</t>
  </si>
  <si>
    <t>Costos y gestión</t>
  </si>
  <si>
    <t>Operación</t>
  </si>
  <si>
    <t>Inversión Capex</t>
  </si>
  <si>
    <t xml:space="preserve">Operación </t>
  </si>
  <si>
    <t>LÍNEA ESTRATÉGICA</t>
  </si>
  <si>
    <t>PROYECTO</t>
  </si>
  <si>
    <t>OBJETIVO</t>
  </si>
  <si>
    <t>UNIDAD</t>
  </si>
  <si>
    <t>Fecha de finalización</t>
  </si>
  <si>
    <t>CALIDAD</t>
  </si>
  <si>
    <r>
      <t>1.</t>
    </r>
    <r>
      <rPr>
        <sz val="7"/>
        <color rgb="FF000000"/>
        <rFont val="Times New Roman"/>
        <family val="1"/>
      </rPr>
      <t xml:space="preserve">      </t>
    </r>
    <r>
      <rPr>
        <sz val="8"/>
        <color rgb="FF000000"/>
        <rFont val="Open Sans"/>
        <family val="2"/>
      </rPr>
      <t>Acreditación Institucional Sede Bogotá-Fase I</t>
    </r>
  </si>
  <si>
    <t>Elaborar y radicar la solicitud de condiciones iniciales ante el CNA para optar por la acreditación institucional en alta calidad de la sede Bogotá</t>
  </si>
  <si>
    <t>Vicerrectoría Académica</t>
  </si>
  <si>
    <r>
      <t>2.</t>
    </r>
    <r>
      <rPr>
        <sz val="7"/>
        <color rgb="FF000000"/>
        <rFont val="Times New Roman"/>
        <family val="1"/>
      </rPr>
      <t xml:space="preserve">      </t>
    </r>
    <r>
      <rPr>
        <sz val="8"/>
        <color rgb="FF000000"/>
        <rFont val="Open Sans"/>
        <family val="2"/>
      </rPr>
      <t>Catálogo de recursos Virtuales</t>
    </r>
  </si>
  <si>
    <t>Diseñar, estructurar y poner en funcionamiento, el catálogo online de recursos digitales de los materiales virtuales del Poli, que se encuentran asociados a los módulos, los e-books, los Mooc, las experiencias inmersivas y la producción audiovisual del estudio de grabación de la Gerencia de Educación Virtual.</t>
  </si>
  <si>
    <r>
      <t>3.</t>
    </r>
    <r>
      <rPr>
        <sz val="7"/>
        <color rgb="FF000000"/>
        <rFont val="Times New Roman"/>
        <family val="1"/>
      </rPr>
      <t xml:space="preserve">      </t>
    </r>
    <r>
      <rPr>
        <sz val="8"/>
        <color rgb="FF000000"/>
        <rFont val="Open Sans"/>
        <family val="2"/>
      </rPr>
      <t>Innovación Curricular</t>
    </r>
  </si>
  <si>
    <t>Desarrollar procesos de gestión y evaluación curricular que garanticen la calidad y excelencia académica y conduzcan a innovaciones curriculares en los niveles marco, meso y micro</t>
  </si>
  <si>
    <t>4. SER PRO</t>
  </si>
  <si>
    <t>Definir e implementar estrategias institucionales para mejorar el desempeño estudiantil en las Pruebas Saber, mediante el diseño de sistemas de monitoreo y medición del valor agregado, la formación docente, la articulación con equipos administrativos y la identificación de necesidades en la relación con el entorno externo</t>
  </si>
  <si>
    <t>5. Cultura de buena Docencia</t>
  </si>
  <si>
    <t>Consolidar la comunidad de profesores del POLI entorno a la cultura de la Buena Docencia, Centrada en el aprendizaje del estudiante, su experiencia en el aula de forma permanente y colaborativa</t>
  </si>
  <si>
    <t>6. Habilidades Poderosas</t>
  </si>
  <si>
    <t>Fortalecer la cultura organizacional del Politécnico Grancolombiano con enfoque en liderazgo transformacional, a partir de la apropiación de los valores Institucionales y el desarrollo de las habilidades poderosas en Directivos, Administrativos, Docente, Estudiantes, Graduados, CSU´s y demás grupos de interés durante tres fases.</t>
  </si>
  <si>
    <t>7. Acreditación Institucional Fase II</t>
  </si>
  <si>
    <t>Realizar el proceso de autoevaluación con fines de acreditación y elaborar y radicar el respectivo informe de autoevaluación con fines de acreditación en alta calidad de la sede Bogotá con sus respectivos anexos y cuadros maestros ante el Consejo Nacional de Acreditación (CNA).</t>
  </si>
  <si>
    <t>8. CREA Centro de Recursos y Experiencias para el aprendizaje – Fase de Adecuación</t>
  </si>
  <si>
    <t>Consolidar un espacio dinámico de servicios académicos y experiencias de aprendizaje, integrado en un ecosistema digital institucional, que promueva la producción e innovación de materiales educativos y desarrollos pedagógicos apoyados en tecnologías de la información y la comunicación.</t>
  </si>
  <si>
    <t>TRANSFORMACIÓN ORGANIZACIONAL</t>
  </si>
  <si>
    <r>
      <t>9.</t>
    </r>
    <r>
      <rPr>
        <sz val="7"/>
        <color rgb="FF000000"/>
        <rFont val="Times New Roman"/>
        <family val="1"/>
      </rPr>
      <t xml:space="preserve">      </t>
    </r>
    <r>
      <rPr>
        <sz val="8"/>
        <color rgb="FF000000"/>
        <rFont val="Open Sans"/>
        <family val="2"/>
      </rPr>
      <t>Monarca – Ecosistema Banner</t>
    </r>
  </si>
  <si>
    <t>Actualizar la versión de Banner a la última versión para garantizar una operación estable de la herramienta y permitir la aplicación de parches y actualizaciones que mejoren constantemente la funcionalidad de la línea base del producto en una infraestructura altamente escalable</t>
  </si>
  <si>
    <t>Vicerrectoría del Estudiante</t>
  </si>
  <si>
    <r>
      <t>10.</t>
    </r>
    <r>
      <rPr>
        <sz val="7"/>
        <color rgb="FF000000"/>
        <rFont val="Times New Roman"/>
        <family val="1"/>
      </rPr>
      <t xml:space="preserve">      </t>
    </r>
    <r>
      <rPr>
        <sz val="8"/>
        <color rgb="FF000000"/>
        <rFont val="Open Sans"/>
        <family val="2"/>
      </rPr>
      <t>Nuevo POLISIGS</t>
    </r>
  </si>
  <si>
    <t>Diseñar e implementar el POLISIGS INSTITUCIONAL, mediante un modelo de gestión soportado en Políticas, procedimientos, indicadores y riesgos de toda la cadena de valor, el cual es el cual sea un apalancador de la planeación estratégica de la Institución</t>
  </si>
  <si>
    <t>Rectoría</t>
  </si>
  <si>
    <r>
      <t>11.</t>
    </r>
    <r>
      <rPr>
        <sz val="7"/>
        <color rgb="FF000000"/>
        <rFont val="Times New Roman"/>
        <family val="1"/>
      </rPr>
      <t xml:space="preserve">      </t>
    </r>
    <r>
      <rPr>
        <sz val="8"/>
        <color rgb="FF000000"/>
        <rFont val="Open Sans"/>
        <family val="2"/>
      </rPr>
      <t>PRIME</t>
    </r>
  </si>
  <si>
    <t>Implementar un sistema integral de gestión académica basado en la plataforma Banner, que abarque todos los procesos clave (Graduación, Gestión Académica, Admisión, Gestión Estudiantes, Cuentas por Cobrar y Gestión Docente). El objetivo es garantizar la calidad y la experiencia del estudiante a lo largo de su ciclo académico, así como asegurar una operación académica y financiera estable para toda la comunidad educativa.</t>
  </si>
  <si>
    <r>
      <rPr>
        <sz val="7"/>
        <color rgb="FF000000"/>
        <rFont val="Times New Roman"/>
        <family val="1"/>
      </rPr>
      <t xml:space="preserve">12.      </t>
    </r>
    <r>
      <rPr>
        <sz val="8"/>
        <color rgb="FF000000"/>
        <rFont val="Open Sans"/>
        <family val="2"/>
      </rPr>
      <t>Plan Talento</t>
    </r>
  </si>
  <si>
    <t>Implementar herramientas de evaluación para los colaboradores que permitan medir la gestión por competencias y desempeño con el objetivo de crear un plan reactivo de evaluación 360</t>
  </si>
  <si>
    <t>13. Portal Web Universitario</t>
  </si>
  <si>
    <t xml:space="preserve">
Diseñar, desarrollar, desplegar, implementar y dar soporte post-implementación del portal Web institucional, para mejorar la experiencia de las audiencias a las cuales atiende. Esto a través del uso de tecnologías de punta para el desarrollo de páginas web, basadas en experiencia de usuario</t>
  </si>
  <si>
    <t>14. HUBSPOT CRM</t>
  </si>
  <si>
    <t>Migración del CRM actual, de dynamics 365 a Hubspot, incluye: Migración de los datos de 2023-1 a la fecha de salida en vivo Desarrollo de la integración con FDI y Banner Pruebas Integrales</t>
  </si>
  <si>
    <t>15. Datalake</t>
  </si>
  <si>
    <t>Implementar el modelo Data Lake institucional para integrar y centralizar datos de múltiples fuentes (BANNER, CANVAS, CRM, SAP, FDI, entre otros), facilitando su disponibilidad y uso por los equipos, y habilitando análisis avanzados que generen valor agregado para la toma de decisiones.</t>
  </si>
  <si>
    <t>EXPANSIÓN</t>
  </si>
  <si>
    <r>
      <t>16.</t>
    </r>
    <r>
      <rPr>
        <sz val="7"/>
        <color rgb="FF000000"/>
        <rFont val="Times New Roman"/>
        <family val="1"/>
      </rPr>
      <t xml:space="preserve">      </t>
    </r>
    <r>
      <rPr>
        <sz val="8"/>
        <color rgb="FF000000"/>
        <rFont val="Open Sans"/>
        <family val="2"/>
      </rPr>
      <t>PRICING</t>
    </r>
  </si>
  <si>
    <t>Definir una metodología de estrategia de precios, que permita conocer el precio y nivel de rentabilidad adecuado para cada programa, incluyendo la definición de descuentos y de estrategias para maximizar la rentabilidad y el número de estudiantes.</t>
  </si>
  <si>
    <t>Vicerrectoría de Crecimiento</t>
  </si>
  <si>
    <t>17. Proyecto Silver</t>
  </si>
  <si>
    <t>Promover la incorporación del aprendizaje y la educación continua para personas mayores de 50 años, mediante la conceptualización de 4 espacios de conversación y la estructuración de una propuesta de línea de negocio para programas intergeneracionales enfocados en la nueva longevidad</t>
  </si>
  <si>
    <t>EXPERIENCIA</t>
  </si>
  <si>
    <r>
      <t>18.</t>
    </r>
    <r>
      <rPr>
        <sz val="7"/>
        <color rgb="FF000000"/>
        <rFont val="Times New Roman"/>
        <family val="1"/>
      </rPr>
      <t xml:space="preserve">      </t>
    </r>
    <r>
      <rPr>
        <sz val="8"/>
        <color rgb="FF000000"/>
        <rFont val="Open Sans"/>
        <family val="2"/>
      </rPr>
      <t>Experiencia Institucional fase I</t>
    </r>
  </si>
  <si>
    <t>Diseñar un modelo de experiencia Poli, de acuerdo con los principios, valores, cualidades, indicadores y variables institucionales que permitan crear una cultura de la experiencia y el servicio orientada a la excelencia, institucionalizándola como misión en todos los actores de la comunidad educativa</t>
  </si>
  <si>
    <r>
      <t>19.</t>
    </r>
    <r>
      <rPr>
        <sz val="7"/>
        <color rgb="FF000000"/>
        <rFont val="Times New Roman"/>
        <family val="1"/>
      </rPr>
      <t xml:space="preserve">    </t>
    </r>
    <r>
      <rPr>
        <sz val="8"/>
        <color rgb="FF000000"/>
        <rFont val="Open Sans"/>
        <family val="2"/>
      </rPr>
      <t>Experiencia Institucional Fase II</t>
    </r>
  </si>
  <si>
    <t>Generar una estrategia de gestión de cambio para la apropiación y aplicación del modelo de experiencia Poli, que permita el fortalecimiento de la cultura basada en la experiencia y el servicio orientado a la excelencia</t>
  </si>
  <si>
    <t>Vicerrectoría del estudiante</t>
  </si>
  <si>
    <t>20. Experiencia Institucional fase III - Hub de Experiencia y agilismo</t>
  </si>
  <si>
    <t>Implementar el Hub de Experiencia en sus 4 líneas de trabajo: Formación, Aseguramiento de procesos, innovación digital y HUB de saberes y estándares de medición internos y externos</t>
  </si>
  <si>
    <t>21. Centro Gastronómico</t>
  </si>
  <si>
    <t>Crear el Centro Gastronómico POLI como espacio práctico para fortalecer la formación de estudiantes del programa AHG, apoyar su inserción laboral, promover el sello institucional y aportar a la renovación del Registro Calificado y la acreditación en alta calidad</t>
  </si>
  <si>
    <t>SOSTENIBILIDAD</t>
  </si>
  <si>
    <r>
      <t>22.</t>
    </r>
    <r>
      <rPr>
        <sz val="7"/>
        <color rgb="FF000000"/>
        <rFont val="Times New Roman"/>
        <family val="1"/>
      </rPr>
      <t xml:space="preserve">    </t>
    </r>
    <r>
      <rPr>
        <sz val="8"/>
        <color rgb="FF000000"/>
        <rFont val="Open Sans"/>
        <family val="2"/>
      </rPr>
      <t>Certificación Sistema de Gestión Ambiental (SGA) sede los Colores</t>
    </r>
  </si>
  <si>
    <t>Ampliar el alcance de la certificación del Sistema de Gestión Ambiental ISO 14001:2015 en la sede Los Colores Medellín</t>
  </si>
  <si>
    <r>
      <t>23.</t>
    </r>
    <r>
      <rPr>
        <sz val="7"/>
        <color rgb="FF000000"/>
        <rFont val="Times New Roman"/>
        <family val="1"/>
      </rPr>
      <t xml:space="preserve">    </t>
    </r>
    <r>
      <rPr>
        <sz val="8"/>
        <color rgb="FF000000"/>
        <rFont val="Open Sans"/>
        <family val="2"/>
      </rPr>
      <t>Equidad de Género</t>
    </r>
  </si>
  <si>
    <t>Diseñar e implementar una estrategia institucional de equidad de género que promueva entornos inclusivos, participación equitativa y prácticas respetuosas de la diversidad</t>
  </si>
  <si>
    <r>
      <t>1.</t>
    </r>
    <r>
      <rPr>
        <sz val="7"/>
        <color rgb="FF000000"/>
        <rFont val="Times New Roman"/>
        <family val="1"/>
      </rPr>
      <t xml:space="preserve">      </t>
    </r>
    <r>
      <rPr>
        <sz val="8"/>
        <color rgb="FF000000"/>
        <rFont val="Open Sans"/>
        <family val="2"/>
      </rPr>
      <t>Acreditación Institucional Fase III</t>
    </r>
  </si>
  <si>
    <t>Preparar y llevar a cabo la etapa de evaluación externa o evaluación por pares académicos en el marco del proceso de acreditación institucional en alta calidad de la sede Bogotá.</t>
  </si>
  <si>
    <r>
      <t>3.</t>
    </r>
    <r>
      <rPr>
        <sz val="7"/>
        <color rgb="FF000000"/>
        <rFont val="Times New Roman"/>
        <family val="1"/>
      </rPr>
      <t xml:space="preserve">      </t>
    </r>
    <r>
      <rPr>
        <sz val="8"/>
        <color rgb="FF000000"/>
        <rFont val="Open Sans"/>
        <family val="2"/>
      </rPr>
      <t>Fortalecimiento de la investigación, la innovación y la creación</t>
    </r>
  </si>
  <si>
    <t>Mejorar la investigación, la innovación y la creación institucional mediante el fortalecimiento de habilidades investigativas, la consolidación de semilleros de investigación y la implementación de estrategias para motivar la participación estudiantil. También se enfoca en aumentar la productividad de nuevo conocimiento, propiciar aliados para proyectos con impacto en el sector externo, fomentar la cultura de innovación y ampliar la divulgación de resultados de investigación.​</t>
  </si>
  <si>
    <r>
      <t>4.</t>
    </r>
    <r>
      <rPr>
        <sz val="7"/>
        <color rgb="FF000000"/>
        <rFont val="Times New Roman"/>
        <family val="1"/>
      </rPr>
      <t xml:space="preserve">      </t>
    </r>
    <r>
      <rPr>
        <sz val="8"/>
        <color rgb="FF000000"/>
        <rFont val="Open Sans"/>
        <family val="2"/>
      </rPr>
      <t>Fortalecimiento de planta docente</t>
    </r>
  </si>
  <si>
    <t>Diseñar e implementar el modelo de fortalecimiento de la planta docente, que permita identificar la relación óptima Docente - Estudiante de acuerdo con las políticas y lineamientos institucionales, para las diferentes modalidades y niveles, garantizando la calidad y la sostenibilidad financiera de la institución.</t>
  </si>
  <si>
    <r>
      <t>5.</t>
    </r>
    <r>
      <rPr>
        <sz val="7"/>
        <color rgb="FF000000"/>
        <rFont val="Times New Roman"/>
        <family val="1"/>
      </rPr>
      <t xml:space="preserve">      </t>
    </r>
    <r>
      <rPr>
        <sz val="8"/>
        <color rgb="FF000000"/>
        <rFont val="Open Sans"/>
        <family val="2"/>
      </rPr>
      <t>Plataforma de gestión de información curricular Fase 1</t>
    </r>
  </si>
  <si>
    <t>Desarrollo, integración y soporte de una plataforma de gestión curricular para la sistematización y digitalización de la información curricular de cada programa académico del Poli, que comprende: perfiles profesional y ocupacional, competencias de egreso, resultados de aprendizaje, plan de estudios, indicadores de logro de las asignaturas o módulos de dicho plan, syllabus y proyectos educativos de programa.</t>
  </si>
  <si>
    <r>
      <t>6.</t>
    </r>
    <r>
      <rPr>
        <sz val="7"/>
        <color rgb="FF000000"/>
        <rFont val="Times New Roman"/>
        <family val="1"/>
      </rPr>
      <t xml:space="preserve">      </t>
    </r>
    <r>
      <rPr>
        <sz val="8"/>
        <color rgb="FF000000"/>
        <rFont val="Open Sans"/>
        <family val="2"/>
      </rPr>
      <t>Reingenieria de aplicaciones</t>
    </r>
  </si>
  <si>
    <t>Definir y establecer un marco de arquitectura robusto y escalable, basado en la evaluación del road map de aplicaciones, que sirva como guía para la creación de un proyecto semilla. Este proyecto semilla será fundamental para la construcción de diversas aplicaciones y servicios necesarios para la Institución, culminando con la puesta en marcha de un piloto exitoso.</t>
  </si>
  <si>
    <r>
      <t>7.</t>
    </r>
    <r>
      <rPr>
        <sz val="7"/>
        <color rgb="FF000000"/>
        <rFont val="Times New Roman"/>
        <family val="1"/>
      </rPr>
      <t xml:space="preserve">      </t>
    </r>
    <r>
      <rPr>
        <sz val="8"/>
        <color rgb="FF000000"/>
        <rFont val="Open Sans"/>
        <family val="2"/>
      </rPr>
      <t>SOPHIA Sistema de Optimización y Programación Horaria Institucional Académica  I Fase</t>
    </r>
  </si>
  <si>
    <t>Diseñar, desarrollar e implementar un software intuitivo y eficiente que permita a la institución realizar la planificación académica y la programación de grupos de pregrado y posgrado presencial en BOG y MDE; así como la  programación de encuentros sincrónicos en Pregrado y Posgrado Virtual; garantizado el uso optimo de la planta física, docente y la proyección de demanda estudiantil.</t>
  </si>
  <si>
    <t>8. Gobierno de datos</t>
  </si>
  <si>
    <t xml:space="preserve">
Diseñar e implementar un Modelo de Gobierno de Datos Institucional que garantice la disponibilidad, confiabilidad y oportunidad de la información, facilitando su uso eficiente en la toma de decisiones estratégicas de la Institución.</t>
  </si>
  <si>
    <t>9. Self Service S&amp;P</t>
  </si>
  <si>
    <t>Mejorar la eficiencia operativa, aumentando la experiencia y satisfacción del estudiante (NPS) reduciendo costos y los tiempos de maduración para acelerar el paso del funnel. . El proyecto busca crear una experiencia web y de canales escritos que apoye la conversión sin intervención de agentes con capacidades de e-commerce de manera autónoma en toda la cadena.</t>
  </si>
  <si>
    <t>10. ADN POLI</t>
  </si>
  <si>
    <t>Diseñar e implementar un modelo de experiencia positiva para todos los colaboradores del Politécnico Grancolombiano, que fortalezca el sentido de pertenencia, fomente la satisfacción laboral y promueva el desarrollo personal y profesional, garantizando que vivan y reflejen los valores institucionales en su día a día y contribuyan al impacto positivo en la comunidad educativa.</t>
  </si>
  <si>
    <t>11. Actualización de TRD y creación del Plan de Gestión documental</t>
  </si>
  <si>
    <t>Actualización de los Instrumentos Archivísticos, que incluye la actualización de las Tablas de Retención Documental (TRD), actualización de los Cuadros de Clasificación Documental (CCD), y elaboración del Programa de Gestión Documental (PGD), de conformidad con la normatividad archivística vigente nacional</t>
  </si>
  <si>
    <t>12. Herramientas de Gestión para el mejoramiento continuo</t>
  </si>
  <si>
    <t>Fortalecer el mejoramiento continuo institucional mediante el rediseño del modelo, la definición de herramientas y la implementación de mecanismos de seguimiento que apoyen a los líderes de proceso en la solución de problemas.</t>
  </si>
  <si>
    <r>
      <t>13.</t>
    </r>
    <r>
      <rPr>
        <sz val="7"/>
        <color rgb="FF000000"/>
        <rFont val="Times New Roman"/>
        <family val="1"/>
      </rPr>
      <t xml:space="preserve">    </t>
    </r>
    <r>
      <rPr>
        <sz val="8"/>
        <color rgb="FF000000"/>
        <rFont val="Open Sans"/>
        <family val="2"/>
      </rPr>
      <t>Migración modelo de transporte rotativo</t>
    </r>
  </si>
  <si>
    <t>Optimizar el funcionamiento de la flota de transporte rotativo para estudiantes, profesores, administrativos, externos y la comunidad del barrio El Castillo. Mediante la renovación de los vehículos actuales para cumplir con las medidas reglamentarias en temas ambientales y técnicos</t>
  </si>
  <si>
    <t>Vicerrectoría Financiera</t>
  </si>
  <si>
    <r>
      <t>14.</t>
    </r>
    <r>
      <rPr>
        <sz val="7"/>
        <color rgb="FF000000"/>
        <rFont val="Times New Roman"/>
        <family val="1"/>
      </rPr>
      <t xml:space="preserve">    </t>
    </r>
    <r>
      <rPr>
        <sz val="8"/>
        <color rgb="FF000000"/>
        <rFont val="Open Sans"/>
        <family val="2"/>
      </rPr>
      <t>Permanencia institucional</t>
    </r>
  </si>
  <si>
    <t>Fortalecer el proceso de acompañamiento institucional dirigido a los estudiantes con el objetivo de favorecer la permanencia instutucional, a través de estrtaegias de orientación académica y administrativa, mitigando los factores de riesgo de deserción</t>
  </si>
  <si>
    <r>
      <t>15.</t>
    </r>
    <r>
      <rPr>
        <sz val="7"/>
        <color rgb="FF000000"/>
        <rFont val="Times New Roman"/>
        <family val="1"/>
      </rPr>
      <t xml:space="preserve">    </t>
    </r>
    <r>
      <rPr>
        <sz val="8"/>
        <color rgb="FF000000"/>
        <rFont val="Open Sans"/>
        <family val="2"/>
      </rPr>
      <t>Ecosistema E3</t>
    </r>
  </si>
  <si>
    <t>Brindar herramientas a la comunidad POLI para fomentar la empleabilidad, el emprendimiento y la innovación, mediante la articulación de unidades internas y alianzas externas que fortalezcan la oferta de servicios, el posicionamiento institucional y el vínculo con graduados.</t>
  </si>
  <si>
    <t>16. Modelo de seguimiento al graduado</t>
  </si>
  <si>
    <t>Fortalecer el modelo de seguimiento y relacionamiento con graduados mediante la recolección de datos representativos, la sistematización de procesos, el desarrollo de herramientas tecnológicas y el análisis estadístico por programa, integrando los resultados en los planes de mejora institucionales.</t>
  </si>
  <si>
    <t>EDUCACION PARA TODA LA VIDA</t>
  </si>
  <si>
    <r>
      <t>17.</t>
    </r>
    <r>
      <rPr>
        <sz val="7"/>
        <color rgb="FF000000"/>
        <rFont val="Times New Roman"/>
        <family val="1"/>
      </rPr>
      <t xml:space="preserve">    </t>
    </r>
    <r>
      <rPr>
        <sz val="8"/>
        <color rgb="FF000000"/>
        <rFont val="Open Sans"/>
        <family val="2"/>
      </rPr>
      <t>Colegio Virtual – Cafam</t>
    </r>
  </si>
  <si>
    <t>El objetivo del Proyecto en fase I es ejecutar los procesos legales para conformar la alianza CAFAM – Poli con el objetivo de incursionar en la educación media a través de la modalidad semipresencial y virtual.</t>
  </si>
  <si>
    <r>
      <t>18.</t>
    </r>
    <r>
      <rPr>
        <sz val="7"/>
        <color rgb="FF000000"/>
        <rFont val="Times New Roman"/>
        <family val="1"/>
      </rPr>
      <t xml:space="preserve">    </t>
    </r>
    <r>
      <rPr>
        <sz val="8"/>
        <color rgb="FF000000"/>
        <rFont val="Open Sans"/>
        <family val="2"/>
      </rPr>
      <t>Institución de educación para el trabajo y desarrollo humano IETDH – Cafam</t>
    </r>
  </si>
  <si>
    <t>El objetivo principal del Proyecto en fase 1 es llevar a cabo los procesos legales, logísticos, financieros y académicos necesarios para conformar la alianza con CET CAFAM (Centro de Educación para el Trabajo CAFAM). Para el inicio de la en operación de los programas del IETDH (Institución de Educación para el Trabajo y el Desarrollo Humano)</t>
  </si>
  <si>
    <r>
      <t>19.</t>
    </r>
    <r>
      <rPr>
        <sz val="7"/>
        <color rgb="FF000000"/>
        <rFont val="Times New Roman"/>
        <family val="1"/>
      </rPr>
      <t xml:space="preserve">      </t>
    </r>
    <r>
      <rPr>
        <sz val="8"/>
        <color rgb="FF000000"/>
        <rFont val="Open Sans"/>
        <family val="2"/>
      </rPr>
      <t>Centro de Idiomas Poli</t>
    </r>
  </si>
  <si>
    <t>Diseñar y poner en marcha la primera fase del Centro de Idiomas del Poli desde la sensibilización de la comunidad académica frente a sus funciones, así como radicar un programa de formación ante la SED para oferta externa</t>
  </si>
  <si>
    <t>Evento</t>
  </si>
  <si>
    <t>Población objetivo</t>
  </si>
  <si>
    <t>No. Participantes</t>
  </si>
  <si>
    <t>Socialización de resultados del acompañamiento para el Fortalecimiento de los Sistemas Internos de Aseguramiento de la Calidad en 2020</t>
  </si>
  <si>
    <t>Directivos</t>
  </si>
  <si>
    <t>Socialización de resultados del acompañamiento para el Fortalecimiento de los Sistemas Internos de Aseguramiento de la Calidad en 2021</t>
  </si>
  <si>
    <t>Sistema de Aseguramiento de la Calidad de la Educación Superior, con la participación de Carmen Amalia Camacho</t>
  </si>
  <si>
    <t>Profesores y Directivos</t>
  </si>
  <si>
    <t>Seminario: Elaboración de Documentos para el Aseguramiento de la Calidad de la Educación Superior</t>
  </si>
  <si>
    <t>Conoce nuestro Sistema Interno de Aseguramiento de la Calidad</t>
  </si>
  <si>
    <t>Colaboradores</t>
  </si>
  <si>
    <t>Seminario: Fundamentos para el Aseguramiento de la Calidad de los Programas Académicos</t>
  </si>
  <si>
    <t>Conferencia: Explorando los beneficios de la acreditación de Programas en Diseño</t>
  </si>
  <si>
    <t>Red Académica de Diseño (RAD)</t>
  </si>
  <si>
    <t>Nuestro SIAC y las perspectivas institucionales para el logro de la alta calidad académica</t>
  </si>
  <si>
    <t>Charla “En camino a nuestra acreditación”</t>
  </si>
  <si>
    <t xml:space="preserve">Seminario: Sistema de Información en la Educación Superior (SNIES, SPADIES Y OLE)   </t>
  </si>
  <si>
    <t>Capacitación Anexo Técnicos Programas de Salud</t>
  </si>
  <si>
    <t>Nuevo Modelo de Acreditación de Programas (Acuerdo 01 de 2025)</t>
  </si>
  <si>
    <t>Se ejecutan en el 2026-2</t>
  </si>
  <si>
    <t>NA</t>
  </si>
  <si>
    <t>Cátedra</t>
  </si>
  <si>
    <t>Planta</t>
  </si>
  <si>
    <t>Evaluación 360°</t>
  </si>
  <si>
    <t>Resultado 2022</t>
  </si>
  <si>
    <t>Resultado 2023</t>
  </si>
  <si>
    <t>Resultado 2024</t>
  </si>
  <si>
    <t>Resultado 2025</t>
  </si>
  <si>
    <t>Resultado 2026</t>
  </si>
  <si>
    <t>Resultado global administrativos</t>
  </si>
  <si>
    <t>Área formadora</t>
  </si>
  <si>
    <t>Tipo de formación</t>
  </si>
  <si>
    <t>Logros</t>
  </si>
  <si>
    <t>Dirección de Currículo</t>
  </si>
  <si>
    <t>Articulación y declaración de resultados de aprendizaje con perfiles y competencias profesionales de programa</t>
  </si>
  <si>
    <t>Año 2021:</t>
  </si>
  <si>
    <r>
      <t>·</t>
    </r>
    <r>
      <rPr>
        <sz val="7"/>
        <rFont val="Times New Roman"/>
        <family val="1"/>
      </rPr>
      <t xml:space="preserve">       </t>
    </r>
    <r>
      <rPr>
        <sz val="9"/>
        <color rgb="FF000000"/>
        <rFont val="Open Sans"/>
        <family val="2"/>
      </rPr>
      <t>Revisión de las brechas y las cualificaciones declaradas en el Marco Nacional de Cualificaciones para la reforma curricular y la declaración de resultados de aprendizaje e indicadores de logro</t>
    </r>
  </si>
  <si>
    <r>
      <t>·</t>
    </r>
    <r>
      <rPr>
        <sz val="7"/>
        <rFont val="Times New Roman"/>
        <family val="1"/>
      </rPr>
      <t xml:space="preserve">       </t>
    </r>
    <r>
      <rPr>
        <sz val="9"/>
        <color rgb="FF000000"/>
        <rFont val="Open Sans"/>
        <family val="2"/>
      </rPr>
      <t>Reflexión curricular en torno a la formulación de los resultados de aprendizaje y posibilidad de medición y verificación en el proceso formativo</t>
    </r>
  </si>
  <si>
    <t>Año 2022:</t>
  </si>
  <si>
    <r>
      <t>·</t>
    </r>
    <r>
      <rPr>
        <sz val="7"/>
        <rFont val="Times New Roman"/>
        <family val="1"/>
      </rPr>
      <t xml:space="preserve">       </t>
    </r>
    <r>
      <rPr>
        <sz val="9"/>
        <color rgb="FF000000"/>
        <rFont val="Open Sans"/>
        <family val="2"/>
      </rPr>
      <t>Articulación de los mapeos curriculares con la estrategia de declaración de los resultados de aprendizaje</t>
    </r>
  </si>
  <si>
    <r>
      <t>·</t>
    </r>
    <r>
      <rPr>
        <sz val="7"/>
        <rFont val="Times New Roman"/>
        <family val="1"/>
      </rPr>
      <t xml:space="preserve">       </t>
    </r>
    <r>
      <rPr>
        <sz val="9"/>
        <color rgb="FF000000"/>
        <rFont val="Open Sans"/>
        <family val="2"/>
      </rPr>
      <t>Caracterización de las labores académicas, formativas, científicas, profesores y de extensión y proyección social en los procesos de gestión curricular de los programas académicos en relación con los resultados de aprendizaje declarados por estos</t>
    </r>
  </si>
  <si>
    <t>Año 2023:</t>
  </si>
  <si>
    <r>
      <t>·</t>
    </r>
    <r>
      <rPr>
        <sz val="7"/>
        <color rgb="FF000000"/>
        <rFont val="Times New Roman"/>
        <family val="1"/>
      </rPr>
      <t xml:space="preserve">       </t>
    </r>
    <r>
      <rPr>
        <sz val="9"/>
        <color rgb="FF000000"/>
        <rFont val="Open Sans"/>
        <family val="2"/>
      </rPr>
      <t>88 sesiones de trabajo en las que participaron 44 programas, con 3 Decanos,12 Directores de Escuela y 12 profesores de planta, integrantes de los comités curriculares de Escuela</t>
    </r>
  </si>
  <si>
    <t>Año 2024-I:</t>
  </si>
  <si>
    <r>
      <t>·</t>
    </r>
    <r>
      <rPr>
        <sz val="7"/>
        <rFont val="Times New Roman"/>
        <family val="1"/>
      </rPr>
      <t xml:space="preserve">       </t>
    </r>
    <r>
      <rPr>
        <sz val="9"/>
        <color rgb="FF000000"/>
        <rFont val="Open Sans"/>
        <family val="2"/>
      </rPr>
      <t>20 sesiones de trabajo en las que participaron 10 programas, con 6 Directores y 6 profesores de planta, integrantes de los comités curriculares de Escuela</t>
    </r>
  </si>
  <si>
    <t>Año 2024-II:</t>
  </si>
  <si>
    <r>
      <t>·</t>
    </r>
    <r>
      <rPr>
        <sz val="7"/>
        <rFont val="Times New Roman"/>
        <family val="1"/>
      </rPr>
      <t xml:space="preserve">       </t>
    </r>
    <r>
      <rPr>
        <sz val="9"/>
        <color rgb="FF000000"/>
        <rFont val="Open Sans"/>
        <family val="2"/>
      </rPr>
      <t>52 sesiones de trabajo en las que participaron 27 programas, con 24 personas (entre profesores y delegados).</t>
    </r>
  </si>
  <si>
    <t>Año 2025-I:</t>
  </si>
  <si>
    <r>
      <t>·</t>
    </r>
    <r>
      <rPr>
        <sz val="7"/>
        <color rgb="FF000000"/>
        <rFont val="Times New Roman"/>
        <family val="1"/>
      </rPr>
      <t xml:space="preserve">       </t>
    </r>
    <r>
      <rPr>
        <sz val="9"/>
        <color rgb="FF000000"/>
        <rFont val="Open Sans"/>
        <family val="2"/>
      </rPr>
      <t>3 sesiones de trabajo en para 2 programas, con 2 personas (profesores y director de Escuela).
 ·      3 sesiones de trabajo para 3 profesores que se integran a la Dirección de Currículo, para acompañar el proceso con los programas y las Escuelas.</t>
    </r>
  </si>
  <si>
    <t>Impacto</t>
  </si>
  <si>
    <r>
      <t>·</t>
    </r>
    <r>
      <rPr>
        <sz val="7"/>
        <color rgb="FF000000"/>
        <rFont val="Times New Roman"/>
        <family val="1"/>
      </rPr>
      <t xml:space="preserve">       </t>
    </r>
    <r>
      <rPr>
        <sz val="9"/>
        <color rgb="FF000000"/>
        <rFont val="Open Sans"/>
        <family val="2"/>
      </rPr>
      <t>Actualización de las taxonomías a las necesidades disciplinares o de los campos profesionales.</t>
    </r>
  </si>
  <si>
    <r>
      <t>·</t>
    </r>
    <r>
      <rPr>
        <sz val="7"/>
        <color rgb="FF000000"/>
        <rFont val="Times New Roman"/>
        <family val="1"/>
      </rPr>
      <t xml:space="preserve">       </t>
    </r>
    <r>
      <rPr>
        <sz val="9"/>
        <color rgb="FF000000"/>
        <rFont val="Open Sans"/>
        <family val="2"/>
      </rPr>
      <t>Ejercicio permanente de reflexión en torno a los aspectos meso curriculares de los programas académicos y su gestión en el mediano plazo.</t>
    </r>
  </si>
  <si>
    <r>
      <t>·</t>
    </r>
    <r>
      <rPr>
        <sz val="7"/>
        <color rgb="FF000000"/>
        <rFont val="Times New Roman"/>
        <family val="1"/>
      </rPr>
      <t xml:space="preserve">       </t>
    </r>
    <r>
      <rPr>
        <sz val="9"/>
        <color rgb="FF000000"/>
        <rFont val="Open Sans"/>
        <family val="2"/>
      </rPr>
      <t>Compromiso de la comunidad académica con los resultados de aprendizaje, que llevó al ajuste de la totalidad de programas activos entre 2023 y 2024-I.</t>
    </r>
  </si>
  <si>
    <r>
      <t>·</t>
    </r>
    <r>
      <rPr>
        <sz val="7"/>
        <color rgb="FF000000"/>
        <rFont val="Times New Roman"/>
        <family val="1"/>
      </rPr>
      <t xml:space="preserve">       </t>
    </r>
    <r>
      <rPr>
        <sz val="9"/>
        <color rgb="FF000000"/>
        <rFont val="Open Sans"/>
        <family val="2"/>
      </rPr>
      <t>Compromiso de la comunidad académica con los resultados de aprendizaje, que llevó al ajuste de 15 propramas en el 2024-II.</t>
    </r>
  </si>
  <si>
    <r>
      <rPr>
        <sz val="9"/>
        <color rgb="FF000000"/>
        <rFont val="Open Sans"/>
        <family val="2"/>
      </rPr>
      <t>·</t>
    </r>
    <r>
      <rPr>
        <sz val="7"/>
        <color rgb="FF000000"/>
        <rFont val="Open Sans"/>
        <family val="2"/>
      </rPr>
      <t xml:space="preserve">       </t>
    </r>
    <r>
      <rPr>
        <sz val="9"/>
        <color rgb="FF000000"/>
        <rFont val="Open Sans"/>
        <family val="2"/>
      </rPr>
      <t>Formulación de Indicadores de Logro asignatura o módulo
·       Actualización de Syllabus por asignatura o módulo</t>
    </r>
  </si>
  <si>
    <r>
      <t>·</t>
    </r>
    <r>
      <rPr>
        <sz val="7"/>
        <rFont val="Open Sans"/>
        <family val="2"/>
      </rPr>
      <t xml:space="preserve">       </t>
    </r>
    <r>
      <rPr>
        <sz val="9"/>
        <color rgb="FF000000"/>
        <rFont val="Open Sans"/>
        <family val="2"/>
      </rPr>
      <t>Articulación de los resultados de aprendizaje con los indicadores de logro como producto de las discusiones de los comités curriculares y el cuerpo profesoral que apoya a los programas</t>
    </r>
  </si>
  <si>
    <r>
      <t>·</t>
    </r>
    <r>
      <rPr>
        <sz val="7"/>
        <rFont val="Open Sans"/>
        <family val="2"/>
      </rPr>
      <t xml:space="preserve">       </t>
    </r>
    <r>
      <rPr>
        <sz val="9"/>
        <color rgb="FF000000"/>
        <rFont val="Open Sans"/>
        <family val="2"/>
      </rPr>
      <t>Revisión cíclica para garantizar la articulación entre contenidos conceptuales, procedimentales y actitudinales, con los indicadores de logro y las actividades evaluativas</t>
    </r>
  </si>
  <si>
    <r>
      <t>·</t>
    </r>
    <r>
      <rPr>
        <sz val="7"/>
        <rFont val="Open Sans"/>
        <family val="2"/>
      </rPr>
      <t xml:space="preserve">       </t>
    </r>
    <r>
      <rPr>
        <sz val="9"/>
        <color rgb="FF000000"/>
        <rFont val="Open Sans"/>
        <family val="2"/>
      </rPr>
      <t>Toma de decisiones informadas a partir de las reflexiones curriculares del cuerpo profesoral que acompaña y apoya los procesos formativos de los programas</t>
    </r>
  </si>
  <si>
    <r>
      <t>·</t>
    </r>
    <r>
      <rPr>
        <sz val="7"/>
        <color rgb="FF000000"/>
        <rFont val="Open Sans"/>
        <family val="2"/>
      </rPr>
      <t xml:space="preserve">       </t>
    </r>
    <r>
      <rPr>
        <sz val="9"/>
        <color rgb="FF000000"/>
        <rFont val="Open Sans"/>
        <family val="2"/>
      </rPr>
      <t>37 sesiones de trabajo para la identificación de necesidades, y la caracterización de fortalezas y aspectos de mejora de 37 programas</t>
    </r>
  </si>
  <si>
    <r>
      <t>·</t>
    </r>
    <r>
      <rPr>
        <sz val="7"/>
        <rFont val="Open Sans"/>
        <family val="2"/>
      </rPr>
      <t xml:space="preserve">       </t>
    </r>
    <r>
      <rPr>
        <sz val="9"/>
        <color rgb="FF000000"/>
        <rFont val="Open Sans"/>
        <family val="2"/>
      </rPr>
      <t>12 sesiones de trabajo para la elaboración de mapeos curriculares de 37 programas</t>
    </r>
  </si>
  <si>
    <r>
      <t>·</t>
    </r>
    <r>
      <rPr>
        <sz val="7"/>
        <rFont val="Open Sans"/>
        <family val="2"/>
      </rPr>
      <t xml:space="preserve">       </t>
    </r>
    <r>
      <rPr>
        <sz val="9"/>
        <color rgb="FF000000"/>
        <rFont val="Open Sans"/>
        <family val="2"/>
      </rPr>
      <t>36 sesiones de trabajo para la estructuración de los planes de estudio de 37 programas</t>
    </r>
  </si>
  <si>
    <r>
      <t>·</t>
    </r>
    <r>
      <rPr>
        <sz val="7"/>
        <rFont val="Open Sans"/>
        <family val="2"/>
      </rPr>
      <t xml:space="preserve">       </t>
    </r>
    <r>
      <rPr>
        <sz val="9"/>
        <color rgb="FF000000"/>
        <rFont val="Open Sans"/>
        <family val="2"/>
      </rPr>
      <t>74 sesiones de trabajo para la declaración de perfiles y competencias de 37 programas</t>
    </r>
  </si>
  <si>
    <r>
      <t>·</t>
    </r>
    <r>
      <rPr>
        <sz val="7"/>
        <rFont val="Open Sans"/>
        <family val="2"/>
      </rPr>
      <t xml:space="preserve">       </t>
    </r>
    <r>
      <rPr>
        <sz val="9"/>
        <color rgb="FF000000"/>
        <rFont val="Open Sans"/>
        <family val="2"/>
      </rPr>
      <t>111 sesiones de trabajo para la declaración de resultados de aprendizaje de 37 programas</t>
    </r>
  </si>
  <si>
    <r>
      <t>·</t>
    </r>
    <r>
      <rPr>
        <sz val="7"/>
        <rFont val="Open Sans"/>
        <family val="2"/>
      </rPr>
      <t xml:space="preserve">       </t>
    </r>
    <r>
      <rPr>
        <sz val="9"/>
        <color rgb="FF000000"/>
        <rFont val="Open Sans"/>
        <family val="2"/>
      </rPr>
      <t>111 sesiones de trabajo con 37 programas para la declaración de estrategias extracurriculares asociadas a las labores académicas, formativas, culturales, científicas y de extensión y proyección social.</t>
    </r>
  </si>
  <si>
    <r>
      <t>·</t>
    </r>
    <r>
      <rPr>
        <sz val="7"/>
        <rFont val="Open Sans"/>
        <family val="2"/>
      </rPr>
      <t xml:space="preserve">       </t>
    </r>
    <r>
      <rPr>
        <sz val="9"/>
        <color rgb="FF000000"/>
        <rFont val="Open Sans"/>
        <family val="2"/>
      </rPr>
      <t>111 sesiones de trabajo para la declaración de indicadores de logro, el establecimiento de créditos, actividades de aprendizaje y de evaluación de las asignaturas o módulos que conformarían los planes de estudio de 37 programas</t>
    </r>
  </si>
  <si>
    <r>
      <t>·</t>
    </r>
    <r>
      <rPr>
        <sz val="7"/>
        <rFont val="Open Sans"/>
        <family val="2"/>
      </rPr>
      <t xml:space="preserve">       </t>
    </r>
    <r>
      <rPr>
        <sz val="9"/>
        <color rgb="FF000000"/>
        <rFont val="Open Sans"/>
        <family val="2"/>
      </rPr>
      <t>111 sesiones de trabajo para la actualización de los syllabus de las asignaturas o módulos de 37 programas</t>
    </r>
  </si>
  <si>
    <r>
      <t>·</t>
    </r>
    <r>
      <rPr>
        <sz val="7"/>
        <rFont val="Open Sans"/>
        <family val="2"/>
      </rPr>
      <t xml:space="preserve">       </t>
    </r>
    <r>
      <rPr>
        <sz val="9"/>
        <color rgb="FF000000"/>
        <rFont val="Open Sans"/>
        <family val="2"/>
      </rPr>
      <t>12 sesiones de trabajo para explicar el proceso de actualización de los proyectos educativos de programa</t>
    </r>
  </si>
  <si>
    <r>
      <t>·</t>
    </r>
    <r>
      <rPr>
        <sz val="7"/>
        <rFont val="Open Sans"/>
        <family val="2"/>
      </rPr>
      <t xml:space="preserve">       </t>
    </r>
    <r>
      <rPr>
        <sz val="9"/>
        <color rgb="FF000000"/>
        <rFont val="Open Sans"/>
        <family val="2"/>
      </rPr>
      <t>Alrededor de 188 sesiones aclaratorias o particulares de apoyo a la alineación curricular de 37 programas</t>
    </r>
  </si>
  <si>
    <r>
      <t>·</t>
    </r>
    <r>
      <rPr>
        <sz val="7"/>
        <rFont val="Open Sans"/>
        <family val="2"/>
      </rPr>
      <t xml:space="preserve">       </t>
    </r>
    <r>
      <rPr>
        <sz val="9"/>
        <color rgb="FF000000"/>
        <rFont val="Open Sans"/>
        <family val="2"/>
      </rPr>
      <t>Las anteriores sesiones permitieron que además de los 37 programas se incorporaran al ejercicio, otros 27 que siguen avanzando en el proceso</t>
    </r>
  </si>
  <si>
    <r>
      <t>·</t>
    </r>
    <r>
      <rPr>
        <sz val="7"/>
        <rFont val="Open Sans"/>
        <family val="2"/>
      </rPr>
      <t xml:space="preserve">       </t>
    </r>
    <r>
      <rPr>
        <sz val="9"/>
        <color rgb="FF000000"/>
        <rFont val="Open Sans"/>
        <family val="2"/>
      </rPr>
      <t>Participación de 269 profesores de planta</t>
    </r>
  </si>
  <si>
    <r>
      <t>·</t>
    </r>
    <r>
      <rPr>
        <sz val="7"/>
        <rFont val="Open Sans"/>
        <family val="2"/>
      </rPr>
      <t xml:space="preserve">       </t>
    </r>
    <r>
      <rPr>
        <sz val="9"/>
        <color rgb="FF000000"/>
        <rFont val="Open Sans"/>
        <family val="2"/>
      </rPr>
      <t>20 sesiones de trabajo para la estructuración de los planes de estudio de 20 programas</t>
    </r>
  </si>
  <si>
    <r>
      <t>·</t>
    </r>
    <r>
      <rPr>
        <sz val="7"/>
        <rFont val="Open Sans"/>
        <family val="2"/>
      </rPr>
      <t xml:space="preserve">       </t>
    </r>
    <r>
      <rPr>
        <sz val="9"/>
        <color rgb="FF000000"/>
        <rFont val="Open Sans"/>
        <family val="2"/>
      </rPr>
      <t>40 sesiones de trabajo para la declaración de perfiles y competencias de 20 programas</t>
    </r>
  </si>
  <si>
    <r>
      <t>·</t>
    </r>
    <r>
      <rPr>
        <sz val="7"/>
        <rFont val="Open Sans"/>
        <family val="2"/>
      </rPr>
      <t xml:space="preserve">       </t>
    </r>
    <r>
      <rPr>
        <sz val="9"/>
        <color rgb="FF000000"/>
        <rFont val="Open Sans"/>
        <family val="2"/>
      </rPr>
      <t>60 sesiones de trabajo para la declaración de resultados de aprendizaje de 20 programas</t>
    </r>
  </si>
  <si>
    <r>
      <t>·</t>
    </r>
    <r>
      <rPr>
        <sz val="7"/>
        <rFont val="Open Sans"/>
        <family val="2"/>
      </rPr>
      <t xml:space="preserve">       </t>
    </r>
    <r>
      <rPr>
        <sz val="9"/>
        <color rgb="FF000000"/>
        <rFont val="Open Sans"/>
        <family val="2"/>
      </rPr>
      <t>40 sesiones de trabajo con 20 programas para la declaración de estrategias extracurriculares asociadas a las labores académicas, formativas, culturales, científicas y de extensión y proyección social</t>
    </r>
  </si>
  <si>
    <r>
      <t>·</t>
    </r>
    <r>
      <rPr>
        <sz val="7"/>
        <rFont val="Open Sans"/>
        <family val="2"/>
      </rPr>
      <t xml:space="preserve">       </t>
    </r>
    <r>
      <rPr>
        <sz val="9"/>
        <color rgb="FF000000"/>
        <rFont val="Open Sans"/>
        <family val="2"/>
      </rPr>
      <t>60 sesiones de trabajo para la declaración de indicadores de logro, el establecimiento de créditos, actividades de aprendizaje y de evaluación de las asignaturas o módulos que conformarían los planes de estudio de 20 programas</t>
    </r>
  </si>
  <si>
    <t>·       27 sesiones de trabajo para la estructuración de los planes de estudio de 27 programas</t>
  </si>
  <si>
    <r>
      <t>·</t>
    </r>
    <r>
      <rPr>
        <sz val="7"/>
        <color rgb="FF000000"/>
        <rFont val="Open Sans"/>
        <family val="2"/>
      </rPr>
      <t xml:space="preserve">       </t>
    </r>
    <r>
      <rPr>
        <sz val="9"/>
        <color rgb="FF000000"/>
        <rFont val="Open Sans"/>
        <family val="2"/>
      </rPr>
      <t>54 sesiones de trabajo para la declaración de perfiles y competencias de 27 programas</t>
    </r>
  </si>
  <si>
    <r>
      <t>·</t>
    </r>
    <r>
      <rPr>
        <sz val="7"/>
        <color rgb="FF000000"/>
        <rFont val="Open Sans"/>
        <family val="2"/>
      </rPr>
      <t xml:space="preserve">       </t>
    </r>
    <r>
      <rPr>
        <sz val="9"/>
        <color rgb="FF000000"/>
        <rFont val="Open Sans"/>
        <family val="2"/>
      </rPr>
      <t>81 sesiones de trabajo para la declaración de resultados de aprendizaje de 27 programas</t>
    </r>
  </si>
  <si>
    <r>
      <t>·</t>
    </r>
    <r>
      <rPr>
        <sz val="7"/>
        <color rgb="FF000000"/>
        <rFont val="Open Sans"/>
        <family val="2"/>
      </rPr>
      <t xml:space="preserve">       </t>
    </r>
    <r>
      <rPr>
        <sz val="9"/>
        <color rgb="FF000000"/>
        <rFont val="Open Sans"/>
        <family val="2"/>
      </rPr>
      <t>54 sesiones de trabajo con 27 programas para la declaración de estrategias extracurriculares asociadas a las labores académicas, formativas, culturales, científicas y de extensión y proyección social</t>
    </r>
  </si>
  <si>
    <r>
      <t>·</t>
    </r>
    <r>
      <rPr>
        <sz val="7"/>
        <color rgb="FF000000"/>
        <rFont val="Open Sans"/>
        <family val="2"/>
      </rPr>
      <t xml:space="preserve">       </t>
    </r>
    <r>
      <rPr>
        <sz val="9"/>
        <color rgb="FF000000"/>
        <rFont val="Open Sans"/>
        <family val="2"/>
      </rPr>
      <t>81 sesiones de trabajo para la declaración de indicadores de logro, el establecimiento de créditos, actividades de aprendizaje y de evaluación de las asignaturas o módulos que conformarían los planes de estudio de 27 programas</t>
    </r>
  </si>
  <si>
    <t>·       4 sesiones de trabajo para la estructuración de los planes de estudio de 4 programas</t>
  </si>
  <si>
    <r>
      <t>·</t>
    </r>
    <r>
      <rPr>
        <sz val="7"/>
        <color rgb="FF000000"/>
        <rFont val="Open Sans"/>
        <family val="2"/>
      </rPr>
      <t xml:space="preserve">       </t>
    </r>
    <r>
      <rPr>
        <sz val="9"/>
        <color rgb="FF000000"/>
        <rFont val="Open Sans"/>
        <family val="2"/>
      </rPr>
      <t>8 sesiones de trabajo para la declaración de perfiles y competencias de 4 programas</t>
    </r>
  </si>
  <si>
    <r>
      <t>·</t>
    </r>
    <r>
      <rPr>
        <sz val="7"/>
        <color rgb="FF000000"/>
        <rFont val="Open Sans"/>
        <family val="2"/>
      </rPr>
      <t xml:space="preserve">       </t>
    </r>
    <r>
      <rPr>
        <sz val="9"/>
        <color rgb="FF000000"/>
        <rFont val="Open Sans"/>
        <family val="2"/>
      </rPr>
      <t>12 sesiones de trabajo para la declaración de resultados de aprendizaje de 4 programas</t>
    </r>
  </si>
  <si>
    <t>·      8 sesiones de trabajo con 4 programas para la declaración de estrategias extracurriculares asociadas a las labores académicas, formativas, culturales, científicas y de extensión y proyección social</t>
  </si>
  <si>
    <r>
      <t>·</t>
    </r>
    <r>
      <rPr>
        <sz val="7"/>
        <color rgb="FF000000"/>
        <rFont val="Open Sans"/>
        <family val="2"/>
      </rPr>
      <t xml:space="preserve">       </t>
    </r>
    <r>
      <rPr>
        <sz val="9"/>
        <color rgb="FF000000"/>
        <rFont val="Open Sans"/>
        <family val="2"/>
      </rPr>
      <t>12 sesiones de trabajo para la declaración de indicadores de logro, el establecimiento de créditos, actividades de aprendizaje y de evaluación de las asignaturas o módulos que conformarían los planes de estudio de 4 programas</t>
    </r>
  </si>
  <si>
    <r>
      <t>·</t>
    </r>
    <r>
      <rPr>
        <sz val="7"/>
        <color rgb="FF000000"/>
        <rFont val="Open Sans"/>
        <family val="2"/>
      </rPr>
      <t xml:space="preserve">       </t>
    </r>
    <r>
      <rPr>
        <sz val="9"/>
        <color rgb="FF000000"/>
        <rFont val="Open Sans"/>
        <family val="2"/>
      </rPr>
      <t>Transformación de las prácticas curriculares a través de las mesas de trabajo colectivas</t>
    </r>
  </si>
  <si>
    <r>
      <t>·</t>
    </r>
    <r>
      <rPr>
        <sz val="7"/>
        <color rgb="FF000000"/>
        <rFont val="Open Sans"/>
        <family val="2"/>
      </rPr>
      <t xml:space="preserve">       </t>
    </r>
    <r>
      <rPr>
        <sz val="9"/>
        <color rgb="FF000000"/>
        <rFont val="Open Sans"/>
        <family val="2"/>
      </rPr>
      <t>Transformación de las prácticas didácticas con la definición de estrategias y actividades orientadas a favorecer el aprendizaje de acuerdo con los indicadores de logro en el marco de las metodologías activas.</t>
    </r>
  </si>
  <si>
    <r>
      <t>·</t>
    </r>
    <r>
      <rPr>
        <sz val="7"/>
        <color rgb="FF000000"/>
        <rFont val="Open Sans"/>
        <family val="2"/>
      </rPr>
      <t xml:space="preserve">       </t>
    </r>
    <r>
      <rPr>
        <sz val="9"/>
        <color rgb="FF000000"/>
        <rFont val="Open Sans"/>
        <family val="2"/>
      </rPr>
      <t>Incorporación de las estrategias de declaración de resultados de aprendizaje en los procesos de creación, renovación y modificación de registro calificado y de acreditación de programas.</t>
    </r>
  </si>
  <si>
    <r>
      <t>·</t>
    </r>
    <r>
      <rPr>
        <sz val="7"/>
        <color rgb="FF000000"/>
        <rFont val="Open Sans"/>
        <family val="2"/>
      </rPr>
      <t xml:space="preserve">       </t>
    </r>
    <r>
      <rPr>
        <sz val="9"/>
        <color rgb="FF000000"/>
        <rFont val="Open Sans"/>
        <family val="2"/>
      </rPr>
      <t>Ejercicio permanente de reflexión en torno a los aspectos micro curriculares de los programas académicos y su gestión a corto plazo.</t>
    </r>
  </si>
  <si>
    <r>
      <t>·</t>
    </r>
    <r>
      <rPr>
        <sz val="7"/>
        <color rgb="FF000000"/>
        <rFont val="Open Sans"/>
        <family val="2"/>
      </rPr>
      <t xml:space="preserve">       </t>
    </r>
    <r>
      <rPr>
        <sz val="9"/>
        <color rgb="FF000000"/>
        <rFont val="Open Sans"/>
        <family val="2"/>
      </rPr>
      <t>Compromiso de la comunidad académica con los resultados de aprendizaje, que ha promovido el ajuste de 27 programas activos entre 2023 y 2024-I.</t>
    </r>
  </si>
  <si>
    <r>
      <t>·</t>
    </r>
    <r>
      <rPr>
        <sz val="7"/>
        <color rgb="FF000000"/>
        <rFont val="Open Sans"/>
        <family val="2"/>
      </rPr>
      <t xml:space="preserve">       </t>
    </r>
    <r>
      <rPr>
        <sz val="9"/>
        <color rgb="FF000000"/>
        <rFont val="Open Sans"/>
        <family val="2"/>
      </rPr>
      <t>Compromiso de la comunidad académica con los resultados de aprendizaje, que ha promovido el ajuste de 30 programas activos entre 2024-II y 2025-I.</t>
    </r>
  </si>
  <si>
    <r>
      <t>·</t>
    </r>
    <r>
      <rPr>
        <sz val="7"/>
        <color rgb="FF000000"/>
        <rFont val="Open Sans"/>
        <family val="2"/>
      </rPr>
      <t xml:space="preserve">       </t>
    </r>
    <r>
      <rPr>
        <sz val="9"/>
        <color rgb="FF000000"/>
        <rFont val="Open Sans"/>
        <family val="2"/>
      </rPr>
      <t>Cualificación del cuerpo profesoral en declaración de resultados de aprendizaje.</t>
    </r>
  </si>
  <si>
    <t>Ingeniería, Diseño e Innovación</t>
  </si>
  <si>
    <t>Negocios, Gestión y Sostenible</t>
  </si>
  <si>
    <t>Sociedad, Cultura y Creatividad</t>
  </si>
  <si>
    <t>Formación</t>
  </si>
  <si>
    <t>Evolución de la nueva oferta 2019-2026</t>
  </si>
  <si>
    <t>No. Programas creados</t>
  </si>
  <si>
    <t>2026 -1</t>
  </si>
  <si>
    <t>Estudiantes en actividades de investigación 2019 a 2026-1</t>
  </si>
  <si>
    <t>Estrategias de Iniciación Científica</t>
  </si>
  <si>
    <t> </t>
  </si>
  <si>
    <t>Jueves de Investigación (Actividades Escuelas)</t>
  </si>
  <si>
    <t>Estrategia de Horas Beca en Investigación</t>
  </si>
  <si>
    <t>Total de estudiantes en las actividades</t>
  </si>
  <si>
    <t>Cantidad de semilleros de investigación activos</t>
  </si>
  <si>
    <t>Convocatoria 957</t>
  </si>
  <si>
    <t>Comunicación, Interacción y Branding (CIB)</t>
  </si>
  <si>
    <t>Branding</t>
  </si>
  <si>
    <t>Unidad Académica</t>
  </si>
  <si>
    <t>Cantidad</t>
  </si>
  <si>
    <t>Dirección de Currículo, Presencial y Virtual</t>
  </si>
  <si>
    <t>Dirección Investigación, Innovación y Creación</t>
  </si>
  <si>
    <t>Sénior</t>
  </si>
  <si>
    <t>Profesores capacitados</t>
  </si>
  <si>
    <t>Número de profesores beneficiados</t>
  </si>
  <si>
    <t>Número de Proyectos de investigación 2019-2026-1</t>
  </si>
  <si>
    <t>2024 - CIERRE</t>
  </si>
  <si>
    <t>2025 -CIERRE</t>
  </si>
  <si>
    <t>CEC</t>
  </si>
  <si>
    <t>CIADE</t>
  </si>
  <si>
    <t>CIB</t>
  </si>
  <si>
    <t>CVSSL</t>
  </si>
  <si>
    <t>DAS</t>
  </si>
  <si>
    <t>DSE</t>
  </si>
  <si>
    <t>EEAPS</t>
  </si>
  <si>
    <t>EICOS</t>
  </si>
  <si>
    <t>EIS</t>
  </si>
  <si>
    <t>ENDI</t>
  </si>
  <si>
    <t>GACS</t>
  </si>
  <si>
    <t>MI+2</t>
  </si>
  <si>
    <t>NCE</t>
  </si>
  <si>
    <t>OPINA</t>
  </si>
  <si>
    <t>PEC</t>
  </si>
  <si>
    <t>Número de proyectos</t>
  </si>
  <si>
    <t>Productividad académica por tipología entre 2019-2026-1</t>
  </si>
  <si>
    <t>Tipología</t>
  </si>
  <si>
    <t>Artículo en revista especializada impresa y electrónica</t>
  </si>
  <si>
    <t>Libro resultado de investigación</t>
  </si>
  <si>
    <t>Capítulo en libro resultado de investigación</t>
  </si>
  <si>
    <t>Regulaciones y normas</t>
  </si>
  <si>
    <t>Semilleros</t>
  </si>
  <si>
    <t>Generación de contenido virtual y multimedia</t>
  </si>
  <si>
    <t>Participación en evento científico</t>
  </si>
  <si>
    <t>Edición científica</t>
  </si>
  <si>
    <t>Asesoría tesis de doctorado</t>
  </si>
  <si>
    <t>Asesoría tesis de maestría</t>
  </si>
  <si>
    <t>Asesoría tesis de pregrado</t>
  </si>
  <si>
    <t>Creación de programas (Maestría)</t>
  </si>
  <si>
    <t>Creación de programas (Doctorado)</t>
  </si>
  <si>
    <t>Creación de cursos Maestría</t>
  </si>
  <si>
    <t>Creación de cursos Doctorado</t>
  </si>
  <si>
    <t>Proyecto de investigación y desarrollo</t>
  </si>
  <si>
    <t>Nota: Dato anual 2024 se actulizó</t>
  </si>
  <si>
    <t>Actividad</t>
  </si>
  <si>
    <t>Población impactada</t>
  </si>
  <si>
    <t>Lugar</t>
  </si>
  <si>
    <t>Elaboración Retazo</t>
  </si>
  <si>
    <t>120 estudiantes</t>
  </si>
  <si>
    <t>Poli</t>
  </si>
  <si>
    <t>Lanzamiento Poliretazo</t>
  </si>
  <si>
    <t>300 personas</t>
  </si>
  <si>
    <t>Casa de la paz</t>
  </si>
  <si>
    <t>Arropamiento 9 de abril</t>
  </si>
  <si>
    <t>1000 personas</t>
  </si>
  <si>
    <t>Casa de la Comisión de la verdad</t>
  </si>
  <si>
    <t>Evento Víctimas</t>
  </si>
  <si>
    <t>100 personas</t>
  </si>
  <si>
    <t>CMPR Bogotá</t>
  </si>
  <si>
    <t>72 horas tejiendo por la memoria</t>
  </si>
  <si>
    <t>Semana por la paz</t>
  </si>
  <si>
    <t>Licenciatura en Ciencias Sociales Politécnico Grancolombiano</t>
  </si>
  <si>
    <t>Jornadas de arropamiento Red de pro-tejedores de memoria</t>
  </si>
  <si>
    <t>Palacio de Justicia, Palacio Liévano, Plaza de Bolívar</t>
  </si>
  <si>
    <t>72 horas tejiendo por la memoria y la verdad</t>
  </si>
  <si>
    <t>50 personas</t>
  </si>
  <si>
    <t>Espacio ODEON</t>
  </si>
  <si>
    <t>Histórico de producción del Laboratorio de Experiencias de Aprendizaje Inmersivo (LEAI y MI-Book) 2019-2026-1</t>
  </si>
  <si>
    <t>Producción</t>
  </si>
  <si>
    <t>Ambientes inmersivos</t>
  </si>
  <si>
    <t>Mi-Book</t>
  </si>
  <si>
    <t>Uso por los estudiantes</t>
  </si>
  <si>
    <t>Visualizaciones</t>
  </si>
  <si>
    <t>Región</t>
  </si>
  <si>
    <t>Proyecto</t>
  </si>
  <si>
    <t>Investigador principal</t>
  </si>
  <si>
    <t>CALDAS</t>
  </si>
  <si>
    <t>Minorías étnico-raciales en Colombia: análisis de los outcomes laborales en contextos de discriminación y segmentación ocupacional.</t>
  </si>
  <si>
    <t>José Wilmar Quintero Peña</t>
  </si>
  <si>
    <t>CUNDINAMARCA</t>
  </si>
  <si>
    <t>Investigar en la Escuela: Paz, territorio y memoria.</t>
  </si>
  <si>
    <t>Doris Lised García Ortíz</t>
  </si>
  <si>
    <t xml:space="preserve">ANÁLISIS DE LAS NARRATIVAS PERIODÍSTICAS EN LOS MAGAZINES DE EMISORAS COMUNITARIAS EN COLOMBIA EN CLAVE DEL PROCESO DE PAZ </t>
  </si>
  <si>
    <t xml:space="preserve">Mireya Barón Pulido </t>
  </si>
  <si>
    <t>REPRESENTACIONES DEL RECLUTAMIENTO FORZADO DE MENORES DE EDAD   POR GRUPOS ARMADOS ILEGALES EN LA PRENSA COLOMBIANA</t>
  </si>
  <si>
    <t xml:space="preserve">Juliana Castellanos Diaz </t>
  </si>
  <si>
    <t xml:space="preserve">COLOMBIA
</t>
  </si>
  <si>
    <t>EDUCAÇÃO EM DIREITOS HUMANOS DAS MULHERES, GESTÃO E SUSTENTABILIDADE (IV EDIÇÃO) -  EDUCACIÓN EN DERECHOS HUMANOS DE LAS MUJERES, GESTIÓN Y SOSTENIBILIDAD (IV EDICIÓN)</t>
  </si>
  <si>
    <t>Martha Inés Moreno Medel</t>
  </si>
  <si>
    <t>BOLÍVAR</t>
  </si>
  <si>
    <t>Participación y educación ciudadana: una apuesta para la consolidación de comunidades de práctica en los Montes de María.</t>
  </si>
  <si>
    <t>Haidy Rodríguez Sánchez</t>
  </si>
  <si>
    <t>COLOMBIA UN CASO: POS ACUERDO Y NARRATIVAS FOTOGRÁFICAS EN PERIODISMO DIGITAL DE COLOMBIA Y ESPAÑA (1-2018)</t>
  </si>
  <si>
    <t>PRÁCTICAS DE COMUNICACIÓN PÚBLICA Y CIUDADANÍA. ANÁLISIS DE LOS CANALES DIGITALES DE SEIS GOBERNACIONES DE COLOMBIA Y SU INCIDENCIA EN LA CONSOLIDACIÓN DE UNA CULTURA PARTICIPATIVA.</t>
  </si>
  <si>
    <t xml:space="preserve">Marcela Fernanda Tellez Pedraza </t>
  </si>
  <si>
    <t>POLI-RETAZO PARA LOS  TEJEDORES DE MEMORIA, POR UNA APUESTA A LA RECONCILIACIÓN EN COLOMBIA</t>
  </si>
  <si>
    <t>BOGOTÁ D.C.</t>
  </si>
  <si>
    <t>MODELADO PARA LA EVALUACIÓN DE ALTERNATIVAS DE POLÍTICAS PÚBLICAS EN LA GESTIÓN DEL AGUA EN LA REGIÓN HÍDRICA BOGOTÁ – CUNDINAMARCA</t>
  </si>
  <si>
    <t>ANDRES   CHAVARRO VELANDIA</t>
  </si>
  <si>
    <t xml:space="preserve">MEDELLÍN, ANTIOQUIA
</t>
  </si>
  <si>
    <t xml:space="preserve">ESTUDIO DE CARACTERIZACIÓN Y MEDICIÓN DE IMPACTO SOCIOECONOMICO DE LOS SOCIOS DE LOS CÍRCULOS SOLIDARIOS DE LA CORPORACIÓN FOMENTAMOS DE MEDELLÍN </t>
  </si>
  <si>
    <t>JAIRO   TAMAYO BUSTAMANTE</t>
  </si>
  <si>
    <t>MARÍA LA BAJA, BOLIVAR</t>
  </si>
  <si>
    <t>PARTICIPACIÓN Y EDUCACIÓN CIUDADANA: UNA APUESTA PARA LA CONSOLIDACIÓN DE COMUNIDADES DE PRÁCTICA EN LOS MONTES DE MARÍA”</t>
  </si>
  <si>
    <t xml:space="preserve">Haidy Johanna Rodriguez Sanchez </t>
  </si>
  <si>
    <t>ESCENAS DE(S)COLONIALES CALLEJERAS: PERFORMATIVIDADES DEL GÉNERO Y LO URBANO.</t>
  </si>
  <si>
    <t>MARÍA   SARMIENTO BONILLA</t>
  </si>
  <si>
    <t xml:space="preserve">VALLE DE ABURRÁ 
</t>
  </si>
  <si>
    <t>USO DE LAS HERRAMIENTAS TECNOLÓGICAS COMO APOYO A LA MEDIACIÓN PEDAGÓGICA DE LOS DOCENTES UNIVERSITARIOS EN EL VALLE DE ABURRÁ EN TIEMPOS DE CONTINGENCIA</t>
  </si>
  <si>
    <t>TULIO   CANO VELAZQUEZ</t>
  </si>
  <si>
    <t>MEDIOS E INFORMACIÓN EN EL ESCENARIO DIGITAL DE LAS GOBERNACIONES DE COLOMBIA</t>
  </si>
  <si>
    <t xml:space="preserve">Raul Camilo Ballen Mendivelso </t>
  </si>
  <si>
    <t>MIGRACIÓN, DESPLAZAMIENTO Y REFUGIADOS EN COLOMBIA</t>
  </si>
  <si>
    <t>RAFAEL   DÍAZ VÁSQUEZ</t>
  </si>
  <si>
    <t xml:space="preserve">ZIPAQUIRÁ, CUNDINAMARCA
</t>
  </si>
  <si>
    <t>CARACTERIZACIÓN DE LA CADENA AGRICOLA EN EL MUNICIPIO DE ZIPAQUIRÁ - DISEÑO DE UNA METODOLOGÍA DE PRIORIDAD DE CADENAS PRODUCTIVA EN UN MUNICIPIO DE COLOMBIA.</t>
  </si>
  <si>
    <t xml:space="preserve">Juan Sebastian Martinez Grisales </t>
  </si>
  <si>
    <t>PROCAMPO: PLATAFORMA TECNOLÓGICA PARA LA CONECTIVIDAD DEL CAMPO COLOMBIANO.</t>
  </si>
  <si>
    <t>TRANSFERENCIA DE CONOCIMIENTOS PARA LA RECUPERACIÓN DE SUELOS DEGRADADOS BAJO ECOSISTEMAS DE BOSQUE SECO TROPICAL (COLOMBIA) Y MEDITERRÁNEO (ESPAÑA)</t>
  </si>
  <si>
    <t>Andrea Carolina Sanchez Diaz</t>
  </si>
  <si>
    <t>CARTOGRAFÍA SOCIAL PARA LA EDUCACIÓN AMBIENTAL EN LAS COMUNIDADES VULNERABLES CON DISCAPACIDAD DE CIUDAD BOLÍVAR PARTE ALTA</t>
  </si>
  <si>
    <t xml:space="preserve">Ramon Gabriel Aguilar Vega </t>
  </si>
  <si>
    <t>ANTIOQUIA</t>
  </si>
  <si>
    <t>La equidad de género en las organizaciones del sector educación superior en Colombia​.</t>
  </si>
  <si>
    <t>Laura Cristancho Giraldo</t>
  </si>
  <si>
    <t>COLOMBIA</t>
  </si>
  <si>
    <t>DESARROLLO ORGANIZACIONAL EN LAS EXPERIENCIAS DE RESTAURACIÓN ECOLÓGICA EN COLOMBIA</t>
  </si>
  <si>
    <t xml:space="preserve">Evelyn Ivonne Diaz Montano </t>
  </si>
  <si>
    <t xml:space="preserve">BOGOTÁ D.C.
</t>
  </si>
  <si>
    <t>ENTRECRUZAMIENTOS, GESTOS Y CREACIONES DESDE EL TERRITORIO "DABUCURÍ PIRACEMO"</t>
  </si>
  <si>
    <t>JOSE   MORALES CARVAJAL</t>
  </si>
  <si>
    <t xml:space="preserve">BUCARAMANGA, SANTANDER
</t>
  </si>
  <si>
    <t>ANÁLISIS DEL QUEHACER DEL PROFESIONAL Y DEL ESPECIALISTA EN SEGURIDAD Y SALUD EN EL TRABAJO EN BOGOTÁ Y BUCARAMANGA.</t>
  </si>
  <si>
    <t xml:space="preserve">Julian Andres Martinez Rincon </t>
  </si>
  <si>
    <t xml:space="preserve">ANTIOQUIA
</t>
  </si>
  <si>
    <t>LITERATUPAZ: UNA PROPUESTA PARA LA INVESTIGACIÓN-CREACIÓN DE OBRAS LITERARIAS INFANTILES SOBRE Y PARA LA PAZ</t>
  </si>
  <si>
    <t xml:space="preserve">Magda Zulena Trujillo Rodriguez </t>
  </si>
  <si>
    <t xml:space="preserve"> LA TRANSMEDIA COMO HERRAMIENTA DE COMUNICACIÓN EN LA DIFUSIÓN DE LAS INDUSTRIAS CREATIVAS Y CULTURALES DE MEDELLÍN</t>
  </si>
  <si>
    <t xml:space="preserve">Elizabeth Montoya Velez </t>
  </si>
  <si>
    <t>NARINO</t>
  </si>
  <si>
    <t>Aproximación histórica a una pieza colonial con mopa mopa: legados y pervivencias​.</t>
  </si>
  <si>
    <t>Andrea Lorena Guerrero Jiménez</t>
  </si>
  <si>
    <t>GUAJIRA</t>
  </si>
  <si>
    <t>Competencias de las mujeres emprendedoras para que sus emprendimientos sean una fuente generadora de recursos, empoderamiento y medio para mejorar su calidad de vida en Colombia.</t>
  </si>
  <si>
    <t>TOLIMA</t>
  </si>
  <si>
    <t>Historias de Vida trajes para la paz​.</t>
  </si>
  <si>
    <t>Mireya Barón Pulido</t>
  </si>
  <si>
    <t>BIBLIODIVERSO: UNIVERSO VIRTUAL PARA EL RECONOCIMIENTO DE LAS INFANCIAS EN COLOMBIA</t>
  </si>
  <si>
    <t>ARTEFACTOS ARTÍSTICOS SOBRE LA MIGRACIÓN DESDE Y PARA LAS INFANCIAS</t>
  </si>
  <si>
    <t xml:space="preserve">MAGDALENA
</t>
  </si>
  <si>
    <t>APRENDIZAJE BASADO EN INVESTIGACIÓN:FORMACIÓN DE HISTORIADORES EN LA CONSTRUCCIÓN DE FUENTES PRIMARIAS DESDE LA REGIÓN</t>
  </si>
  <si>
    <t xml:space="preserve">Juan Pablo Diaz Rodriguez </t>
  </si>
  <si>
    <t xml:space="preserve">BOGOTÁ D.C., MEDELLÍN
</t>
  </si>
  <si>
    <t>BANCOS DE ALIMENTOS, ANÁLISIS DEL MODELO FUNCIONAL PARA ATENCIÓN DE PROBLEMAS DE INSEGURIDAD ALIMENTARIA</t>
  </si>
  <si>
    <t xml:space="preserve">Jairo Enrique Parra Herrera </t>
  </si>
  <si>
    <t>EL HAMBRE EN COLOMBIA</t>
  </si>
  <si>
    <t xml:space="preserve">Carmelina Rosario Cadenas Anaya </t>
  </si>
  <si>
    <t>PROYECTO DOCUMENTAL LA CLOACA (UN VIAJE POR EL RÍO BOGOTÁ)</t>
  </si>
  <si>
    <t xml:space="preserve">Daniel Mauricio Pineda Orjuela </t>
  </si>
  <si>
    <t>Desarrollo de prototipo para un sistema de monitoreo y automatización para cultivos en Cundinamarca y Antioquia.</t>
  </si>
  <si>
    <t>José Manuel Chauta Torres</t>
  </si>
  <si>
    <t xml:space="preserve">LA GUAJIRA
</t>
  </si>
  <si>
    <t>EMPRENDIMIENTO ANCESTRAL - MUJERES DE COMUNIDADES INDÍGENAS DE COLOMBIA Y BRASIL</t>
  </si>
  <si>
    <t>PLANEACIÓN PARA EL DESARROLLO SOCIOECONÓMICO COLOMBIANO CON ENFOQUE DE EQUIDAD DE GÉNERO EN EL MERCADO LABORAL EN UN CONTEXTO REGIONAL LATINOAMERICANO</t>
  </si>
  <si>
    <t xml:space="preserve">Marisol Salamanca Olmos </t>
  </si>
  <si>
    <t>VALORACIÓN ECONÓMICA AMBIENTAL DE PRODUCTOS VERDES ENTRE CONSUMIDORES EN ALGUNOS MUNICIPIOS DE ANTIOQUIA</t>
  </si>
  <si>
    <t xml:space="preserve">Lina Clemencia Castano Osorio </t>
  </si>
  <si>
    <t>PASTO, NARIÑO</t>
  </si>
  <si>
    <t>APROXIMACIÓN HISTÓRICA A UNA PIEZA COLONIAL CON MOPA-MOPA: LEGADOS Y PERVIVENCIAS- FASE 2</t>
  </si>
  <si>
    <t xml:space="preserve">Andrea Lorena Guerrero Jimenez </t>
  </si>
  <si>
    <t>VILLA DE LEYVA, BOYACA</t>
  </si>
  <si>
    <t xml:space="preserve">PROPUESTA DE MARKETING SOCIAL PARA EL FORTALECIMIENTO DE LA RESPONSABILIDAD ATRIBUIDA Y LAS NORMAS PERSONALES RESPECTO A LA CONSERVACIÓN DE LOS ATRACTIVOS TURÍSTICOS DEL MUNICIPIO DE VILLA DE LEYVA POR PARTE DE TURISTAS NACIONALES Y EXTRANJEROS </t>
  </si>
  <si>
    <t>AIDA  XIMENA LEÓN GUATAME</t>
  </si>
  <si>
    <t>VALLE DE ABURRÁ</t>
  </si>
  <si>
    <t>PROCESOS DE DISEÑO Y PRODUCCIÓN EN ARTES GRÁFICAS EN EL VALLE DE ABURRÁ</t>
  </si>
  <si>
    <t>CALDONO, CAUCA</t>
  </si>
  <si>
    <t>CARTOGRAFÍAS PARA LA PAZ: EXPERIENCIAS DOCENTES DESDE EL TERRITORIO.</t>
  </si>
  <si>
    <t xml:space="preserve">Doris Lised Garcia Ortiz </t>
  </si>
  <si>
    <t>GRANADA, META</t>
  </si>
  <si>
    <t>TERRITORIOS Y BIODIVERSIDADES DESDE EL RIO CUBILLERA-GRANADA: RELATOS E ILUSTRACIONES PARA LA PAZ</t>
  </si>
  <si>
    <t>(1) IBAGUÉ, TOLIMA, (2) MAICAO, LA GUAJIRA, (3) QUIBDÓ, CHOCO, (4)  SANTA MARTA, MAGDALENA</t>
  </si>
  <si>
    <t>FORTALECIMIENTO DEL VOLUNTARIADO PARA EMPODERAR A MUJERES EMPRENDEDORAS INDÍGENAS, AFRO, CUIDADORAS, ADULTAS MAYORES Y/O CON DISCAPACIDAD DE AMÉRICA LATINA.</t>
  </si>
  <si>
    <t>MEDELLÍN, ANTIOQUIA</t>
  </si>
  <si>
    <t>LA ASOCIATIVIDAD COMO ALTERNATIVA PARA POTENCIAR LA EXPORTACIÓN DE FRUTAS EXÓTICAS DESDE ANTIOQUIA.</t>
  </si>
  <si>
    <t xml:space="preserve">Diana Mercedes Valdes Mosquera </t>
  </si>
  <si>
    <t xml:space="preserve">(1) MEDELLÍN, ANTIOQUIA, (2) BOGOTÁ D.C., CUNDINAMARCA, (3) GUADALAJARA, JALISCO, MEXICO 
</t>
  </si>
  <si>
    <t xml:space="preserve">CARTOGRAFÍAS LITERARIAS DE CIUDAD: BOGOTÁ, MEDELLÍN Y GUADALAJARA. </t>
  </si>
  <si>
    <t xml:space="preserve">Bibiana Astrid Correa Gomez </t>
  </si>
  <si>
    <t>ARMENIA, QUINDIO</t>
  </si>
  <si>
    <t>DINÁMICAS DEL MERCADO CAFETERO Y SU INFLUENCIA EN LA ESTABILIDAD SOCIAL COLOMBIANA: EVALUACIÓN DE SU SOSTENIBILIDAD Y CONTRIBUCIÓN EN LOS CICLOS DE VIOLENCIA, PAZ EN REGIONES AFECTADAS POR EL CONFLICTO ARMADO ENTRE 2016 Y 2021.</t>
  </si>
  <si>
    <t xml:space="preserve">Rodrigo Atehortua Santamaria </t>
  </si>
  <si>
    <t xml:space="preserve">ARACATACA, MAGDALENA
</t>
  </si>
  <si>
    <t>APRENDIZAJE BASADO EN INVESTIGACIÓN: CONSTRUCCIÓN DE LA HISTORIA REGIONAL DEL MAGDALENA GRANDE</t>
  </si>
  <si>
    <t>PRÁCTICAS DE PRODUCCIÓN CREATIVA DEL TERRITORIO</t>
  </si>
  <si>
    <t xml:space="preserve">Juan Carlos Arias Herrera </t>
  </si>
  <si>
    <t xml:space="preserve">PROGRAMA PARA LA GESTIÓN Y LA SOSTENIBILIDAD DE LAS EMPRESAS SIN ÁNIMO DE LUCRO (ESAL) DE LAS SUBREGIONES DE ANTIOQUIA </t>
  </si>
  <si>
    <t xml:space="preserve">Luis Anibal Alvarez Barragan </t>
  </si>
  <si>
    <t>EDUCACIÓN FINANCIERA EN TERRITORIOS</t>
  </si>
  <si>
    <t xml:space="preserve">Yolanda Rocio Vargas Leguizamon </t>
  </si>
  <si>
    <t>ENVIGADO, ANTIOQUIA</t>
  </si>
  <si>
    <t xml:space="preserve">CARACTERIZACIÓN DE LAS VARIABLES QUE INFLUYEN EN LA VALORACIÓN MONETARIA Y NO MONETARIA DE LA SOSTENIBILIDAD PARA SISTEMAS DE INFORMACIÓN BIOCONTABLES, EN ESPECIES FORESTALES NATIVAS EN  ANTIOQUIA -COLOMBIA, APALICADO AL PARQUE ECOLÓGICO EL SALADO MUNICIPIO DE ENVIGADO. </t>
  </si>
  <si>
    <t xml:space="preserve">Maria Eugenia Morales Sierra </t>
  </si>
  <si>
    <t>MODELADO DE ALTERNATIVAS DE POLÍTICA PÚBLICA PARA ALCANZAR LA SOSTENIBLIDAD DEL TERRITORIO DE LA CUENCA DEL RÍO BOGOTÁ.</t>
  </si>
  <si>
    <t>PROPUESTA DE AUTOMATIZACIÓN DEL PROCESO DE INVENTARIOS DE LA FUNDACIÓN BANCO ARQUIDIOCESANO DE ALIMENTOS DE MEDELLÍN</t>
  </si>
  <si>
    <t xml:space="preserve">Albeiro Hernan Suarez Hernandez </t>
  </si>
  <si>
    <t>PRÁCTICAS DE CUIDADO PARA LA PARTICIPACIÓN Y LA CONSTRUCCIÓN DE PAZ EN LOS MONTES DE MARÍA Y EL CANAL DEL DIQUE.</t>
  </si>
  <si>
    <t xml:space="preserve"> MEDELLÍN, ANTIOQUIA, COLOMBIA (Principal)_x000D_, COPACABANA, ANTIOQUIA, COLOMBIA (100%)_x000D_</t>
  </si>
  <si>
    <t>VALORACIÓN DEL ESTADO NUTRICIONAL EN ESCOLARES DE 5 A 12 AÑOS DE LAS INSTITUCIONES EDUCATIVAS PÚBLICAS DEL MUNICIPIO DE COPACABANA</t>
  </si>
  <si>
    <t>FRADES   GARCÍA ACEVEDO</t>
  </si>
  <si>
    <t xml:space="preserve"> ICONONZO, TOLIMA, COLOMBIA (Principal)_x000D_, ICONONZO, TOLIMA, COLOMBIA (70%)_x000D_</t>
  </si>
  <si>
    <t>SEMBRANDO LA JUNTANZA PARA LA PAZ: ICONONZO.TOLIMA UNA REALIDAD</t>
  </si>
  <si>
    <t>MIREYA   BARON PULIDO</t>
  </si>
  <si>
    <t xml:space="preserve"> BOGOTÁ D.C., BOGOTA, D.C., COLOMBIA (Principal)_x000D_, BOGOTÁ D.C., BOGOTA, D.C., COLOMBIA (50%)_x000D_, MONTERÍA, CORDOBA, COLOMBIA (10%)_x000D_, NARIÑO, NARIÑO, COLOMBIA (10%)_x000D_</t>
  </si>
  <si>
    <t xml:space="preserve">IMPACTO DEL CONFLICTO ARMADO EN LOS ACTIVISMOS POLÍTICOS DE ESTUDIANTES UNIVERSITARIOS </t>
  </si>
  <si>
    <t>JULIANA   CASTELLANOS DÍAZ</t>
  </si>
  <si>
    <t xml:space="preserve"> BOGOTÁ D.C., BOGOTA, D.C., COLOMBIA (Principal)_x000D_, QUIPILE, CUNDINAMARCA, COLOMBIA (70%)_x000D_</t>
  </si>
  <si>
    <t>MAPEO Y DIAGNÓSTICO DE LA ADOPCIÓN DE PRÁCTICAS SOSTENIBLES EN AGRICULTORES COLOMBIANOS</t>
  </si>
  <si>
    <t>NICOLAS  ALBARRACIN BOHORQUEZ</t>
  </si>
  <si>
    <t xml:space="preserve"> BOGOTÁ D.C., BOGOTA, D.C., COLOMBIA (Principal)_x000D_, BOGOTÁ D.C., BOGOTA, D.C., COLOMBIA (50%)_x000D_, CIÉNAGA, MAGDALENA, COLOMBIA (50%)_x000D_</t>
  </si>
  <si>
    <t>LA PRUEBA JUDICIAL EN COLOMBIA A LA LUZ DE LAS NUEVAS TECNOLOGÍAS</t>
  </si>
  <si>
    <t>LINA  MARIA ORTEGON SUAREZ</t>
  </si>
  <si>
    <t xml:space="preserve"> BOGOTÁ D.C., BOGOTA, D.C., COLOMBIA (Principal)_x000D_, BOGOTÁ D.C., BOGOTA, D.C., COLOMBIA (80%)_x000D_, SIBUNDOY, PUTUMAYO, COLOMBIA (20%)_x000D_</t>
  </si>
  <si>
    <t>DISEÑO PARTICIPATIVO PARA LA DIDÁCTICA SOCIAL - CANASTO KAMSÁ</t>
  </si>
  <si>
    <t>ANDREA  LORENA GUERRERO JIMÉNEZ</t>
  </si>
  <si>
    <t xml:space="preserve"> SANTA MARTA, MAGDALENA, COLOMBIA (Principal)_x000D_, MEDELLÍN, ANTIOQUIA, COLOMBIA (10%)_x000D_</t>
  </si>
  <si>
    <t>GOBIERNO ABIERTO Y ACCESIBILIDAD AL DERECHO INTERNET: POLÍTICAS PÚBLICAS DEPARTAMENTALES (MAGDALENA -ANTIOQUIA) COLOMBIA FRENTE A LOS RETOS EN MATERIA DE CONECTIVIDAD 2019 -2023.</t>
  </si>
  <si>
    <t>KELLY JOSELIN ESPITIA ORTEGA</t>
  </si>
  <si>
    <t xml:space="preserve"> BOGOTÁ D.C., BOGOTA, D.C., COLOMBIA (Principal)_x000D_, FUSAGASUGÁ, CUNDINAMARCA, COLOMBIA (33%)_x000D_, LA MESA, CUNDINAMARCA, COLOMBIA (33%)_x000D_, MAICAO, LA GUAJIRA, COLOMBIA (34%)_x000D_</t>
  </si>
  <si>
    <t>SABERES QUE EMPRENDEN: MUJERES QUE TRANSFORMAN EL FUTURO DESDE EL PATRIMONIO VIVO DE LOS TERRITORIOS</t>
  </si>
  <si>
    <t>MARTHA  INES MORENO MEDEL</t>
  </si>
  <si>
    <t xml:space="preserve"> GUASCA, CUNDINAMARCA, COLOMBIA (Principal)_x000D_, GUASCA, CUNDINAMARCA, COLOMBIA (100%)_x000D_</t>
  </si>
  <si>
    <t>INNOVACIÓN SOCIAL PARA COMUNIDADES VIVAS</t>
  </si>
  <si>
    <t>WILINTON  JAVIER ORTIZ AMADOR</t>
  </si>
  <si>
    <t>Diplomados</t>
  </si>
  <si>
    <t>Cursos y talleres</t>
  </si>
  <si>
    <t>Asesorías y consultorías</t>
  </si>
  <si>
    <t>Recursos educativos digitales</t>
  </si>
  <si>
    <t>Estudiantes que realizan práctica profesional de acuerdo con los tipos de vinculación 2019-2 a 2026-1</t>
  </si>
  <si>
    <t>Tipos de vinculación</t>
  </si>
  <si>
    <t>Vinculación Laboral</t>
  </si>
  <si>
    <t>Contrato De Aprendizaje – Vinculación Formativa</t>
  </si>
  <si>
    <t>Estudiantes modalidad virtual que han realizado practicas pedagógicas entre 2019-2026-1</t>
  </si>
  <si>
    <t>Contrato De Aprendizaje - Vinculación Formativa</t>
  </si>
  <si>
    <t>Nota: aquí solo se registran estudiantes de prácticas de licenciaturas</t>
  </si>
  <si>
    <t>Estudiantes modalidad presencial y virtual que han realizado prácticas educativas del programa de Psicología entre 2019-2026-1</t>
  </si>
  <si>
    <t>N/A</t>
  </si>
  <si>
    <t>BECAS OTORGADAS HG</t>
  </si>
  <si>
    <t>2019-02</t>
  </si>
  <si>
    <t>2020-01</t>
  </si>
  <si>
    <t>2020-02</t>
  </si>
  <si>
    <t>2021-01</t>
  </si>
  <si>
    <t>2021-02</t>
  </si>
  <si>
    <t>2022-01</t>
  </si>
  <si>
    <t>2022-02</t>
  </si>
  <si>
    <t>2023-01</t>
  </si>
  <si>
    <t>2023-02</t>
  </si>
  <si>
    <t>2024-01</t>
  </si>
  <si>
    <t>BOGOTA</t>
  </si>
  <si>
    <t>COLABORADORES</t>
  </si>
  <si>
    <t>ESPECIAL</t>
  </si>
  <si>
    <t>EXCELENCIA ACADEMICA</t>
  </si>
  <si>
    <t>FAMILIARES DE COLABORADORES</t>
  </si>
  <si>
    <t>HUELLA GRANCOLOMBIANA</t>
  </si>
  <si>
    <t>LOGROS Y REPRESENTANTES</t>
  </si>
  <si>
    <t>MINORIAS</t>
  </si>
  <si>
    <t>MONITORIAS</t>
  </si>
  <si>
    <t>AVANZA</t>
  </si>
  <si>
    <t>PODIUM</t>
  </si>
  <si>
    <t>Investigación asociada a proyección social 2019-1 a 2026-1</t>
  </si>
  <si>
    <t>Proyectos de Creación</t>
  </si>
  <si>
    <t>Proyectos de Innovación o DT</t>
  </si>
  <si>
    <t>Proyectos de Semillero</t>
  </si>
  <si>
    <t>Proyectos de Investigación Aplicada</t>
  </si>
  <si>
    <t>Semilleros asociados a proyección social 2019-2026-1</t>
  </si>
  <si>
    <t>Relación con sector externo</t>
  </si>
  <si>
    <t>Total Semilleros Poli</t>
  </si>
  <si>
    <t>% Semilleros relacionados con sector externo</t>
  </si>
  <si>
    <t>Trabajos de grado basados en proyectos sociales</t>
  </si>
  <si>
    <t>Convenios por países 2025</t>
  </si>
  <si>
    <t>PAÍS</t>
  </si>
  <si>
    <t>ACTIVO</t>
  </si>
  <si>
    <t> </t>
  </si>
  <si>
    <t>Argentina</t>
  </si>
  <si>
    <t>Honduras</t>
  </si>
  <si>
    <t>Austria</t>
  </si>
  <si>
    <t>India</t>
  </si>
  <si>
    <t xml:space="preserve">Brasil </t>
  </si>
  <si>
    <t>Japón</t>
  </si>
  <si>
    <t>Canadá</t>
  </si>
  <si>
    <t xml:space="preserve">Chile </t>
  </si>
  <si>
    <t>Panamá</t>
  </si>
  <si>
    <t>Paraguay</t>
  </si>
  <si>
    <t>Croacia</t>
  </si>
  <si>
    <t>Puerto Rico</t>
  </si>
  <si>
    <t xml:space="preserve">Ecuador </t>
  </si>
  <si>
    <t>República Dominicana</t>
  </si>
  <si>
    <t xml:space="preserve">España </t>
  </si>
  <si>
    <t>Rumania</t>
  </si>
  <si>
    <t>Estados Unidos</t>
  </si>
  <si>
    <t>Rusia</t>
  </si>
  <si>
    <t>Francia</t>
  </si>
  <si>
    <t>Suiza</t>
  </si>
  <si>
    <t xml:space="preserve">Guatemala </t>
  </si>
  <si>
    <t>Venezuela</t>
  </si>
  <si>
    <t>Holanda</t>
  </si>
  <si>
    <t>Convenios por países 2026-1</t>
  </si>
  <si>
    <t>Clases Espejo</t>
  </si>
  <si>
    <t>No. Clases Espejo</t>
  </si>
  <si>
    <t>No. Estudiantes Participantes</t>
  </si>
  <si>
    <t>Seminarios Internacionales
Virtuales</t>
  </si>
  <si>
    <t>Doble 
Titulación</t>
  </si>
  <si>
    <t>Intercambio 
Virtual</t>
  </si>
  <si>
    <t>Tipo de movilidad del invitado</t>
  </si>
  <si>
    <t xml:space="preserve"> 2020-1</t>
  </si>
  <si>
    <t xml:space="preserve"> 2020-2</t>
  </si>
  <si>
    <t xml:space="preserve"> 2021-1</t>
  </si>
  <si>
    <t xml:space="preserve"> 2021-2</t>
  </si>
  <si>
    <t xml:space="preserve"> 2022-1</t>
  </si>
  <si>
    <t xml:space="preserve"> 2022-2</t>
  </si>
  <si>
    <t xml:space="preserve"> 2023-1</t>
  </si>
  <si>
    <t xml:space="preserve"> 2023-2</t>
  </si>
  <si>
    <t xml:space="preserve"> 2024-1</t>
  </si>
  <si>
    <t xml:space="preserve">Virtual </t>
  </si>
  <si>
    <t>Semestre</t>
  </si>
  <si>
    <t>Encuentro con extranjeros</t>
  </si>
  <si>
    <t>Conversatorio con extranjeros</t>
  </si>
  <si>
    <t>Cátedra internacional</t>
  </si>
  <si>
    <t>País invitado</t>
  </si>
  <si>
    <t>Centro de Idiomas</t>
  </si>
  <si>
    <t>CURSOS</t>
  </si>
  <si>
    <t>Inglés como electiva</t>
  </si>
  <si>
    <t>Francés</t>
  </si>
  <si>
    <t>Portugués</t>
  </si>
  <si>
    <t>Mandarín</t>
  </si>
  <si>
    <t>Inglés virtual</t>
  </si>
  <si>
    <t>Italiano</t>
  </si>
  <si>
    <t>Período</t>
  </si>
  <si>
    <t># Convenios</t>
  </si>
  <si>
    <t>País de origen</t>
  </si>
  <si>
    <t>Apoyo idioma</t>
  </si>
  <si>
    <t>2019-2020</t>
  </si>
  <si>
    <t>Inglés</t>
  </si>
  <si>
    <t>China</t>
  </si>
  <si>
    <t>2020-2021</t>
  </si>
  <si>
    <t>2021-2022</t>
  </si>
  <si>
    <t>Reino Unido</t>
  </si>
  <si>
    <t>2022-2023</t>
  </si>
  <si>
    <t>2023-2024</t>
  </si>
  <si>
    <t>2024-2025</t>
  </si>
  <si>
    <t>2025-2026</t>
  </si>
  <si>
    <t>A2</t>
  </si>
  <si>
    <t>B1</t>
  </si>
  <si>
    <t>B2</t>
  </si>
  <si>
    <t>C1</t>
  </si>
  <si>
    <t>C2</t>
  </si>
  <si>
    <t>Modalidad del evento</t>
  </si>
  <si>
    <t>Actividades</t>
  </si>
  <si>
    <t>No. de eventos</t>
  </si>
  <si>
    <t>No. de participantes</t>
  </si>
  <si>
    <t>AÑO</t>
  </si>
  <si>
    <t>CIUDAD</t>
  </si>
  <si>
    <t>DESCRIPCIÓN ACTIVIDAD</t>
  </si>
  <si>
    <t>Feria Expo Universidades</t>
  </si>
  <si>
    <t>Don Matías - Antioquia</t>
  </si>
  <si>
    <t>Actividad de orientación vocacional para 300 estudiantes de grado 10 y 11 del municipio.</t>
  </si>
  <si>
    <t>Taller Curriculum Vitae y lenguaje proxémico - SENA</t>
  </si>
  <si>
    <t>Actividad de taller Curriculum Vitae y lenguaje proxémico - SENA. Taller virtual con el programa de Psicología debido a la pandemia.</t>
  </si>
  <si>
    <t>Foro Turismo</t>
  </si>
  <si>
    <t>Jardín- Antioquia</t>
  </si>
  <si>
    <t>Foro de turismo regenerativo en el territorio, para los promotores de turismo de la región.</t>
  </si>
  <si>
    <t>Conferencia Ejército Nacional</t>
  </si>
  <si>
    <t>Leticia - Amazonas</t>
  </si>
  <si>
    <t>Conferencia de profesor experto del Politécnico Grancolombiano sobre inteligencias múltiples en el Batallón del ejército y la biblioteca del municipio.</t>
  </si>
  <si>
    <t>Reunión relacionamiento y presencia directiva del Politécnico Grancolombiano</t>
  </si>
  <si>
    <t>Apartadó - Antioquia</t>
  </si>
  <si>
    <t>Reunión con directivos de Puerto Antioquia para hacer presencia en la región con temas de capacitación para atender las necesidades del puerto y su operación.</t>
  </si>
  <si>
    <t>Conferencia SENA</t>
  </si>
  <si>
    <t>Fusagasugá - Cundinamarca</t>
  </si>
  <si>
    <t>Conferencia de profesor experto del Politécnico Grancolombiano sobre Comunicación asertiva y trabajo en equipo en SENA Quebrajacho y población de Fusagasugá.</t>
  </si>
  <si>
    <t>Villavicencio – Meta</t>
  </si>
  <si>
    <t>Charla acerca de desarrollo y crecimiento personal para la mujer en Batallón del Ejército Apiay y cuarta división.</t>
  </si>
  <si>
    <t>Encuentro con comunidad WAYÚU</t>
  </si>
  <si>
    <t>Riohacha - Guajira</t>
  </si>
  <si>
    <t>Encuentro con directivas de colegios y líderes WAYÚU la alta Guajira para identificar necesidades de educación y apoyo a la población. Encuentro con estudiantes virtual del Politécnico Grancolombiano del Departamento.</t>
  </si>
  <si>
    <t>Encuentro con entes gubernamentales y sector privado</t>
  </si>
  <si>
    <t>San Andrés y Providencia</t>
  </si>
  <si>
    <t>Relacionamiento con alcaldía de Providencia para identificar apoyos financieros requeridos para educación y encuentro con empresarios para identificar necesidades de formación y posicionamiento del Politécnico Grancolombiano en la región - Soberanía Peninsular.</t>
  </si>
  <si>
    <t>Participación Futurexpo - Procolombia en regiones</t>
  </si>
  <si>
    <t>Puerto Carreño, Puerto Inírida, Mitú, Duitama, Pitalito, Pamplona, Santa Marta, Garzón,</t>
  </si>
  <si>
    <t>Junto con el Ministerio de Comercio, Industria y Turismo, a través de Procolombia y las cámaras de comercio de los municipios, el Politécnico Grancolombiano lideró académicamente el ciclo de conferencias para dar a conocer las oportunidades que ofrecen los mercados internacionales para los empresarios y emprendedores.</t>
  </si>
  <si>
    <t>Encuentro para relacionamiento y gestión de becas  para los habitantes el departamento del Amazonas, con alcaldia, Gobernación, ejercito Nacional, Policia Nacional, Atención y reparación de victimas del conflicto, Contraloria Departamentos y sector empreafrial de caracter privado.</t>
  </si>
  <si>
    <t>Celebracion  de los  10 años convenio Policia Nacional</t>
  </si>
  <si>
    <t>Medellin - Antioquia</t>
  </si>
  <si>
    <t>Evento academico en conmemoración de los 10 años de la suscripción del convenio con la Policia Nacional, Participantes: 530 Policia de MEVAL</t>
  </si>
  <si>
    <t>Evento academico para  operadores turisticos</t>
  </si>
  <si>
    <t>Santa Marta - Magdalena</t>
  </si>
  <si>
    <t>Formación en guianza turistica con operadores turisticos del Magdalena</t>
  </si>
  <si>
    <t>Formacion academica empresarial</t>
  </si>
  <si>
    <t>Belencito- Boyaca</t>
  </si>
  <si>
    <t>Taller bootcamp en desing thinking con lego serius play y Taller de Negociación para colaboradores de Acerias paz del rio.
Programa en Herramientas para la mejora Continua para operarios del alto horno- Aceria paz del Rio</t>
  </si>
  <si>
    <t>Eventos académicos Futurexpo en regiones</t>
  </si>
  <si>
    <t>Mitú, Cartagena, Palmira, Tuluá, Ibagué, Tunja, Bucaramanga, Barrancabermeja, Quibdo, Maicao, Riohacha, Magangué, Montería, Santa Marta, Popayán, Sincelejo, Cúcuta, Pasto</t>
  </si>
  <si>
    <t>Conferencias  Proceso Exportador Colombiano, Inteligencia Artificial para Investigación de Mercados. Cómo Generar el Sentido Exportador en la Regiones</t>
  </si>
  <si>
    <t xml:space="preserve">Eventos de relacionamiento con sector empresarial </t>
  </si>
  <si>
    <t>Barranquilla, Pasto, Ipiales, Mitú</t>
  </si>
  <si>
    <t>Conferencias Inteligencias Múltiples  e  Inteligencia Artificial</t>
  </si>
  <si>
    <t>Eventos dirigidos a personeros, contralores y lideres de colegios de Medellín, en el marco del convenio con la Secretaria de Educación del Municipio</t>
  </si>
  <si>
    <t>Medellín, Sonsón, Rionegro</t>
  </si>
  <si>
    <t xml:space="preserve">Conferencias sobre Liderazgo Ético y Social </t>
  </si>
  <si>
    <t>Usuario</t>
  </si>
  <si>
    <t>Estudiante Saliente</t>
  </si>
  <si>
    <t>Profesor Saliente</t>
  </si>
  <si>
    <t>Estudiante Entrante</t>
  </si>
  <si>
    <t>Profesor Entrante</t>
  </si>
  <si>
    <t>Países de destino y origen para movilidad 2025</t>
  </si>
  <si>
    <t>Países de destino y origen para movilidad 2026-1</t>
  </si>
  <si>
    <t xml:space="preserve">SALIENTE </t>
  </si>
  <si>
    <t>ENTRANTE</t>
  </si>
  <si>
    <t>Albania</t>
  </si>
  <si>
    <t>Irán</t>
  </si>
  <si>
    <t>Irlanda</t>
  </si>
  <si>
    <t>Australia</t>
  </si>
  <si>
    <t>Malasia</t>
  </si>
  <si>
    <t>Malta</t>
  </si>
  <si>
    <t>Bangladesh</t>
  </si>
  <si>
    <t xml:space="preserve">México </t>
  </si>
  <si>
    <t>Bélgica</t>
  </si>
  <si>
    <t>Namibia</t>
  </si>
  <si>
    <t>Bolivia</t>
  </si>
  <si>
    <t>Montenegro</t>
  </si>
  <si>
    <t>Nicaragua</t>
  </si>
  <si>
    <t>Bulgaria</t>
  </si>
  <si>
    <t>Noruega</t>
  </si>
  <si>
    <t xml:space="preserve">Canadá </t>
  </si>
  <si>
    <t>Nueva Zelanda</t>
  </si>
  <si>
    <t>Chile</t>
  </si>
  <si>
    <t xml:space="preserve">Colombia </t>
  </si>
  <si>
    <t>Polonia</t>
  </si>
  <si>
    <t>Cuba</t>
  </si>
  <si>
    <t>Portugal</t>
  </si>
  <si>
    <t>El Salvador</t>
  </si>
  <si>
    <t>Egipto</t>
  </si>
  <si>
    <t>República Checa</t>
  </si>
  <si>
    <t xml:space="preserve">Estados Unidos </t>
  </si>
  <si>
    <t>Finlandia</t>
  </si>
  <si>
    <t xml:space="preserve">Rusia </t>
  </si>
  <si>
    <t>Sudafrica</t>
  </si>
  <si>
    <t>Grecia</t>
  </si>
  <si>
    <t>Guatemala</t>
  </si>
  <si>
    <t xml:space="preserve">Tailandia </t>
  </si>
  <si>
    <t>Haiti</t>
  </si>
  <si>
    <t>Turquía</t>
  </si>
  <si>
    <t>Uruguay</t>
  </si>
  <si>
    <t>Uzbekistán</t>
  </si>
  <si>
    <t xml:space="preserve">Italia </t>
  </si>
  <si>
    <t>PERIODO</t>
  </si>
  <si>
    <t>RECONOCIMIENTO</t>
  </si>
  <si>
    <t>EMISOR</t>
  </si>
  <si>
    <t>ALCANCE</t>
  </si>
  <si>
    <t>RECEPTOR EN POLI</t>
  </si>
  <si>
    <t>Plata Effie College - Postobon</t>
  </si>
  <si>
    <t xml:space="preserve">ANDA </t>
  </si>
  <si>
    <t>Escuela de Marketing y Branding</t>
  </si>
  <si>
    <t>Plata Effie College - SC Johnson</t>
  </si>
  <si>
    <t xml:space="preserve">Tercer puesto Cuarta Competencia Internacional de Casos en Negocios </t>
  </si>
  <si>
    <t>ALAC</t>
  </si>
  <si>
    <t>Internacional</t>
  </si>
  <si>
    <t>Premio Investiga - Los mejores reportajes de Colombia</t>
  </si>
  <si>
    <t>Consejo de Redacción</t>
  </si>
  <si>
    <t>Escuela de Comunicación, Artes Visuales y Digitales</t>
  </si>
  <si>
    <t>Reconocimiento segundo lugar “Mejor semillero latinoamericano de investigación” en el marco del Congreso v.15 de Psicología Jurídica y Forense "Desafíos en Latinoamérica”</t>
  </si>
  <si>
    <t>Asociación Latinoamericana de Psicología Jurídica y Forense</t>
  </si>
  <si>
    <t>Psicología</t>
  </si>
  <si>
    <t xml:space="preserve">Luis Turcios: Mejor Investigación Semillero </t>
  </si>
  <si>
    <t>Escuela de Derecho y Gobierno</t>
  </si>
  <si>
    <t>Premios Portafolio - Categoría Mejor Docente Universitario - Nominación</t>
  </si>
  <si>
    <t>Periodico Portafolio</t>
  </si>
  <si>
    <t>Mención de Honor</t>
  </si>
  <si>
    <t>Sociedad Interamericana de Prensa</t>
  </si>
  <si>
    <t>Primer lugar Premio Nacional de Periodismo Digital - Categoría multimedia</t>
  </si>
  <si>
    <t>Kienyke</t>
  </si>
  <si>
    <t>Segundo lugar Premio Nacional de Periodismo Digital - Categoría multimedia</t>
  </si>
  <si>
    <t>Premio Corte Final - Categoría Periodismo de datos</t>
  </si>
  <si>
    <t>Universidad Católica de Pereira</t>
  </si>
  <si>
    <t>Legatarios de la Comisión de la Verdad</t>
  </si>
  <si>
    <t>Comisión de la Verdad</t>
  </si>
  <si>
    <t>Premio Internacional “Best Full paper” en AIRSI: Industry 4.0 in Tourism, Services &amp; Marketing.</t>
  </si>
  <si>
    <t xml:space="preserve">AIRSI </t>
  </si>
  <si>
    <t xml:space="preserve">Internacional </t>
  </si>
  <si>
    <t>Liderazgo y solidaridad en los procesos de innovación en el marco del plan padrino</t>
  </si>
  <si>
    <t xml:space="preserve">Ministerio de Educación Nacional </t>
  </si>
  <si>
    <t>Escuela de Eudcación e Innovación</t>
  </si>
  <si>
    <t>Orden a la Educación Superior y a la Fe Pública “Luis López de Mesa”</t>
  </si>
  <si>
    <t>Tecnología en Gestión de Servicios para Aerolíneas</t>
  </si>
  <si>
    <t>Plata Effie College- Nestle</t>
  </si>
  <si>
    <t>Segundo lugar Premio Nacional de Periodismo Digital - Categoría Responsabilidad Social</t>
  </si>
  <si>
    <t>Líder de mejores prácticas universitarias a Unidad Sala Contacto</t>
  </si>
  <si>
    <t>Ministerio de Educación Nacional</t>
  </si>
  <si>
    <t>Escuela de comunicación, artes visuales y digitales</t>
  </si>
  <si>
    <t>Premio Nacional de Periodismo Mujeres, Paz y Seguridad</t>
  </si>
  <si>
    <t>Red Nacional de Mujeres</t>
  </si>
  <si>
    <t>Segundo puesto en Sección Climate Clips del Filmschool Fest Munich al corto "Unihhabited Transitional Space"</t>
  </si>
  <si>
    <t>Filmschool Fest Munich</t>
  </si>
  <si>
    <t>Premio Internacional “Best Full paper in Marketing” in XXIX AEDEM International Conference</t>
  </si>
  <si>
    <t>European Academy of Management and Business Economics (AEDEM)</t>
  </si>
  <si>
    <t xml:space="preserve">Primer puesto en el track marketing digital e interactivo </t>
  </si>
  <si>
    <t>Universidad de Lima</t>
  </si>
  <si>
    <t>Reconocimiento a docente de la Escuela de Diseño en la Noche Iberoamericana de Investigadores</t>
  </si>
  <si>
    <t>Organización Estados Iberoamericanos OEI</t>
  </si>
  <si>
    <t xml:space="preserve">Escuela de Diseño </t>
  </si>
  <si>
    <t>Tercer puesto en el III Encuentro Internacional de Investigación de Mercadeo RAIM de Tendencias de Comunicación y Consumo en Iberoamérica</t>
  </si>
  <si>
    <t>Universidad Virtual CNCI</t>
  </si>
  <si>
    <t>Plata- Efiie College</t>
  </si>
  <si>
    <t>Premios Nacionales de Diseño RAD- 1 Nominación mejor proyecto de grado en diseño</t>
  </si>
  <si>
    <t>Asociación Red Académica de Diseño RAD</t>
  </si>
  <si>
    <t>Reconocimiento como "Emprendedor del Año" a graduado del programa de Administración de Empresas</t>
  </si>
  <si>
    <t>ASCOLFA</t>
  </si>
  <si>
    <t>Administración de Empresas</t>
  </si>
  <si>
    <t>Primer puesto académico docente del semestre</t>
  </si>
  <si>
    <t>CONPEHT</t>
  </si>
  <si>
    <t>Administración Hotelera y Gastronómica, Tecnología en gestión de Servicios para Aerolíneas, Tecnología en Guianza Turística</t>
  </si>
  <si>
    <t>Estudiantes con primer puesto académico del semestre</t>
  </si>
  <si>
    <t>Registro IPMA -REG</t>
  </si>
  <si>
    <t>IPMA REG System</t>
  </si>
  <si>
    <t>Maestría en Gerencia de Proyectos</t>
  </si>
  <si>
    <t>Reconocimiento en la categoría calidad y fundamento a docente de psicología</t>
  </si>
  <si>
    <t xml:space="preserve">Instituto Panamericano de Análisis en Educación </t>
  </si>
  <si>
    <t xml:space="preserve">Escuela de Psicología, Talento Humano y Sociedad </t>
  </si>
  <si>
    <t>Nombramiento como integrante del comité permanente de condiciones laborales y salariales adscrito a la comisión nacional de políticas públicas del Colegio Colombiano de Psicólogos</t>
  </si>
  <si>
    <t>Colegio Colombiano de Psicólogos - COLPSIC</t>
  </si>
  <si>
    <t>Reconocimiento de ASCOLFA por obtener la acreditación de alta calidad del programa de Administración de Empresas sede Bogotá</t>
  </si>
  <si>
    <t>Premio Internacional a mejor trabajo de autores latinoamericanos en el XXXIV International Marketing Congress AEMARK</t>
  </si>
  <si>
    <t>Asociación Española de Marketing Académico y Profesional (AEMARK)</t>
  </si>
  <si>
    <t>Guest editor del número especial en Marketing, de la Revista RETOS categorizada en tercer cuartil en la base de datos Scopus</t>
  </si>
  <si>
    <t>La Universidad Politécnica Salesiana y la revista de administración y Economía RETOS</t>
  </si>
  <si>
    <t>Mejor ponencia en el Track de Sostenibilidad en la VI Jornada Internacional Estudiantil de Investigación Científica en Marketing de la Universidad de Lima</t>
  </si>
  <si>
    <t>Segundo puesto en la modalidad Ponencia Docente en el marco del III Encuentro de Investigación de Mercadeo RAIM - Tendencias de Comunicación y Consumo en Iberoamérica</t>
  </si>
  <si>
    <t>RAIM</t>
  </si>
  <si>
    <t>Premio a la producción de largometraje documental a proyecto de investigación-creación "Movimientos a distancia"</t>
  </si>
  <si>
    <t>Proimáegenes Colombia</t>
  </si>
  <si>
    <t>Selección por parte del jurado del evento Escuela Internacional de Diseño y Creación Narrativas Divergentes de un proyecto creado por una estudiante de Diseño Gráfico para la Exposición Otras Experiencias Expandidas</t>
  </si>
  <si>
    <t>Instituto Tecnológico Metropolitano</t>
  </si>
  <si>
    <t xml:space="preserve"> Orden "Manuel Zapata Olivella"</t>
  </si>
  <si>
    <t>MEN</t>
  </si>
  <si>
    <t>Escuela TIC</t>
  </si>
  <si>
    <t>mentor del proyecto finalista “HUERTASNGIOT”</t>
  </si>
  <si>
    <t>FEDESOFT</t>
  </si>
  <si>
    <t>Ganador de la competencia GECCO</t>
  </si>
  <si>
    <t>IPMA - GECCO</t>
  </si>
  <si>
    <t>Ingeniería Industrial</t>
  </si>
  <si>
    <t>Elección como representante consejo directivo</t>
  </si>
  <si>
    <t>Asociación Red Académica de Diseño</t>
  </si>
  <si>
    <t>Premios Nacionales de Diseño RAD- 2 Nominaciones mejor proyecto de grado en diseño</t>
  </si>
  <si>
    <t>Mi Tesis CONPEHT - Tesis Destacada Nivel 1</t>
  </si>
  <si>
    <t>Administración Hotelera y Gastronómica</t>
  </si>
  <si>
    <t>Ganadores EXPOTEC UA</t>
  </si>
  <si>
    <t>Universidad Autonoma del Perú</t>
  </si>
  <si>
    <t>Colombia Academy Day 2024</t>
  </si>
  <si>
    <t>CISCO</t>
  </si>
  <si>
    <t>Premio Nacional de Periodismo Digital: El feminicidio antes del feminicidio</t>
  </si>
  <si>
    <t>XILOPALO</t>
  </si>
  <si>
    <t>Premio Nacional de Periodismo Simon Bolivar:  El feminicidio antes del feminicidio</t>
  </si>
  <si>
    <t>Grupo Bolivar</t>
  </si>
  <si>
    <t>Premio de periodismo: Trastorno de un estado sin dinero</t>
  </si>
  <si>
    <t>U. Externado</t>
  </si>
  <si>
    <t>Finalista al premio de relevancia empresarial de investigación en marketing</t>
  </si>
  <si>
    <t>Primer lugar en la categoria de educación y aprendizaje en las Escuelas de Negocio</t>
  </si>
  <si>
    <t>II Encuentro de la Red de Investigación ASCOLFA “RediACB2024”, </t>
  </si>
  <si>
    <t xml:space="preserve">Premio a mejor ponencia en mercadeo y negocios internacionales </t>
  </si>
  <si>
    <t xml:space="preserve">Encuentro Internacional de Investigadores en Administración </t>
  </si>
  <si>
    <t>Agradecimiento Docente internacional Global Summer</t>
  </si>
  <si>
    <t>Universidad Popular Autonoma del Estado de  Puebla UPAEP</t>
  </si>
  <si>
    <t>Reconocimiento como ponente internacional con el taller "estrategias didácticas"</t>
  </si>
  <si>
    <t>Colegio de estudios cientificos y tecnológicos del Estado de Puebla</t>
  </si>
  <si>
    <t>Reconocimiento en Educacion para la paz</t>
  </si>
  <si>
    <t>Medalla de plata por iniciación cietifica  - por ponencia  TICS aplicadas a la seguridad de salud en el trabajo</t>
  </si>
  <si>
    <t>Xpoilers - Iniciación Cientifica</t>
  </si>
  <si>
    <t>Programa de Gestión de la Seguridad  y Salud en el Trabajo modalidad virtual</t>
  </si>
  <si>
    <t>Agradecimiento y felicitación por la exitosa organización y gran labor en el desarrollo del Seminario Sudamericano de Turismo CONPEHT 2024. Evento que reunió a importante número de estudiantes y docentes de instituciones CONPEHT de Sudamérica.</t>
  </si>
  <si>
    <t>Escuela de Negocios y Desarrollo Internacional</t>
  </si>
  <si>
    <t>Primer puesto académico CONPEHT como docente del semestre</t>
  </si>
  <si>
    <t>Primer puesto académico CONPEHT como estudiantes del semestre</t>
  </si>
  <si>
    <t>Premio al mejor artículo estudiantil por el artículo titulado “Tecnologías centradas en el ser humano en contextos con restricciones de recursos. Perspectivas desde la Innovación Frugal” Este reconocimiento fue otorgado en la 33ª Conferencia de la Asociación Internacional para la Gestión de Tecnología (IAMOT)</t>
  </si>
  <si>
    <t xml:space="preserve"> Asociación Internacional para la Gestión de Tecnología (IAMOT)</t>
  </si>
  <si>
    <t>Primer puesto Nacional - Rally Latinoamericano de Innovación</t>
  </si>
  <si>
    <t>ACOFI</t>
  </si>
  <si>
    <t>Segundo Lugar  - Competencia FIRST Lego League</t>
  </si>
  <si>
    <t xml:space="preserve">Lego Legue Uniminuto </t>
  </si>
  <si>
    <t>Dos profesores de la escuela seleccionados para participar en el evento</t>
  </si>
  <si>
    <t>Congreso internacional de inteligencia artificial (México)</t>
  </si>
  <si>
    <t>Administración y Competitividad</t>
  </si>
  <si>
    <t>Ganadora categoría: Generación P&amp;M Estudiante Ana María Fuquen</t>
  </si>
  <si>
    <t>Revista P&amp;M</t>
  </si>
  <si>
    <t xml:space="preserve">2025-1 </t>
  </si>
  <si>
    <t>Segundo lugar categoría : Mención profesor del año Pedro Elias Ochoa Daza</t>
  </si>
  <si>
    <t>Mención Cum Laude por Tesis doctoralen estudios teatrales</t>
  </si>
  <si>
    <t>Universidad Complutense de Madrid</t>
  </si>
  <si>
    <t>Laboratorio de Finalización de Películas (espacio reservado para proyectos cinematográficos de alto nivel que están en su fase final de desarrollo)</t>
  </si>
  <si>
    <t>Festival Visions du Réel</t>
  </si>
  <si>
    <t xml:space="preserve">Participación como mentora de mejores prácticas corporativas en Contabilidad y Finanzas con Inteligencia Artificial </t>
  </si>
  <si>
    <t>Instituto Mexicano de Ejecutivos de Finanzas</t>
  </si>
  <si>
    <t xml:space="preserve">Segundo lugar en el marco del XX Congreso Nacional de Estudiantes de Contaduría Pública, y X Congreso Nacional </t>
  </si>
  <si>
    <t>Universidad Santo Tomás</t>
  </si>
  <si>
    <t>Reconocimiento a maestro de maestros a docente de la escuela</t>
  </si>
  <si>
    <t>Reconocimiento al mejor proyecto presentado en el XXIII Encuentro Regional de Semilleros de Investigación</t>
  </si>
  <si>
    <t>Redcolsi Nodo Bogotá</t>
  </si>
  <si>
    <t>Reconocimiento por su destacada trayectoria profesional y académica y su compromiso con la excelencia en el campo del derecho</t>
  </si>
  <si>
    <t>Alianza global de jusistas</t>
  </si>
  <si>
    <t>Reconocimeinto de Honor por su invaluable aporte en la conferencia a favor de la no violencia en contra de las mujeres e igualdad de género</t>
  </si>
  <si>
    <t xml:space="preserve">Corporación Fe Mundo Socia ODS y Red Global de Oportunidades </t>
  </si>
  <si>
    <t>Reconocimiento de participación en el Conversatorio Internacional del 3er Congreso Nacional y 2do Internacional "Salud, Educación y Medio Ambiente: Objetivos de Desarrollo Sostenible 20230"</t>
  </si>
  <si>
    <t>Universidad Autonóma de Coahuila</t>
  </si>
  <si>
    <t>Constancia de Membresia -  Red Interdisciplinaria Iberoamericana RI/INS</t>
  </si>
  <si>
    <t>Universidad Autónoma de Coahuila</t>
  </si>
  <si>
    <t>Número de publicaciones internacionales 2025</t>
  </si>
  <si>
    <t>Número de publicaciones internacionales 2026-1</t>
  </si>
  <si>
    <t>País de Publicación</t>
  </si>
  <si>
    <t>Islandia</t>
  </si>
  <si>
    <t>Italia</t>
  </si>
  <si>
    <t xml:space="preserve">Austria </t>
  </si>
  <si>
    <t>Brasil</t>
  </si>
  <si>
    <t>Países Bajos</t>
  </si>
  <si>
    <t>Corea del Sur</t>
  </si>
  <si>
    <t>Diagnóstico</t>
  </si>
  <si>
    <t>Motivo de consulta</t>
  </si>
  <si>
    <t>Comunidad</t>
  </si>
  <si>
    <t>20219-2</t>
  </si>
  <si>
    <t>ADMINISTRATIVO</t>
  </si>
  <si>
    <t>ESTUDIANTE</t>
  </si>
  <si>
    <t>PROFESORES</t>
  </si>
  <si>
    <t>PROFESOR</t>
  </si>
  <si>
    <t>MOOCS</t>
  </si>
  <si>
    <t>Cultura</t>
  </si>
  <si>
    <t>Deportes</t>
  </si>
  <si>
    <r>
      <t>Líneas de Gestión</t>
    </r>
    <r>
      <rPr>
        <sz val="8"/>
        <color rgb="FFFFFFFF"/>
        <rFont val="Open Sans"/>
        <family val="2"/>
      </rPr>
      <t xml:space="preserve"> </t>
    </r>
  </si>
  <si>
    <r>
      <t>Impactos</t>
    </r>
    <r>
      <rPr>
        <sz val="8"/>
        <color rgb="FFFFFFFF"/>
        <rFont val="Open Sans"/>
        <family val="2"/>
      </rPr>
      <t xml:space="preserve"> </t>
    </r>
  </si>
  <si>
    <t xml:space="preserve">Conservación de voz </t>
  </si>
  <si>
    <t xml:space="preserve">Exámenes Médicos Ocupacionales </t>
  </si>
  <si>
    <t xml:space="preserve">Gestión de seguridad vial </t>
  </si>
  <si>
    <t xml:space="preserve">Gestión riesgo químico </t>
  </si>
  <si>
    <t xml:space="preserve">MERAKI (Estrategia frente a la pandemia) </t>
  </si>
  <si>
    <t xml:space="preserve">Promoción y prevención en SST </t>
  </si>
  <si>
    <t xml:space="preserve">Riesgo Cardiovascular </t>
  </si>
  <si>
    <t xml:space="preserve">Riesgo psicosocial </t>
  </si>
  <si>
    <t xml:space="preserve">Sistema de vigilancia Osteomuscular </t>
  </si>
  <si>
    <t>Estamento</t>
  </si>
  <si>
    <t>Profesores</t>
  </si>
  <si>
    <t>Administrativos</t>
  </si>
  <si>
    <t>Outsourcing</t>
  </si>
  <si>
    <t>Aplicación de batería de riesgo psicosocial</t>
  </si>
  <si>
    <t>Examen médico ocupacional de ingreso</t>
  </si>
  <si>
    <t>Examen médico ocupacional periódico</t>
  </si>
  <si>
    <t>Aplicación de batería riesgo psicosocial</t>
  </si>
  <si>
    <t xml:space="preserve">Aplicación de batería riesgo psicosocial </t>
  </si>
  <si>
    <t>Examen médico ocupacional de post incapacidad</t>
  </si>
  <si>
    <t>Examen médico ocupacional post incapacidad</t>
  </si>
  <si>
    <t># Atenciones en enfermería</t>
  </si>
  <si>
    <t>Personas no vinculadas IES</t>
  </si>
  <si>
    <t># Impactos actividades de promoción y cuidado de la salud</t>
  </si>
  <si>
    <t>Simulacro general de evacuación: Campus 2307 evacuados</t>
  </si>
  <si>
    <t xml:space="preserve">Simulacro general de evacuación: City Campus 73 evacuados </t>
  </si>
  <si>
    <t>Actualización de planes de emergencia.</t>
  </si>
  <si>
    <t>Divulgación del plan de emergencias.</t>
  </si>
  <si>
    <t>Capacitación y entrenamiento brigada de emergencias.</t>
  </si>
  <si>
    <t>Seguimiento y/ o mantenimiento equipos de emergencia.</t>
  </si>
  <si>
    <t>Simulacro de seguridad Vial</t>
  </si>
  <si>
    <t>Documentación y socialización de protocolos de bioseguridad.</t>
  </si>
  <si>
    <t>Suministro de kit de bioseguridad COVID 19.</t>
  </si>
  <si>
    <t>Divulgación lineamientos bioseguridad – comunicados</t>
  </si>
  <si>
    <t>Seguimiento mantenimiento equipos de emergencia.</t>
  </si>
  <si>
    <t>Actualización y divulgación del plan de emergencias.</t>
  </si>
  <si>
    <t>Ejercicios de adherencia al plan de emergencias.</t>
  </si>
  <si>
    <t>Adecuación de instalaciones para regreso seguro COVID 19.</t>
  </si>
  <si>
    <t>Suministro de EPP COVID 19 *Caracterización condiciones de salud COVID 19</t>
  </si>
  <si>
    <t>Seguimiento casos COVID</t>
  </si>
  <si>
    <t>Divulgación protocolos Bioseguridad</t>
  </si>
  <si>
    <t>Suministro de EPP COVID 19.</t>
  </si>
  <si>
    <t>Simulacro por accidente vehicular.</t>
  </si>
  <si>
    <t>Caracterización condiciones de salud COVID 19.</t>
  </si>
  <si>
    <t>Seguimiento casos COVID.</t>
  </si>
  <si>
    <t>Divulgación protocolos Bioseguridad.</t>
  </si>
  <si>
    <t xml:space="preserve">Simulacro general de evacuación: Campus 270 evacuados. </t>
  </si>
  <si>
    <t>Ejercicios de adherencia al plan.</t>
  </si>
  <si>
    <t>Simulacro general de evacuación: Campus 850 evacuados.</t>
  </si>
  <si>
    <t>Simulacro general de evacuación: City Campus 250 evacuados Simulacro por derrame de combustible en vehículo.</t>
  </si>
  <si>
    <t xml:space="preserve">Simulacro accidente de tránsito. </t>
  </si>
  <si>
    <t>Simulación escenarios de riesgo para motorizados.</t>
  </si>
  <si>
    <t>Simulacro general de evacuación: Campus 1.534 evacuados.</t>
  </si>
  <si>
    <t xml:space="preserve">Simulacro general de evacuación: City Campus 1.700 evacuados. </t>
  </si>
  <si>
    <t>Simulacro por fuga de sustancia química bus escolar.</t>
  </si>
  <si>
    <t>Simulacro atención de lesionados por siniestro vial.</t>
  </si>
  <si>
    <t>Simulacro por derrame de químico en taller.</t>
  </si>
  <si>
    <t>Simulacro conato de incendio en Concesión de alimentos Seguimiento mantenimiento equipos de emergencia.</t>
  </si>
  <si>
    <t>Simulacro general de evacuación: Campus 2.362 evacuados.</t>
  </si>
  <si>
    <t>Simulacro por emergencia quimica</t>
  </si>
  <si>
    <t>Simulacro general de evacuación: City Campus 930 evacuados. Simulacro por intrusión a sede City campus</t>
  </si>
  <si>
    <t xml:space="preserve">Simulacro general de evacuación: City Campus 657 evacuados. </t>
  </si>
  <si>
    <t>Simulacro general de evacuación: Campus 1.127 evacuados.</t>
  </si>
  <si>
    <t>Cliente conflictivo</t>
  </si>
  <si>
    <t>Simulación de riesgo público y siniestro vial</t>
  </si>
  <si>
    <t>Riesgo biologíco</t>
  </si>
  <si>
    <t>Simulacro  Conato de incendio: Concesión de alimentos La Banca Septiembre y Cafe Leyenda Agosto.</t>
  </si>
  <si>
    <t>Capacitación Pista Brigada de Emergencias</t>
  </si>
  <si>
    <t>Simulacro en emergencia médica</t>
  </si>
  <si>
    <t>Simulacro  caída de techo: Concesión de alimentos Café Leyenda Agosto.</t>
  </si>
  <si>
    <t>Ejecución al Plan de capacitación anual a la brigada</t>
  </si>
  <si>
    <t>Simulación de riesgo químico</t>
  </si>
  <si>
    <t>Simulacro nacional distrital de evacuación</t>
  </si>
  <si>
    <t>Plan de capacitación anual a la brigada</t>
  </si>
  <si>
    <t>Beneficio cuponera de la felicidad - Brigadistas</t>
  </si>
  <si>
    <t>Inspeccipon a gabinetes y extintores  en sedes</t>
  </si>
  <si>
    <t>Compra forros para camillas</t>
  </si>
  <si>
    <t>Formación en emergencias - Alta dirección</t>
  </si>
  <si>
    <t>Entornos Seguros, Profesores Preparados para Actuar</t>
  </si>
  <si>
    <t>Estrategias</t>
  </si>
  <si>
    <t>Cuponera de la Felicidad</t>
  </si>
  <si>
    <t>Actividades de Bienestar</t>
  </si>
  <si>
    <t>Totales</t>
  </si>
  <si>
    <t>% de Satisfacción</t>
  </si>
  <si>
    <t>Titular</t>
  </si>
  <si>
    <t>Asistente</t>
  </si>
  <si>
    <t>Auxiliar</t>
  </si>
  <si>
    <t>Inicial</t>
  </si>
  <si>
    <t>Dedicación</t>
  </si>
  <si>
    <t>Duración</t>
  </si>
  <si>
    <t>Indefinido</t>
  </si>
  <si>
    <t>Anualizado</t>
  </si>
  <si>
    <t>Medio tiempo</t>
  </si>
  <si>
    <t>2026-2</t>
  </si>
  <si>
    <t>Facultad de Negocios, Gestión y Sostenibilidad</t>
  </si>
  <si>
    <t>Relación</t>
  </si>
  <si>
    <t>118,44</t>
  </si>
  <si>
    <t>111,44</t>
  </si>
  <si>
    <t>´1:213</t>
  </si>
  <si>
    <t>´1:204</t>
  </si>
  <si>
    <t>´1:185</t>
  </si>
  <si>
    <t>´1:115</t>
  </si>
  <si>
    <t>´1:116</t>
  </si>
  <si>
    <t>´1:97</t>
  </si>
  <si>
    <t>´1:84</t>
  </si>
  <si>
    <t>´1:83</t>
  </si>
  <si>
    <t>´1:79</t>
  </si>
  <si>
    <t>´1:72</t>
  </si>
  <si>
    <t>´1:73</t>
  </si>
  <si>
    <t>´1:68</t>
  </si>
  <si>
    <t>´1:67</t>
  </si>
  <si>
    <t>Beneficios educativos</t>
  </si>
  <si>
    <t>Auxilios otorgados 2019-2 a 2026-1</t>
  </si>
  <si>
    <t>AUXILIOS EDUCATIVOS</t>
  </si>
  <si>
    <t xml:space="preserve"> $ 1.461.442.920,21 </t>
  </si>
  <si>
    <t>BECAS HUELLA GRANCOLOMBIANA</t>
  </si>
  <si>
    <t xml:space="preserve"> $ 63.956.910,00 </t>
  </si>
  <si>
    <t>IMPULSO</t>
  </si>
  <si>
    <t xml:space="preserve"> $ 103.264.950,00 </t>
  </si>
  <si>
    <t xml:space="preserve"> $ 1.628.664.780,21 </t>
  </si>
  <si>
    <t>Beneficio</t>
  </si>
  <si>
    <t>Nivel de Formación</t>
  </si>
  <si>
    <t>Monto de Inversión</t>
  </si>
  <si>
    <t>Auxilios Educativos</t>
  </si>
  <si>
    <t xml:space="preserve"> $ 544.030.868,71 </t>
  </si>
  <si>
    <t>Educación no formal</t>
  </si>
  <si>
    <t xml:space="preserve"> $ 512.310.209,00 </t>
  </si>
  <si>
    <t xml:space="preserve"> $ 319.312.874,00 </t>
  </si>
  <si>
    <t xml:space="preserve"> $ 85.788.968,50 </t>
  </si>
  <si>
    <t>Becas Huella</t>
  </si>
  <si>
    <t xml:space="preserve"> $ 10.916.200,00 </t>
  </si>
  <si>
    <t xml:space="preserve"> $ 51.558.460,00 </t>
  </si>
  <si>
    <t xml:space="preserve"> $ 1.482.250,00 </t>
  </si>
  <si>
    <t>Impulso</t>
  </si>
  <si>
    <t xml:space="preserve"> $ 6.002.000,00 </t>
  </si>
  <si>
    <t xml:space="preserve"> $ 97.262.950,00 </t>
  </si>
  <si>
    <t>Labor profesoral / actividad</t>
  </si>
  <si>
    <t>Académico-Administrativa</t>
  </si>
  <si>
    <t>Científicas</t>
  </si>
  <si>
    <t>Docente</t>
  </si>
  <si>
    <t>Formativas</t>
  </si>
  <si>
    <t>Horas de docencia directa</t>
  </si>
  <si>
    <t>Labor profesoral / Eje</t>
  </si>
  <si>
    <t>Extensión y Proyección Social</t>
  </si>
  <si>
    <t>Desarrollo Académico</t>
  </si>
  <si>
    <t>Gestión Académica Administrativa</t>
  </si>
  <si>
    <t>Promedio</t>
  </si>
  <si>
    <t>Evaluación</t>
  </si>
  <si>
    <t>Autoevaluación</t>
  </si>
  <si>
    <t>Heteroevaluación</t>
  </si>
  <si>
    <t>Metaevaluación</t>
  </si>
  <si>
    <t>PEDAGOGÍA</t>
  </si>
  <si>
    <t>INVESTIGACIÓN</t>
  </si>
  <si>
    <t>INNOVACIÓN</t>
  </si>
  <si>
    <t>COMUNICATIVA</t>
  </si>
  <si>
    <t>TECNOLÓGICAS</t>
  </si>
  <si>
    <t>B1-C2</t>
  </si>
  <si>
    <t>Formación de profesores en el quinquenio</t>
  </si>
  <si>
    <t>Investigación, Innovación e Internacionalización</t>
  </si>
  <si>
    <t>DOCTORADO</t>
  </si>
  <si>
    <t>EDUCACIÓN NO FORMAL</t>
  </si>
  <si>
    <t>ESPECIALIZACIÓN</t>
  </si>
  <si>
    <t>MAESTRÍA</t>
  </si>
  <si>
    <t>Concurso</t>
  </si>
  <si>
    <t>Conferencia</t>
  </si>
  <si>
    <t>Conversatorio</t>
  </si>
  <si>
    <t>Curso corto</t>
  </si>
  <si>
    <t>Encuentro</t>
  </si>
  <si>
    <t>Evento Internacional</t>
  </si>
  <si>
    <t>Misión Académica</t>
  </si>
  <si>
    <t xml:space="preserve">Nota: Se realizó una actualización metodológica y se calculan los datos históricos. </t>
  </si>
  <si>
    <t>Discapacidad</t>
  </si>
  <si>
    <t>1 Sensorial - Sordera Profunda</t>
  </si>
  <si>
    <t>2 Sensorial - Hipoacusia</t>
  </si>
  <si>
    <t>3 Sensorial - Ceguera</t>
  </si>
  <si>
    <t>4 Sensorial - Baja Visión</t>
  </si>
  <si>
    <t>5 Sensorial - Sordoceguera</t>
  </si>
  <si>
    <t>6 Intelectual</t>
  </si>
  <si>
    <t>7 Psicosocial</t>
  </si>
  <si>
    <t>8 Múltiple</t>
  </si>
  <si>
    <t>9 Física o motora</t>
  </si>
  <si>
    <t>10 sistémica</t>
  </si>
  <si>
    <t>Estudiantes caracterizados PRESENCIAL</t>
  </si>
  <si>
    <t>TOTAL POBLACIONES</t>
  </si>
  <si>
    <t>ESTUDIANTES CARACTERIZADOS</t>
  </si>
  <si>
    <t>Personas Con Discapacidad</t>
  </si>
  <si>
    <t>Víctimas de Conflicto</t>
  </si>
  <si>
    <t>Habitantes de Frontera</t>
  </si>
  <si>
    <t>Personas en tránsito a la vida civil</t>
  </si>
  <si>
    <t>Pertenecientes a grupos étnicos</t>
  </si>
  <si>
    <t>Estudiantes caracterizados VIRTUAL</t>
  </si>
  <si>
    <t>Grupo poblacional</t>
  </si>
  <si>
    <t>Víctimas de conflicto</t>
  </si>
  <si>
    <t>Sesiones</t>
  </si>
  <si>
    <t>Cultura inclusiva y Prácticas pedagógicas</t>
  </si>
  <si>
    <t>CONCEPTO</t>
  </si>
  <si>
    <t>2022 ($)</t>
  </si>
  <si>
    <t>2023 ($)</t>
  </si>
  <si>
    <t>2024 ($)</t>
  </si>
  <si>
    <t>TOTAL ($)</t>
  </si>
  <si>
    <t>FONDO INCLUSION</t>
  </si>
  <si>
    <t>FONDO INCLUSION - LANZAMIENTO BTA</t>
  </si>
  <si>
    <t>FONDO INCLUSION - TIENDA POLI</t>
  </si>
  <si>
    <t>Casos de violencias Basadas en género</t>
  </si>
  <si>
    <t>Técnica profesional</t>
  </si>
  <si>
    <t>Población Estudiantes 2019-2 a 2026-1</t>
  </si>
  <si>
    <t>Metodología</t>
  </si>
  <si>
    <t>Aspirantes</t>
  </si>
  <si>
    <t>Inscritos</t>
  </si>
  <si>
    <t>Admitidos</t>
  </si>
  <si>
    <t>Primíparos</t>
  </si>
  <si>
    <t>Matrícula</t>
  </si>
  <si>
    <t>% Selección</t>
  </si>
  <si>
    <t>% Admisión</t>
  </si>
  <si>
    <t>Técnica Profesional</t>
  </si>
  <si>
    <t>Primiparos</t>
  </si>
  <si>
    <t>Comunidad de estudiantes por modalidad 2019-2 a 2026-1</t>
  </si>
  <si>
    <t>Deserción</t>
  </si>
  <si>
    <t>S1</t>
  </si>
  <si>
    <t>S2</t>
  </si>
  <si>
    <t>S3</t>
  </si>
  <si>
    <t>S4</t>
  </si>
  <si>
    <t>S5</t>
  </si>
  <si>
    <t>S6</t>
  </si>
  <si>
    <t>S7</t>
  </si>
  <si>
    <t>S8</t>
  </si>
  <si>
    <t>S9</t>
  </si>
  <si>
    <t>S10</t>
  </si>
  <si>
    <t>S11</t>
  </si>
  <si>
    <t>S12</t>
  </si>
  <si>
    <t>Pregrado Poli</t>
  </si>
  <si>
    <t>Presencial Bogotá</t>
  </si>
  <si>
    <t>virtual + distancia</t>
  </si>
  <si>
    <t>presencial + bogota</t>
  </si>
  <si>
    <t>Virtual Nacional</t>
  </si>
  <si>
    <t>Nacional Virtual</t>
  </si>
  <si>
    <t>Nacional Presencial</t>
  </si>
  <si>
    <t xml:space="preserve">Presencial </t>
  </si>
  <si>
    <t>Posgrado Poli</t>
  </si>
  <si>
    <t>Nota: Pregrado presencial y virtual: Periodos 2020-2 a 2024-2 fuente SPADIES,(17/09/2026); Periodos 2025-1 a 2026-1 Fuente BI NOVUS tablero de Permanencia POLI. (17/09/2026)</t>
  </si>
  <si>
    <t>Posgrado presencial  y virtual  Fuente BI NOVUS tablero de Permanencia POLI. (17/09/2026)</t>
  </si>
  <si>
    <t>ESTUDIANTES</t>
  </si>
  <si>
    <t>HUELLA_GRANCOLOMBIANA_CONVENIOS</t>
  </si>
  <si>
    <t xml:space="preserve"> MONITORIAS </t>
  </si>
  <si>
    <t xml:space="preserve"> </t>
  </si>
  <si>
    <t>Seguimiento OLE</t>
  </si>
  <si>
    <t>M0</t>
  </si>
  <si>
    <t>Graduados</t>
  </si>
  <si>
    <t>Encuestas</t>
  </si>
  <si>
    <t>% Cumplimiento</t>
  </si>
  <si>
    <t>M1</t>
  </si>
  <si>
    <t>M5</t>
  </si>
  <si>
    <t>Pregrado país</t>
  </si>
  <si>
    <t>Especialización País</t>
  </si>
  <si>
    <t>Especialización Poli</t>
  </si>
  <si>
    <t>Maestría País</t>
  </si>
  <si>
    <t>Maestría Poli</t>
  </si>
  <si>
    <t>1 y 3 SMLV</t>
  </si>
  <si>
    <t>3 y 6 SMLV</t>
  </si>
  <si>
    <t>6 y 9 SMLV</t>
  </si>
  <si>
    <t>Más de 9 SMLV</t>
  </si>
  <si>
    <t>Posgrado País</t>
  </si>
  <si>
    <t>Part %</t>
  </si>
  <si>
    <t>Sector CIIU</t>
  </si>
  <si>
    <t>Actividades profesionales, científicas y técnicas</t>
  </si>
  <si>
    <t>Sin información</t>
  </si>
  <si>
    <t>Actividades de servicios administrativos y de apoyo</t>
  </si>
  <si>
    <t>Actividades financieras y de seguros</t>
  </si>
  <si>
    <t>Administración pública y defensa; planes de seguridad social de afiliación obligatoria</t>
  </si>
  <si>
    <t>Comercio al por mayor y al por menor; reparación de vehículos automotores y motocicletas</t>
  </si>
  <si>
    <t>Industrias manufactureras</t>
  </si>
  <si>
    <t>Información y comunicaciones</t>
  </si>
  <si>
    <t>Otras actividades de servicios</t>
  </si>
  <si>
    <t>Construcción</t>
  </si>
  <si>
    <t>Educación</t>
  </si>
  <si>
    <t>Transporte y almacenamiento</t>
  </si>
  <si>
    <t>Actividades artísticas, de entretenimiento y recreación</t>
  </si>
  <si>
    <t>Actividades de atención de la salud humana y de asistencia social</t>
  </si>
  <si>
    <t>Actividades inmobiliarias</t>
  </si>
  <si>
    <t>Agricultura, ganadería, caza, silvicultura y pesca</t>
  </si>
  <si>
    <t>Alojamiento y servicios de comida</t>
  </si>
  <si>
    <t>Explotación de minas y canteras</t>
  </si>
  <si>
    <t>Suministro de electricidad, gas, vapor y aire acondicionado</t>
  </si>
  <si>
    <t>Actividades de los hogares individuales en calidad de empleadores; actividades no diferenciadas de los hogares individuales como productores de bienes y servicios para uso propio</t>
  </si>
  <si>
    <t>Actividades de organizaciones y entidades extraterritoriales</t>
  </si>
  <si>
    <t>Distribución de agua; evacuación y tratamiento de aguas residuales, gestión de desechos y actividades de saneamiento ambiental</t>
  </si>
  <si>
    <t>Nivel relación Trabajo vs formación</t>
  </si>
  <si>
    <t>Directamente Relacionado</t>
  </si>
  <si>
    <t>Indirectamente Relacionado</t>
  </si>
  <si>
    <t>Nada Relacionado</t>
  </si>
  <si>
    <t>No responde</t>
  </si>
  <si>
    <t>Encuestados</t>
  </si>
  <si>
    <t xml:space="preserve"> Total, general </t>
  </si>
  <si>
    <t>EDUCACIÓN CONTINUA</t>
  </si>
  <si>
    <t>GRADUADOS Y PROGRAMAS</t>
  </si>
  <si>
    <t>CAPACITACIÓN</t>
  </si>
  <si>
    <t>CHARLA</t>
  </si>
  <si>
    <t>CONFERENCIA</t>
  </si>
  <si>
    <t>CONGRESO</t>
  </si>
  <si>
    <t>CONVERSATORIO</t>
  </si>
  <si>
    <t>CURSO</t>
  </si>
  <si>
    <t>ENCUENTRO</t>
  </si>
  <si>
    <t>FORO</t>
  </si>
  <si>
    <t>SEMINARIO</t>
  </si>
  <si>
    <t>SIMPOSIO</t>
  </si>
  <si>
    <t>TOTAL GENERAL</t>
  </si>
  <si>
    <t>Satisfacción</t>
  </si>
  <si>
    <t>Muy Satisfecho</t>
  </si>
  <si>
    <t>Satisfecho</t>
  </si>
  <si>
    <t>Indiferente</t>
  </si>
  <si>
    <t>Insatisfecho</t>
  </si>
  <si>
    <t>Muy Insatisfecho</t>
  </si>
  <si>
    <t>Graduado Pregrado</t>
  </si>
  <si>
    <t>Tipo de participación</t>
  </si>
  <si>
    <t>Proyectos de investigación</t>
  </si>
  <si>
    <t>Eventos de investigación</t>
  </si>
  <si>
    <t>Período académico</t>
  </si>
  <si>
    <t># de Participantes</t>
  </si>
  <si>
    <t>Indicadores institucionales por tipología</t>
  </si>
  <si>
    <t>Proceso</t>
  </si>
  <si>
    <t>Estratégicos</t>
  </si>
  <si>
    <t>Gestión</t>
  </si>
  <si>
    <t xml:space="preserve">Auditoría interna </t>
  </si>
  <si>
    <t>Autoevaluación y autoregulación</t>
  </si>
  <si>
    <t xml:space="preserve">Bienestar institucional </t>
  </si>
  <si>
    <t>Comunicación y posicionamiento estratégico</t>
  </si>
  <si>
    <t>Datos y analítica</t>
  </si>
  <si>
    <t>Direccionamiento estratégico</t>
  </si>
  <si>
    <t>Experiencia institucional</t>
  </si>
  <si>
    <t>Gestión ambiental</t>
  </si>
  <si>
    <t>Gestión de abastecimiento</t>
  </si>
  <si>
    <t>Gestión de la tecnología e innovación digital</t>
  </si>
  <si>
    <t>Gestión de portafolio institucional</t>
  </si>
  <si>
    <t>Gestión de riesgos</t>
  </si>
  <si>
    <t>Gestión de seguridad y salud en el trabajo</t>
  </si>
  <si>
    <t>Gestión financiera</t>
  </si>
  <si>
    <t>Gestión jurídica y normativa</t>
  </si>
  <si>
    <t>Gestión y desarrollo del talento humano</t>
  </si>
  <si>
    <t>Infraestructura y servicios administrativos</t>
  </si>
  <si>
    <t xml:space="preserve">Investigación, innovación y creación </t>
  </si>
  <si>
    <t>Mercadeo, admisiones  y matrícula</t>
  </si>
  <si>
    <t>Planificación  y mejora del sistema integrado</t>
  </si>
  <si>
    <t>Recursos académicos y de investigación</t>
  </si>
  <si>
    <t>Visibilidad nacional e internacional</t>
  </si>
  <si>
    <t>Corte: Agosto 2025</t>
  </si>
  <si>
    <t>Aulas Abiertas de Investigación (AAI)</t>
  </si>
  <si>
    <t>Trabajo de Grado Investigación (TGI)</t>
  </si>
  <si>
    <t>MOOC de Investigación</t>
  </si>
  <si>
    <t xml:space="preserve"> Semilleristas</t>
  </si>
  <si>
    <t>Asistentes de Investigación</t>
  </si>
  <si>
    <t>Jóvenes Investigadores</t>
  </si>
  <si>
    <t>Programa Delfín</t>
  </si>
  <si>
    <t>Hablemos de Investigación En Región</t>
  </si>
  <si>
    <t>Actividades de investigación desarrolladas por escuelas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</si>
</sst>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6" formatCode="&quot;$&quot;\ #,##0;[Red]\-&quot;$&quot;\ #,##0"/>
    <numFmt numFmtId="8" formatCode="&quot;$&quot;\ #,##0.00;[Red]\-&quot;$&quot;\ #,##0.00"/>
    <numFmt numFmtId="43" formatCode="_-* #,##0.00_-;\-* #,##0.00_-;_-* &quot;-&quot;??_-;_-@_-"/>
    <numFmt numFmtId="164" formatCode="0.0"/>
    <numFmt numFmtId="165" formatCode="0.0%"/>
    <numFmt numFmtId="166" formatCode="_-* #,##0_-;\-* #,##0_-;_-* &quot;-&quot;??_-;_-@_-"/>
  </numFmts>
  <fonts count="101"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0"/>
      <name val="Arial"/>
      <family val="2"/>
    </font>
    <font>
      <b/>
      <sz val="8"/>
      <color rgb="FFFFFFFF"/>
      <name val="Arial"/>
      <family val="2"/>
    </font>
    <font>
      <sz val="8"/>
      <color rgb="FF000000"/>
      <name val="Arial"/>
      <family val="2"/>
    </font>
    <font>
      <b/>
      <sz val="8"/>
      <color rgb="FF000000"/>
      <name val="Arial"/>
      <family val="2"/>
    </font>
    <font>
      <b/>
      <sz val="10"/>
      <color rgb="FF000000"/>
      <name val="Arial"/>
      <family val="2"/>
    </font>
    <font>
      <sz val="9"/>
      <color rgb="FF000000"/>
      <name val="Calibri"/>
      <family val="2"/>
    </font>
    <font>
      <sz val="9"/>
      <color rgb="FF000000"/>
      <name val="Arial"/>
      <family val="2"/>
    </font>
    <font>
      <b/>
      <sz val="9"/>
      <color rgb="FF000000"/>
      <name val="Calibri"/>
      <family val="2"/>
    </font>
    <font>
      <b/>
      <sz val="9"/>
      <color rgb="FFFFFFFF"/>
      <name val="Arial"/>
      <family val="2"/>
    </font>
    <font>
      <sz val="10"/>
      <color rgb="FF000000"/>
      <name val="Arial"/>
      <family val="2"/>
    </font>
    <font>
      <b/>
      <sz val="10"/>
      <color rgb="FFFFFFFF"/>
      <name val="Arial"/>
      <family val="2"/>
    </font>
    <font>
      <b/>
      <sz val="11"/>
      <color rgb="FFFFFFFF"/>
      <name val="Calibri"/>
      <family val="2"/>
    </font>
    <font>
      <sz val="11"/>
      <color rgb="FF000000"/>
      <name val="Calibri"/>
      <family val="2"/>
    </font>
    <font>
      <b/>
      <sz val="11"/>
      <color rgb="FF000000"/>
      <name val="Calibri"/>
      <family val="2"/>
    </font>
    <font>
      <sz val="7"/>
      <color theme="1"/>
      <name val="Segoe UI"/>
      <family val="2"/>
    </font>
    <font>
      <b/>
      <sz val="11"/>
      <color theme="1"/>
      <name val="Segoe UI"/>
      <family val="2"/>
    </font>
    <font>
      <sz val="11"/>
      <color theme="1"/>
      <name val="Segoe UI"/>
      <family val="2"/>
    </font>
    <font>
      <b/>
      <sz val="10"/>
      <color rgb="FFFFFFFF"/>
      <name val="Open Sans"/>
      <family val="2"/>
    </font>
    <font>
      <sz val="10"/>
      <color rgb="FF000000"/>
      <name val="Open Sans"/>
      <family val="2"/>
    </font>
    <font>
      <b/>
      <sz val="10"/>
      <color rgb="FF000000"/>
      <name val="Open Sans"/>
      <family val="2"/>
    </font>
    <font>
      <sz val="8"/>
      <color rgb="FF000000"/>
      <name val="Open Sans"/>
      <family val="2"/>
    </font>
    <font>
      <u/>
      <sz val="11"/>
      <color theme="10"/>
      <name val="Calibri"/>
      <family val="2"/>
      <scheme val="minor"/>
    </font>
    <font>
      <sz val="10"/>
      <color rgb="FF000000"/>
      <name val="Calibri"/>
      <family val="2"/>
    </font>
    <font>
      <b/>
      <sz val="9"/>
      <color rgb="FFFFFFFF"/>
      <name val="Open Sans"/>
      <family val="2"/>
    </font>
    <font>
      <b/>
      <sz val="9"/>
      <color rgb="FF000000"/>
      <name val="Open Sans"/>
      <family val="2"/>
    </font>
    <font>
      <sz val="9"/>
      <color rgb="FF000000"/>
      <name val="Open Sans"/>
      <family val="2"/>
    </font>
    <font>
      <b/>
      <sz val="11"/>
      <color theme="0"/>
      <name val="Segoe UI"/>
      <family val="2"/>
    </font>
    <font>
      <sz val="8"/>
      <name val="Calibri"/>
      <family val="2"/>
      <scheme val="minor"/>
    </font>
    <font>
      <sz val="11"/>
      <name val="Calibri"/>
      <family val="2"/>
      <scheme val="minor"/>
    </font>
    <font>
      <b/>
      <sz val="8"/>
      <color rgb="FFFFFFFF"/>
      <name val="Open Sans"/>
      <family val="2"/>
    </font>
    <font>
      <b/>
      <sz val="8"/>
      <color rgb="FF000000"/>
      <name val="Open Sans"/>
      <family val="2"/>
    </font>
    <font>
      <b/>
      <sz val="7"/>
      <color rgb="FFFFFFFF"/>
      <name val="Open Sans"/>
      <family val="2"/>
    </font>
    <font>
      <sz val="7"/>
      <color rgb="FF000000"/>
      <name val="Open Sans"/>
      <family val="2"/>
    </font>
    <font>
      <sz val="9"/>
      <color rgb="FFFFFFFF"/>
      <name val="Open Sans"/>
      <family val="2"/>
    </font>
    <font>
      <sz val="10"/>
      <color rgb="FFE7E6E6"/>
      <name val="Open Sans"/>
      <family val="2"/>
    </font>
    <font>
      <sz val="10"/>
      <color rgb="FFFFFFFF"/>
      <name val="Open Sans"/>
      <family val="2"/>
    </font>
    <font>
      <sz val="10"/>
      <color rgb="FFFFFFFF"/>
      <name val="Arial"/>
      <family val="2"/>
    </font>
    <font>
      <b/>
      <sz val="9"/>
      <color rgb="FF0070C0"/>
      <name val="Open Sans"/>
      <family val="2"/>
    </font>
    <font>
      <sz val="7"/>
      <color rgb="FF000000"/>
      <name val="Times New Roman"/>
      <family val="1"/>
    </font>
    <font>
      <b/>
      <sz val="10"/>
      <color rgb="FFFFFFFF"/>
      <name val="Segoe UI"/>
      <family val="2"/>
    </font>
    <font>
      <sz val="9"/>
      <name val="Symbol"/>
      <family val="1"/>
      <charset val="2"/>
    </font>
    <font>
      <sz val="7"/>
      <name val="Times New Roman"/>
      <family val="1"/>
    </font>
    <font>
      <sz val="9"/>
      <name val="Open Sans"/>
      <family val="2"/>
    </font>
    <font>
      <sz val="9"/>
      <color rgb="FF000000"/>
      <name val="Symbol"/>
      <family val="1"/>
      <charset val="2"/>
    </font>
    <font>
      <b/>
      <sz val="9"/>
      <color rgb="FF0F385A"/>
      <name val="Open Sans"/>
      <family val="2"/>
    </font>
    <font>
      <sz val="8"/>
      <color rgb="FFFFFFFF"/>
      <name val="Open Sans"/>
      <family val="2"/>
    </font>
    <font>
      <b/>
      <sz val="7"/>
      <color rgb="FF000000"/>
      <name val="Open Sans"/>
      <family val="2"/>
    </font>
    <font>
      <sz val="11"/>
      <color rgb="FF000000"/>
      <name val="Arial"/>
      <family val="2"/>
    </font>
    <font>
      <b/>
      <sz val="9"/>
      <color rgb="FF000000"/>
      <name val="Arial"/>
      <family val="2"/>
    </font>
    <font>
      <sz val="11"/>
      <color rgb="FF000000"/>
      <name val="Open Sans"/>
      <family val="2"/>
    </font>
    <font>
      <b/>
      <sz val="7"/>
      <color rgb="FFFFFFFF"/>
      <name val="Calibri"/>
      <family val="2"/>
    </font>
    <font>
      <sz val="7"/>
      <color rgb="FF000000"/>
      <name val="Calibri"/>
      <family val="2"/>
    </font>
    <font>
      <b/>
      <sz val="7"/>
      <color rgb="FF000000"/>
      <name val="Calibri"/>
      <family val="2"/>
    </font>
    <font>
      <b/>
      <sz val="9"/>
      <color rgb="FFFFFFFF"/>
      <name val="Calibri"/>
      <family val="2"/>
    </font>
    <font>
      <b/>
      <sz val="10"/>
      <color rgb="FF000000"/>
      <name val="Calibri"/>
      <family val="2"/>
    </font>
    <font>
      <b/>
      <sz val="6"/>
      <color rgb="FF000000"/>
      <name val="Open Sans"/>
      <family val="2"/>
    </font>
    <font>
      <sz val="7.5"/>
      <color rgb="FF000000"/>
      <name val="Open Sans"/>
      <family val="2"/>
    </font>
    <font>
      <b/>
      <sz val="10"/>
      <color rgb="FFFFFFFF"/>
      <name val="Calibri"/>
      <family val="2"/>
    </font>
    <font>
      <sz val="11"/>
      <color theme="0"/>
      <name val="Calibri"/>
      <family val="2"/>
      <scheme val="minor"/>
    </font>
    <font>
      <b/>
      <sz val="11"/>
      <name val="Segoe UI"/>
      <family val="2"/>
    </font>
    <font>
      <b/>
      <sz val="11"/>
      <name val="Calibri"/>
      <family val="2"/>
      <scheme val="minor"/>
    </font>
    <font>
      <sz val="10"/>
      <name val="Open Sans"/>
      <family val="2"/>
    </font>
    <font>
      <sz val="11"/>
      <color theme="1"/>
      <name val="Aptos"/>
      <family val="2"/>
      <charset val="1"/>
    </font>
    <font>
      <sz val="11"/>
      <name val="Calibri"/>
      <family val="2"/>
    </font>
    <font>
      <b/>
      <sz val="10"/>
      <color rgb="FF002060"/>
      <name val="Open Sans"/>
      <family val="2"/>
    </font>
    <font>
      <b/>
      <sz val="11"/>
      <color rgb="FFFFFFFF"/>
      <name val="Calibri"/>
      <family val="2"/>
      <scheme val="minor"/>
    </font>
    <font>
      <sz val="11"/>
      <color rgb="FF000000"/>
      <name val="Calibri"/>
      <family val="2"/>
      <scheme val="minor"/>
    </font>
    <font>
      <sz val="11"/>
      <color rgb="FF000000"/>
      <name val="Segoe UI"/>
      <family val="2"/>
    </font>
    <font>
      <sz val="11"/>
      <color theme="1"/>
      <name val="Aptos"/>
      <family val="2"/>
    </font>
    <font>
      <sz val="7"/>
      <name val="Open Sans"/>
      <family val="2"/>
    </font>
    <font>
      <sz val="11"/>
      <color theme="1"/>
      <name val="Open Sans"/>
      <family val="2"/>
    </font>
    <font>
      <sz val="8"/>
      <color rgb="FF000000"/>
      <name val="Calibri"/>
      <family val="2"/>
      <scheme val="minor"/>
    </font>
    <font>
      <sz val="10"/>
      <color rgb="FF000000"/>
      <name val="Calibri"/>
      <family val="2"/>
      <scheme val="minor"/>
    </font>
    <font>
      <sz val="10"/>
      <color theme="1"/>
      <name val="Calibri"/>
      <family val="2"/>
      <scheme val="minor"/>
    </font>
    <font>
      <b/>
      <sz val="10"/>
      <color rgb="FF000000"/>
      <name val="Calibri"/>
      <family val="2"/>
      <scheme val="minor"/>
    </font>
    <font>
      <b/>
      <sz val="8"/>
      <color rgb="FF000000"/>
      <name val="Calibri"/>
      <family val="2"/>
      <scheme val="minor"/>
    </font>
    <font>
      <b/>
      <sz val="11"/>
      <color rgb="FF000000"/>
      <name val="Calibri"/>
      <family val="2"/>
      <scheme val="minor"/>
    </font>
    <font>
      <sz val="7"/>
      <color rgb="FF656565"/>
      <name val="Source Sans Pro"/>
      <family val="2"/>
    </font>
    <font>
      <u/>
      <sz val="11"/>
      <color theme="10"/>
      <name val="Calibri"/>
      <family val="2"/>
    </font>
    <font>
      <sz val="8"/>
      <color rgb="FF000000"/>
      <name val="Open Sans"/>
      <family val="1"/>
    </font>
    <font>
      <b/>
      <sz val="11"/>
      <color theme="0"/>
      <name val="Calibri"/>
      <family val="2"/>
    </font>
    <font>
      <b/>
      <sz val="8"/>
      <color rgb="FF000000"/>
      <name val="Calibri"/>
      <family val="2"/>
    </font>
    <font>
      <sz val="8"/>
      <color rgb="FF000000"/>
      <name val="Calibri"/>
      <family val="2"/>
    </font>
    <font>
      <b/>
      <sz val="9"/>
      <color rgb="FFFFFFFF"/>
      <name val="Aptos Display"/>
      <family val="2"/>
    </font>
    <font>
      <b/>
      <sz val="9"/>
      <color rgb="FF000000"/>
      <name val="Aptos Display"/>
      <family val="2"/>
    </font>
    <font>
      <sz val="9"/>
      <color rgb="FF000000"/>
      <name val="Aptos Display"/>
      <family val="2"/>
    </font>
    <font>
      <sz val="11"/>
      <color rgb="FF000000"/>
      <name val="Aptos Narrow"/>
      <family val="2"/>
    </font>
    <font>
      <i/>
      <sz val="11"/>
      <color theme="1"/>
      <name val="Calibri"/>
      <family val="2"/>
      <scheme val="minor"/>
    </font>
    <font>
      <sz val="11"/>
      <color rgb="FFFFFFFF"/>
      <name val="Calibri"/>
      <family val="2"/>
    </font>
    <font>
      <sz val="8"/>
      <color theme="1"/>
      <name val="Calibri"/>
      <family val="2"/>
      <scheme val="minor"/>
    </font>
    <font>
      <sz val="9"/>
      <color theme="4"/>
      <name val="Open Sans"/>
      <family val="2"/>
    </font>
    <font>
      <sz val="11"/>
      <color rgb="FFFF0000"/>
      <name val="Calibri"/>
      <family val="2"/>
      <scheme val="minor"/>
    </font>
    <font>
      <sz val="9"/>
      <color theme="4" tint="-0.249977111117893"/>
      <name val="Open Sans"/>
      <family val="2"/>
    </font>
    <font>
      <b/>
      <sz val="8"/>
      <color theme="4" tint="-0.249977111117893"/>
      <name val="Open Sans"/>
      <family val="2"/>
    </font>
    <font>
      <b/>
      <sz val="10"/>
      <color rgb="FFFFFFFF"/>
      <name val="Calibri"/>
      <family val="2"/>
      <scheme val="minor"/>
    </font>
    <font>
      <sz val="11"/>
      <color rgb="FF000000"/>
      <name val="Aptos Narrow"/>
      <family val="2"/>
      <charset val="1"/>
    </font>
    <font>
      <b/>
      <sz val="11"/>
      <color theme="0"/>
      <name val="Aptos Narrow"/>
      <family val="2"/>
      <charset val="1"/>
    </font>
  </fonts>
  <fills count="37">
    <fill>
      <patternFill patternType="none"/>
    </fill>
    <fill>
      <patternFill patternType="gray125"/>
    </fill>
    <fill>
      <patternFill patternType="solid">
        <fgColor rgb="FF0F385A"/>
        <bgColor indexed="64"/>
      </patternFill>
    </fill>
    <fill>
      <patternFill patternType="solid">
        <fgColor rgb="FFF2F2F2"/>
        <bgColor indexed="64"/>
      </patternFill>
    </fill>
    <fill>
      <patternFill patternType="solid">
        <fgColor rgb="FF0B3040"/>
        <bgColor indexed="64"/>
      </patternFill>
    </fill>
    <fill>
      <patternFill patternType="solid">
        <fgColor rgb="FFFFFF00"/>
        <bgColor indexed="64"/>
      </patternFill>
    </fill>
    <fill>
      <patternFill patternType="solid">
        <fgColor rgb="FF0F375A"/>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D0D0D0"/>
        <bgColor indexed="64"/>
      </patternFill>
    </fill>
    <fill>
      <patternFill patternType="solid">
        <fgColor rgb="FF153D64"/>
        <bgColor indexed="64"/>
      </patternFill>
    </fill>
    <fill>
      <patternFill patternType="solid">
        <fgColor rgb="FFD9D9D9"/>
        <bgColor indexed="64"/>
      </patternFill>
    </fill>
    <fill>
      <patternFill patternType="solid">
        <fgColor rgb="FFBFBFBF"/>
        <bgColor indexed="64"/>
      </patternFill>
    </fill>
    <fill>
      <patternFill patternType="solid">
        <fgColor rgb="FF1F3864"/>
        <bgColor indexed="64"/>
      </patternFill>
    </fill>
    <fill>
      <patternFill patternType="solid">
        <fgColor rgb="FFD0CECE"/>
        <bgColor indexed="64"/>
      </patternFill>
    </fill>
    <fill>
      <patternFill patternType="solid">
        <fgColor theme="2" tint="-9.9978637043366805E-2"/>
        <bgColor indexed="64"/>
      </patternFill>
    </fill>
    <fill>
      <patternFill patternType="solid">
        <fgColor rgb="FF0E385A"/>
        <bgColor indexed="64"/>
      </patternFill>
    </fill>
    <fill>
      <patternFill patternType="solid">
        <fgColor rgb="FFF1F1F1"/>
        <bgColor indexed="64"/>
      </patternFill>
    </fill>
    <fill>
      <patternFill patternType="solid">
        <fgColor rgb="FF50637D"/>
        <bgColor indexed="64"/>
      </patternFill>
    </fill>
    <fill>
      <patternFill patternType="solid">
        <fgColor rgb="FFD1D1D1"/>
        <bgColor indexed="64"/>
      </patternFill>
    </fill>
    <fill>
      <patternFill patternType="solid">
        <fgColor theme="9" tint="0.59999389629810485"/>
        <bgColor indexed="64"/>
      </patternFill>
    </fill>
    <fill>
      <patternFill patternType="solid">
        <fgColor rgb="FF002060"/>
        <bgColor indexed="64"/>
      </patternFill>
    </fill>
    <fill>
      <patternFill patternType="solid">
        <fgColor rgb="FFF2F2F2"/>
        <bgColor rgb="FF000000"/>
      </patternFill>
    </fill>
    <fill>
      <patternFill patternType="solid">
        <fgColor rgb="FFFFFFFF"/>
        <bgColor rgb="FF000000"/>
      </patternFill>
    </fill>
    <fill>
      <patternFill patternType="solid">
        <fgColor rgb="FFD0CECE"/>
        <bgColor rgb="FF000000"/>
      </patternFill>
    </fill>
    <fill>
      <patternFill patternType="solid">
        <fgColor rgb="FFFAFBFC"/>
        <bgColor indexed="64"/>
      </patternFill>
    </fill>
    <fill>
      <patternFill patternType="solid">
        <fgColor rgb="FF0F375A"/>
        <bgColor rgb="FF000000"/>
      </patternFill>
    </fill>
    <fill>
      <patternFill patternType="solid">
        <fgColor theme="9"/>
        <bgColor indexed="64"/>
      </patternFill>
    </fill>
    <fill>
      <patternFill patternType="solid">
        <fgColor rgb="FF002060"/>
        <bgColor rgb="FF000000"/>
      </patternFill>
    </fill>
    <fill>
      <patternFill patternType="solid">
        <fgColor theme="4" tint="0.79998168889431442"/>
        <bgColor indexed="64"/>
      </patternFill>
    </fill>
    <fill>
      <patternFill patternType="solid">
        <fgColor theme="5" tint="0.59999389629810485"/>
        <bgColor indexed="64"/>
      </patternFill>
    </fill>
    <fill>
      <patternFill patternType="solid">
        <fgColor rgb="FF00B0F0"/>
        <bgColor indexed="64"/>
      </patternFill>
    </fill>
    <fill>
      <patternFill patternType="solid">
        <fgColor rgb="FF0070C0"/>
        <bgColor indexed="64"/>
      </patternFill>
    </fill>
    <fill>
      <patternFill patternType="solid">
        <fgColor theme="4" tint="0.59999389629810485"/>
        <bgColor indexed="64"/>
      </patternFill>
    </fill>
    <fill>
      <patternFill patternType="solid">
        <fgColor rgb="FFFFC000"/>
        <bgColor indexed="64"/>
      </patternFill>
    </fill>
    <fill>
      <patternFill patternType="solid">
        <fgColor rgb="FFFFC000"/>
        <bgColor rgb="FF000000"/>
      </patternFill>
    </fill>
    <fill>
      <patternFill patternType="solid">
        <fgColor theme="8" tint="-0.499984740745262"/>
        <bgColor indexed="64"/>
      </patternFill>
    </fill>
  </fills>
  <borders count="85">
    <border>
      <left/>
      <right/>
      <top/>
      <bottom/>
      <diagonal/>
    </border>
    <border>
      <left/>
      <right style="thin">
        <color theme="4" tint="-0.499984740745262"/>
      </right>
      <top/>
      <bottom style="thin">
        <color theme="4" tint="-0.499984740745262"/>
      </bottom>
      <diagonal/>
    </border>
    <border>
      <left/>
      <right style="thin">
        <color theme="4" tint="-0.499984740745262"/>
      </right>
      <top style="thin">
        <color theme="4" tint="-0.499984740745262"/>
      </top>
      <bottom style="thin">
        <color theme="4" tint="-0.499984740745262"/>
      </bottom>
      <diagonal/>
    </border>
    <border>
      <left style="thin">
        <color theme="4" tint="-0.499984740745262"/>
      </left>
      <right style="thin">
        <color theme="4" tint="-0.499984740745262"/>
      </right>
      <top style="thin">
        <color theme="4" tint="-0.499984740745262"/>
      </top>
      <bottom/>
      <diagonal/>
    </border>
    <border>
      <left/>
      <right/>
      <top/>
      <bottom style="medium">
        <color indexed="64"/>
      </bottom>
      <diagonal/>
    </border>
    <border>
      <left/>
      <right/>
      <top style="medium">
        <color indexed="64"/>
      </top>
      <bottom/>
      <diagonal/>
    </border>
    <border>
      <left/>
      <right style="medium">
        <color indexed="64"/>
      </right>
      <top/>
      <bottom style="medium">
        <color indexed="64"/>
      </bottom>
      <diagonal/>
    </border>
    <border>
      <left/>
      <right style="medium">
        <color indexed="64"/>
      </right>
      <top/>
      <bottom/>
      <diagonal/>
    </border>
    <border>
      <left style="medium">
        <color indexed="64"/>
      </left>
      <right/>
      <top/>
      <bottom style="medium">
        <color indexed="64"/>
      </bottom>
      <diagonal/>
    </border>
    <border>
      <left style="medium">
        <color indexed="64"/>
      </left>
      <right/>
      <top/>
      <bottom/>
      <diagonal/>
    </border>
    <border>
      <left/>
      <right style="medium">
        <color indexed="64"/>
      </right>
      <top style="medium">
        <color indexed="64"/>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rgb="FF5B9BD5"/>
      </left>
      <right/>
      <top style="medium">
        <color indexed="64"/>
      </top>
      <bottom style="medium">
        <color indexed="64"/>
      </bottom>
      <diagonal/>
    </border>
    <border>
      <left/>
      <right style="medium">
        <color rgb="FF5B9BD5"/>
      </right>
      <top style="medium">
        <color indexed="64"/>
      </top>
      <bottom style="medium">
        <color indexed="64"/>
      </bottom>
      <diagonal/>
    </border>
    <border>
      <left/>
      <right/>
      <top style="medium">
        <color rgb="FF000000"/>
      </top>
      <bottom style="medium">
        <color rgb="FF000000"/>
      </bottom>
      <diagonal/>
    </border>
    <border>
      <left/>
      <right/>
      <top/>
      <bottom style="medium">
        <color rgb="FF000000"/>
      </bottom>
      <diagonal/>
    </border>
    <border>
      <left/>
      <right/>
      <top/>
      <bottom style="double">
        <color indexed="64"/>
      </bottom>
      <diagonal/>
    </border>
    <border>
      <left/>
      <right/>
      <top style="medium">
        <color rgb="FF666666"/>
      </top>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top/>
      <bottom/>
      <diagonal/>
    </border>
    <border>
      <left/>
      <right style="thin">
        <color rgb="FF000000"/>
      </right>
      <top/>
      <bottom style="medium">
        <color indexed="64"/>
      </bottom>
      <diagonal/>
    </border>
    <border>
      <left style="thin">
        <color rgb="FF000000"/>
      </left>
      <right/>
      <top style="medium">
        <color indexed="64"/>
      </top>
      <bottom/>
      <diagonal/>
    </border>
    <border>
      <left style="thin">
        <color rgb="FF000000"/>
      </left>
      <right/>
      <top/>
      <bottom style="thin">
        <color rgb="FF000000"/>
      </bottom>
      <diagonal/>
    </border>
    <border>
      <left/>
      <right/>
      <top/>
      <bottom style="thin">
        <color rgb="FF000000"/>
      </bottom>
      <diagonal/>
    </border>
    <border>
      <left style="thin">
        <color rgb="FF000000"/>
      </left>
      <right/>
      <top/>
      <bottom style="medium">
        <color indexed="64"/>
      </bottom>
      <diagonal/>
    </border>
    <border>
      <left/>
      <right/>
      <top/>
      <bottom style="medium">
        <color rgb="FF44B3E1"/>
      </bottom>
      <diagonal/>
    </border>
    <border>
      <left/>
      <right/>
      <top style="thick">
        <color rgb="FF0F385A"/>
      </top>
      <bottom/>
      <diagonal/>
    </border>
    <border>
      <left/>
      <right/>
      <top style="thick">
        <color rgb="FF0F385A"/>
      </top>
      <bottom style="medium">
        <color rgb="FF000000"/>
      </bottom>
      <diagonal/>
    </border>
    <border>
      <left/>
      <right/>
      <top style="medium">
        <color rgb="FFA6A6A6"/>
      </top>
      <bottom style="medium">
        <color rgb="FFA6A6A6"/>
      </bottom>
      <diagonal/>
    </border>
    <border>
      <left/>
      <right/>
      <top/>
      <bottom style="medium">
        <color rgb="FFA6A6A6"/>
      </bottom>
      <diagonal/>
    </border>
    <border>
      <left/>
      <right/>
      <top style="medium">
        <color rgb="FFA6A6A6"/>
      </top>
      <bottom/>
      <diagonal/>
    </border>
    <border>
      <left/>
      <right/>
      <top style="medium">
        <color rgb="FF1F4E78"/>
      </top>
      <bottom style="medium">
        <color indexed="64"/>
      </bottom>
      <diagonal/>
    </border>
    <border>
      <left/>
      <right/>
      <top style="medium">
        <color rgb="FF1F4E78"/>
      </top>
      <bottom/>
      <diagonal/>
    </border>
    <border>
      <left/>
      <right/>
      <top style="medium">
        <color rgb="FF1F4E78"/>
      </top>
      <bottom style="medium">
        <color rgb="FF1F4E78"/>
      </bottom>
      <diagonal/>
    </border>
    <border>
      <left/>
      <right/>
      <top style="medium">
        <color rgb="FF000000"/>
      </top>
      <bottom/>
      <diagonal/>
    </border>
    <border>
      <left/>
      <right/>
      <top style="medium">
        <color indexed="64"/>
      </top>
      <bottom style="medium">
        <color rgb="FF000000"/>
      </bottom>
      <diagonal/>
    </border>
    <border>
      <left style="medium">
        <color indexed="64"/>
      </left>
      <right style="medium">
        <color indexed="64"/>
      </right>
      <top style="medium">
        <color indexed="64"/>
      </top>
      <bottom/>
      <diagonal/>
    </border>
    <border>
      <left/>
      <right/>
      <top style="medium">
        <color rgb="FFA6A6A6"/>
      </top>
      <bottom style="medium">
        <color indexed="64"/>
      </bottom>
      <diagonal/>
    </border>
    <border>
      <left style="medium">
        <color rgb="FFBFBFBF"/>
      </left>
      <right/>
      <top style="medium">
        <color rgb="FFBFBFBF"/>
      </top>
      <bottom style="medium">
        <color indexed="64"/>
      </bottom>
      <diagonal/>
    </border>
    <border>
      <left/>
      <right/>
      <top style="medium">
        <color rgb="FFBFBFBF"/>
      </top>
      <bottom style="medium">
        <color indexed="64"/>
      </bottom>
      <diagonal/>
    </border>
    <border>
      <left/>
      <right style="medium">
        <color rgb="FFBFBFBF"/>
      </right>
      <top/>
      <bottom style="medium">
        <color indexed="64"/>
      </bottom>
      <diagonal/>
    </border>
    <border>
      <left style="medium">
        <color indexed="64"/>
      </left>
      <right/>
      <top style="medium">
        <color indexed="64"/>
      </top>
      <bottom style="medium">
        <color rgb="FF808080"/>
      </bottom>
      <diagonal/>
    </border>
    <border>
      <left/>
      <right style="medium">
        <color indexed="64"/>
      </right>
      <top style="medium">
        <color indexed="64"/>
      </top>
      <bottom style="medium">
        <color rgb="FF808080"/>
      </bottom>
      <diagonal/>
    </border>
    <border>
      <left/>
      <right/>
      <top/>
      <bottom style="medium">
        <color rgb="FF808080"/>
      </bottom>
      <diagonal/>
    </border>
    <border>
      <left style="medium">
        <color rgb="FF1F4E78"/>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right style="thin">
        <color theme="4" tint="-0.499984740745262"/>
      </right>
      <top style="thin">
        <color theme="4" tint="-0.499984740745262"/>
      </top>
      <bottom/>
      <diagonal/>
    </border>
    <border>
      <left style="thin">
        <color indexed="64"/>
      </left>
      <right style="thin">
        <color indexed="64"/>
      </right>
      <top/>
      <bottom/>
      <diagonal/>
    </border>
    <border>
      <left style="thin">
        <color theme="4" tint="-0.499984740745262"/>
      </left>
      <right style="thin">
        <color indexed="64"/>
      </right>
      <top style="thin">
        <color theme="4" tint="-0.499984740745262"/>
      </top>
      <bottom style="thin">
        <color indexed="64"/>
      </bottom>
      <diagonal/>
    </border>
    <border>
      <left style="thin">
        <color theme="4" tint="-0.499984740745262"/>
      </left>
      <right style="thin">
        <color theme="4" tint="-0.499984740745262"/>
      </right>
      <top style="thin">
        <color theme="4" tint="-0.499984740745262"/>
      </top>
      <bottom style="thin">
        <color theme="4" tint="-0.499984740745262"/>
      </bottom>
      <diagonal/>
    </border>
    <border>
      <left/>
      <right/>
      <top style="medium">
        <color rgb="FF666666"/>
      </top>
      <bottom style="medium">
        <color indexed="64"/>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s>
  <cellStyleXfs count="9">
    <xf numFmtId="0" fontId="0" fillId="0" borderId="0"/>
    <xf numFmtId="0" fontId="4" fillId="0" borderId="0"/>
    <xf numFmtId="0" fontId="25" fillId="0" borderId="0" applyNumberForma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67" fillId="0" borderId="0"/>
    <xf numFmtId="0" fontId="67" fillId="0" borderId="0"/>
    <xf numFmtId="0" fontId="82" fillId="0" borderId="0" applyNumberFormat="0" applyFill="0" applyBorder="0" applyAlignment="0" applyProtection="0"/>
    <xf numFmtId="0" fontId="1" fillId="0" borderId="0"/>
  </cellStyleXfs>
  <cellXfs count="716">
    <xf numFmtId="0" fontId="0" fillId="0" borderId="0" xfId="0"/>
    <xf numFmtId="0" fontId="5" fillId="2" borderId="4" xfId="0" applyFont="1" applyFill="1" applyBorder="1" applyAlignment="1">
      <alignment horizontal="center" vertical="center"/>
    </xf>
    <xf numFmtId="0" fontId="6" fillId="3" borderId="0" xfId="0" applyFont="1" applyFill="1" applyAlignment="1">
      <alignment horizontal="center" vertical="center" wrapText="1"/>
    </xf>
    <xf numFmtId="0" fontId="6" fillId="3" borderId="4" xfId="0" applyFont="1" applyFill="1" applyBorder="1" applyAlignment="1">
      <alignment horizontal="center" vertical="center"/>
    </xf>
    <xf numFmtId="0" fontId="6" fillId="3" borderId="0" xfId="0" applyFont="1" applyFill="1" applyAlignment="1">
      <alignment horizontal="center" vertical="center"/>
    </xf>
    <xf numFmtId="0" fontId="7" fillId="3" borderId="0" xfId="0" applyFont="1" applyFill="1" applyAlignment="1">
      <alignment horizontal="center" vertical="center"/>
    </xf>
    <xf numFmtId="0" fontId="6" fillId="3"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6" xfId="0" applyFont="1" applyFill="1" applyBorder="1" applyAlignment="1">
      <alignment horizontal="center" vertical="center"/>
    </xf>
    <xf numFmtId="0" fontId="7" fillId="3" borderId="7" xfId="0" applyFont="1" applyFill="1" applyBorder="1" applyAlignment="1">
      <alignment horizontal="center" vertical="center"/>
    </xf>
    <xf numFmtId="0" fontId="5" fillId="2" borderId="4" xfId="0" applyFont="1" applyFill="1" applyBorder="1" applyAlignment="1">
      <alignment horizontal="center" vertical="center" wrapText="1"/>
    </xf>
    <xf numFmtId="0" fontId="6" fillId="0" borderId="7" xfId="0" applyFont="1" applyBorder="1" applyAlignment="1">
      <alignment horizontal="center" vertical="center" wrapText="1"/>
    </xf>
    <xf numFmtId="0" fontId="5" fillId="4" borderId="10" xfId="0" applyFont="1" applyFill="1" applyBorder="1" applyAlignment="1">
      <alignment horizontal="center" vertical="center" wrapText="1"/>
    </xf>
    <xf numFmtId="3" fontId="7" fillId="3" borderId="4" xfId="0" applyNumberFormat="1" applyFont="1" applyFill="1" applyBorder="1" applyAlignment="1">
      <alignment horizontal="center" vertical="center" wrapText="1"/>
    </xf>
    <xf numFmtId="3" fontId="7" fillId="3" borderId="0" xfId="0" applyNumberFormat="1" applyFont="1" applyFill="1" applyAlignment="1">
      <alignment horizontal="center" vertical="center" wrapText="1"/>
    </xf>
    <xf numFmtId="0" fontId="6" fillId="3" borderId="0" xfId="0" applyFont="1" applyFill="1" applyAlignment="1">
      <alignment horizontal="left" vertical="center"/>
    </xf>
    <xf numFmtId="0" fontId="9" fillId="3" borderId="0" xfId="0" applyFont="1" applyFill="1" applyAlignment="1">
      <alignment horizontal="center" vertical="center"/>
    </xf>
    <xf numFmtId="0" fontId="9" fillId="3" borderId="0" xfId="0" applyFont="1" applyFill="1" applyAlignment="1">
      <alignment horizontal="center" vertical="center" wrapText="1"/>
    </xf>
    <xf numFmtId="0" fontId="6" fillId="3" borderId="4" xfId="0" applyFont="1" applyFill="1" applyBorder="1" applyAlignment="1">
      <alignment horizontal="left" vertical="center"/>
    </xf>
    <xf numFmtId="0" fontId="10" fillId="3" borderId="4" xfId="0" applyFont="1" applyFill="1" applyBorder="1" applyAlignment="1">
      <alignment horizontal="center" vertical="center"/>
    </xf>
    <xf numFmtId="0" fontId="9" fillId="3" borderId="4" xfId="0" applyFont="1" applyFill="1" applyBorder="1" applyAlignment="1">
      <alignment horizontal="center" vertical="center"/>
    </xf>
    <xf numFmtId="0" fontId="7" fillId="3" borderId="4" xfId="0" applyFont="1" applyFill="1" applyBorder="1" applyAlignment="1">
      <alignment horizontal="left" vertical="center"/>
    </xf>
    <xf numFmtId="0" fontId="11" fillId="3" borderId="4" xfId="0" applyFont="1" applyFill="1" applyBorder="1" applyAlignment="1">
      <alignment horizontal="center" vertical="center"/>
    </xf>
    <xf numFmtId="0" fontId="10" fillId="3" borderId="0" xfId="0" applyFont="1" applyFill="1" applyAlignment="1">
      <alignment horizontal="center" vertical="center"/>
    </xf>
    <xf numFmtId="0" fontId="11" fillId="3" borderId="0" xfId="0" applyFont="1" applyFill="1" applyAlignment="1">
      <alignment horizontal="center" vertical="center"/>
    </xf>
    <xf numFmtId="0" fontId="12" fillId="6" borderId="11" xfId="0" applyFont="1" applyFill="1" applyBorder="1" applyAlignment="1">
      <alignment horizontal="center" vertical="center"/>
    </xf>
    <xf numFmtId="0" fontId="10" fillId="3" borderId="4" xfId="0" applyFont="1" applyFill="1" applyBorder="1" applyAlignment="1">
      <alignment horizontal="center" vertical="center" wrapText="1"/>
    </xf>
    <xf numFmtId="0" fontId="13" fillId="0" borderId="0" xfId="0" applyFont="1" applyAlignment="1">
      <alignment horizontal="center" vertical="center" wrapText="1"/>
    </xf>
    <xf numFmtId="0" fontId="14" fillId="6" borderId="0" xfId="0" applyFont="1" applyFill="1" applyAlignment="1">
      <alignment horizontal="center" vertical="center" wrapText="1"/>
    </xf>
    <xf numFmtId="0" fontId="13" fillId="3" borderId="4" xfId="0" applyFont="1" applyFill="1" applyBorder="1" applyAlignment="1">
      <alignment horizontal="center" vertical="center" wrapText="1"/>
    </xf>
    <xf numFmtId="0" fontId="8" fillId="3" borderId="0" xfId="0" applyFont="1" applyFill="1" applyAlignment="1">
      <alignment horizontal="center" vertical="center" wrapText="1"/>
    </xf>
    <xf numFmtId="0" fontId="15" fillId="6" borderId="0" xfId="0" applyFont="1" applyFill="1" applyAlignment="1">
      <alignment horizontal="left" vertical="center"/>
    </xf>
    <xf numFmtId="0" fontId="15" fillId="6" borderId="0" xfId="0" applyFont="1" applyFill="1" applyAlignment="1">
      <alignment horizontal="right" vertical="center"/>
    </xf>
    <xf numFmtId="0" fontId="15" fillId="6" borderId="0" xfId="0" applyFont="1" applyFill="1" applyAlignment="1">
      <alignment horizontal="center" vertical="center"/>
    </xf>
    <xf numFmtId="0" fontId="16" fillId="3" borderId="4" xfId="0" applyFont="1" applyFill="1" applyBorder="1" applyAlignment="1">
      <alignment horizontal="left" vertical="center"/>
    </xf>
    <xf numFmtId="0" fontId="16" fillId="3" borderId="4" xfId="0" applyFont="1" applyFill="1" applyBorder="1" applyAlignment="1">
      <alignment horizontal="right" vertical="center"/>
    </xf>
    <xf numFmtId="0" fontId="16" fillId="3" borderId="4" xfId="0" applyFont="1" applyFill="1" applyBorder="1" applyAlignment="1">
      <alignment horizontal="center" vertical="center"/>
    </xf>
    <xf numFmtId="0" fontId="17" fillId="3" borderId="0" xfId="0" applyFont="1" applyFill="1" applyAlignment="1">
      <alignment horizontal="left" vertical="center"/>
    </xf>
    <xf numFmtId="0" fontId="17" fillId="3" borderId="0" xfId="0" applyFont="1" applyFill="1" applyAlignment="1">
      <alignment horizontal="right" vertical="center"/>
    </xf>
    <xf numFmtId="0" fontId="17" fillId="3" borderId="0" xfId="0" applyFont="1" applyFill="1" applyAlignment="1">
      <alignment horizontal="center" vertical="center"/>
    </xf>
    <xf numFmtId="0" fontId="7" fillId="3" borderId="4"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0" xfId="0" applyAlignment="1">
      <alignment vertical="center"/>
    </xf>
    <xf numFmtId="0" fontId="18" fillId="0" borderId="0" xfId="0" applyFont="1" applyAlignment="1">
      <alignment vertical="center"/>
    </xf>
    <xf numFmtId="0" fontId="19" fillId="0" borderId="0" xfId="0" applyFont="1" applyAlignment="1">
      <alignment horizontal="center" vertical="center" wrapText="1"/>
    </xf>
    <xf numFmtId="0" fontId="20" fillId="0" borderId="0" xfId="0" applyFont="1" applyAlignment="1">
      <alignment vertical="center" wrapText="1"/>
    </xf>
    <xf numFmtId="0" fontId="21" fillId="6" borderId="4" xfId="0" applyFont="1" applyFill="1" applyBorder="1" applyAlignment="1">
      <alignment horizontal="center" vertical="center" wrapText="1"/>
    </xf>
    <xf numFmtId="0" fontId="22" fillId="3" borderId="0" xfId="0" applyFont="1" applyFill="1" applyAlignment="1">
      <alignment horizontal="center" vertical="center" wrapText="1"/>
    </xf>
    <xf numFmtId="0" fontId="22" fillId="3" borderId="4" xfId="0" applyFont="1" applyFill="1" applyBorder="1" applyAlignment="1">
      <alignment horizontal="center" vertical="center" wrapText="1"/>
    </xf>
    <xf numFmtId="3" fontId="22" fillId="3" borderId="4" xfId="0" applyNumberFormat="1" applyFont="1" applyFill="1" applyBorder="1" applyAlignment="1">
      <alignment horizontal="center" vertical="center" wrapText="1"/>
    </xf>
    <xf numFmtId="0" fontId="21" fillId="6" borderId="0" xfId="0" applyFont="1" applyFill="1" applyAlignment="1">
      <alignment horizontal="center" vertical="center" wrapText="1"/>
    </xf>
    <xf numFmtId="0" fontId="21" fillId="6" borderId="11" xfId="0" applyFont="1" applyFill="1" applyBorder="1" applyAlignment="1">
      <alignment horizontal="center" vertical="center" wrapText="1"/>
    </xf>
    <xf numFmtId="0" fontId="0" fillId="2" borderId="11" xfId="0" applyFill="1" applyBorder="1" applyAlignment="1">
      <alignment vertical="center" wrapText="1"/>
    </xf>
    <xf numFmtId="0" fontId="15" fillId="2" borderId="11" xfId="0" applyFont="1" applyFill="1" applyBorder="1" applyAlignment="1">
      <alignment horizontal="justify" vertical="center" wrapText="1"/>
    </xf>
    <xf numFmtId="0" fontId="15" fillId="2" borderId="11" xfId="0" applyFont="1" applyFill="1" applyBorder="1" applyAlignment="1">
      <alignment horizontal="center" vertical="center" wrapText="1"/>
    </xf>
    <xf numFmtId="0" fontId="26" fillId="3" borderId="4" xfId="0" applyFont="1" applyFill="1" applyBorder="1" applyAlignment="1">
      <alignment horizontal="justify" vertical="center" wrapText="1"/>
    </xf>
    <xf numFmtId="0" fontId="26" fillId="3" borderId="4" xfId="0" applyFont="1" applyFill="1" applyBorder="1" applyAlignment="1">
      <alignment horizontal="center" vertical="center"/>
    </xf>
    <xf numFmtId="0" fontId="15" fillId="2" borderId="0" xfId="0" applyFont="1" applyFill="1" applyAlignment="1">
      <alignment horizontal="center" vertical="center" wrapText="1"/>
    </xf>
    <xf numFmtId="0" fontId="27" fillId="6" borderId="11" xfId="0" applyFont="1" applyFill="1" applyBorder="1" applyAlignment="1">
      <alignment horizontal="center" vertical="center"/>
    </xf>
    <xf numFmtId="0" fontId="27" fillId="6" borderId="4" xfId="0" applyFont="1" applyFill="1" applyBorder="1" applyAlignment="1">
      <alignment horizontal="center" vertical="center"/>
    </xf>
    <xf numFmtId="0" fontId="28" fillId="3" borderId="4" xfId="0" applyFont="1" applyFill="1" applyBorder="1" applyAlignment="1">
      <alignment horizontal="center" vertical="center"/>
    </xf>
    <xf numFmtId="0" fontId="29" fillId="3" borderId="4" xfId="0" applyFont="1" applyFill="1" applyBorder="1" applyAlignment="1">
      <alignment horizontal="center" vertical="center"/>
    </xf>
    <xf numFmtId="0" fontId="21" fillId="6" borderId="11" xfId="0" applyFont="1" applyFill="1" applyBorder="1" applyAlignment="1">
      <alignment horizontal="center" vertical="center"/>
    </xf>
    <xf numFmtId="0" fontId="22" fillId="3" borderId="4" xfId="0" applyFont="1" applyFill="1" applyBorder="1" applyAlignment="1">
      <alignment horizontal="center" vertical="center"/>
    </xf>
    <xf numFmtId="0" fontId="23" fillId="3" borderId="4" xfId="0" applyFont="1" applyFill="1" applyBorder="1" applyAlignment="1">
      <alignment horizontal="center" vertical="center"/>
    </xf>
    <xf numFmtId="0" fontId="20" fillId="7" borderId="0" xfId="0" applyFont="1" applyFill="1" applyAlignment="1">
      <alignment vertical="center" wrapText="1"/>
    </xf>
    <xf numFmtId="0" fontId="30" fillId="8" borderId="0" xfId="0" applyFont="1" applyFill="1" applyAlignment="1">
      <alignment horizontal="center" vertical="center" wrapText="1"/>
    </xf>
    <xf numFmtId="0" fontId="21" fillId="6" borderId="4" xfId="0" applyFont="1" applyFill="1" applyBorder="1" applyAlignment="1">
      <alignment horizontal="center" vertical="center"/>
    </xf>
    <xf numFmtId="0" fontId="27" fillId="6" borderId="13" xfId="0" applyFont="1" applyFill="1" applyBorder="1" applyAlignment="1">
      <alignment horizontal="center" vertical="center" wrapText="1"/>
    </xf>
    <xf numFmtId="0" fontId="27" fillId="6" borderId="11" xfId="0" applyFont="1" applyFill="1" applyBorder="1" applyAlignment="1">
      <alignment horizontal="center" vertical="center" wrapText="1"/>
    </xf>
    <xf numFmtId="0" fontId="29" fillId="3" borderId="4" xfId="0" applyFont="1" applyFill="1" applyBorder="1" applyAlignment="1">
      <alignment horizontal="justify" vertical="center" wrapText="1"/>
    </xf>
    <xf numFmtId="0" fontId="29" fillId="3" borderId="4" xfId="0" applyFont="1" applyFill="1" applyBorder="1" applyAlignment="1">
      <alignment horizontal="center" vertical="center" wrapText="1"/>
    </xf>
    <xf numFmtId="0" fontId="33" fillId="6" borderId="13" xfId="0" applyFont="1" applyFill="1" applyBorder="1" applyAlignment="1">
      <alignment horizontal="justify" vertical="center" wrapText="1"/>
    </xf>
    <xf numFmtId="0" fontId="24" fillId="3" borderId="4" xfId="0" applyFont="1" applyFill="1" applyBorder="1" applyAlignment="1">
      <alignment horizontal="justify" vertical="center" wrapText="1"/>
    </xf>
    <xf numFmtId="3" fontId="24" fillId="3" borderId="4" xfId="0" applyNumberFormat="1" applyFont="1" applyFill="1" applyBorder="1" applyAlignment="1">
      <alignment horizontal="center" vertical="center" wrapText="1"/>
    </xf>
    <xf numFmtId="0" fontId="24" fillId="3" borderId="4" xfId="0" applyFont="1" applyFill="1" applyBorder="1" applyAlignment="1">
      <alignment horizontal="center" vertical="center" wrapText="1"/>
    </xf>
    <xf numFmtId="3" fontId="34" fillId="3" borderId="4" xfId="0" applyNumberFormat="1" applyFont="1" applyFill="1" applyBorder="1" applyAlignment="1">
      <alignment horizontal="center" vertical="center" wrapText="1"/>
    </xf>
    <xf numFmtId="0" fontId="33" fillId="2" borderId="13" xfId="0" applyFont="1" applyFill="1" applyBorder="1" applyAlignment="1">
      <alignment horizontal="justify" vertical="center" wrapText="1"/>
    </xf>
    <xf numFmtId="0" fontId="34" fillId="3" borderId="4" xfId="0" applyFont="1" applyFill="1" applyBorder="1" applyAlignment="1">
      <alignment horizontal="center" vertical="center" wrapText="1"/>
    </xf>
    <xf numFmtId="0" fontId="35" fillId="2" borderId="5" xfId="0" applyFont="1" applyFill="1" applyBorder="1" applyAlignment="1">
      <alignment horizontal="center" vertical="center" wrapText="1"/>
    </xf>
    <xf numFmtId="0" fontId="35" fillId="2" borderId="4" xfId="0" applyFont="1" applyFill="1" applyBorder="1" applyAlignment="1">
      <alignment horizontal="center" vertical="center" wrapText="1"/>
    </xf>
    <xf numFmtId="0" fontId="36" fillId="3" borderId="4" xfId="0" applyFont="1" applyFill="1" applyBorder="1" applyAlignment="1">
      <alignment horizontal="center" vertical="center"/>
    </xf>
    <xf numFmtId="0" fontId="36" fillId="3" borderId="4" xfId="0" applyFont="1" applyFill="1" applyBorder="1" applyAlignment="1">
      <alignment horizontal="center" vertical="center" wrapText="1"/>
    </xf>
    <xf numFmtId="3" fontId="36" fillId="3" borderId="4" xfId="0" applyNumberFormat="1" applyFont="1" applyFill="1" applyBorder="1" applyAlignment="1">
      <alignment horizontal="center" vertical="center"/>
    </xf>
    <xf numFmtId="3" fontId="36" fillId="3" borderId="4" xfId="0" applyNumberFormat="1"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4" fillId="3" borderId="4" xfId="0" applyFont="1" applyFill="1" applyBorder="1" applyAlignment="1">
      <alignment horizontal="center" vertical="center"/>
    </xf>
    <xf numFmtId="3" fontId="24" fillId="3" borderId="4" xfId="0" applyNumberFormat="1" applyFont="1" applyFill="1" applyBorder="1" applyAlignment="1">
      <alignment horizontal="center" vertical="center"/>
    </xf>
    <xf numFmtId="0" fontId="0" fillId="3" borderId="4" xfId="0" applyFill="1" applyBorder="1"/>
    <xf numFmtId="0" fontId="0" fillId="6" borderId="11" xfId="0" applyFill="1" applyBorder="1"/>
    <xf numFmtId="0" fontId="27" fillId="6" borderId="0" xfId="0" applyFont="1" applyFill="1" applyAlignment="1">
      <alignment horizontal="center" vertical="center" wrapText="1"/>
    </xf>
    <xf numFmtId="0" fontId="27" fillId="6" borderId="4" xfId="0" applyFont="1" applyFill="1" applyBorder="1" applyAlignment="1">
      <alignment horizontal="center" vertical="center" wrapText="1"/>
    </xf>
    <xf numFmtId="0" fontId="29" fillId="3" borderId="0" xfId="0" applyFont="1" applyFill="1" applyAlignment="1">
      <alignment horizontal="center" vertical="center" wrapText="1"/>
    </xf>
    <xf numFmtId="0" fontId="25" fillId="3" borderId="0" xfId="2" applyFill="1" applyAlignment="1">
      <alignment horizontal="center" vertical="center" wrapText="1"/>
    </xf>
    <xf numFmtId="0" fontId="27" fillId="6" borderId="5" xfId="0" applyFont="1" applyFill="1" applyBorder="1" applyAlignment="1">
      <alignment horizontal="center" vertical="center" wrapText="1"/>
    </xf>
    <xf numFmtId="0" fontId="38" fillId="6" borderId="11" xfId="0" applyFont="1" applyFill="1" applyBorder="1" applyAlignment="1">
      <alignment horizontal="center" vertical="center" wrapText="1"/>
    </xf>
    <xf numFmtId="0" fontId="39" fillId="6" borderId="11" xfId="0" applyFont="1" applyFill="1" applyBorder="1" applyAlignment="1">
      <alignment horizontal="center" vertical="center" wrapText="1"/>
    </xf>
    <xf numFmtId="0" fontId="0" fillId="3" borderId="4" xfId="0" applyFill="1" applyBorder="1" applyAlignment="1">
      <alignment wrapText="1"/>
    </xf>
    <xf numFmtId="0" fontId="29" fillId="3" borderId="4" xfId="0" applyFont="1" applyFill="1" applyBorder="1" applyAlignment="1">
      <alignment horizontal="justify" vertical="center"/>
    </xf>
    <xf numFmtId="3" fontId="29" fillId="3" borderId="4" xfId="0" applyNumberFormat="1" applyFont="1" applyFill="1" applyBorder="1" applyAlignment="1">
      <alignment horizontal="center" vertical="center"/>
    </xf>
    <xf numFmtId="0" fontId="28" fillId="3" borderId="4" xfId="0" applyFont="1" applyFill="1" applyBorder="1" applyAlignment="1">
      <alignment horizontal="justify" vertical="center"/>
    </xf>
    <xf numFmtId="3" fontId="28" fillId="3" borderId="4" xfId="0" applyNumberFormat="1" applyFont="1" applyFill="1" applyBorder="1" applyAlignment="1">
      <alignment horizontal="center" vertical="center"/>
    </xf>
    <xf numFmtId="0" fontId="28" fillId="3" borderId="4" xfId="0" applyFont="1" applyFill="1" applyBorder="1" applyAlignment="1">
      <alignment horizontal="center" vertical="center" wrapText="1"/>
    </xf>
    <xf numFmtId="0" fontId="21" fillId="6" borderId="15" xfId="0" applyFont="1" applyFill="1" applyBorder="1" applyAlignment="1">
      <alignment horizontal="center" vertical="center" wrapText="1"/>
    </xf>
    <xf numFmtId="0" fontId="22" fillId="3" borderId="16" xfId="0" applyFont="1" applyFill="1" applyBorder="1" applyAlignment="1">
      <alignment horizontal="center" vertical="center" wrapText="1"/>
    </xf>
    <xf numFmtId="10" fontId="22" fillId="3" borderId="4" xfId="0" applyNumberFormat="1" applyFont="1" applyFill="1" applyBorder="1" applyAlignment="1">
      <alignment horizontal="center" vertical="center" wrapText="1"/>
    </xf>
    <xf numFmtId="0" fontId="23" fillId="3" borderId="4" xfId="0" applyFont="1" applyFill="1" applyBorder="1" applyAlignment="1">
      <alignment horizontal="center" vertical="center" wrapText="1"/>
    </xf>
    <xf numFmtId="0" fontId="28" fillId="9" borderId="4" xfId="0" applyFont="1" applyFill="1" applyBorder="1" applyAlignment="1">
      <alignment horizontal="center" vertical="center"/>
    </xf>
    <xf numFmtId="0" fontId="29" fillId="9" borderId="4" xfId="0" applyFont="1" applyFill="1" applyBorder="1" applyAlignment="1">
      <alignment horizontal="justify" vertical="center"/>
    </xf>
    <xf numFmtId="0" fontId="29" fillId="9" borderId="4" xfId="0" applyFont="1" applyFill="1" applyBorder="1" applyAlignment="1">
      <alignment horizontal="center" vertical="center" wrapText="1"/>
    </xf>
    <xf numFmtId="3" fontId="13" fillId="3" borderId="4" xfId="0" applyNumberFormat="1" applyFont="1" applyFill="1" applyBorder="1" applyAlignment="1">
      <alignment horizontal="center" vertical="center" wrapText="1"/>
    </xf>
    <xf numFmtId="3" fontId="23" fillId="3" borderId="4" xfId="0" applyNumberFormat="1" applyFont="1" applyFill="1" applyBorder="1" applyAlignment="1">
      <alignment horizontal="center" vertical="center" wrapText="1"/>
    </xf>
    <xf numFmtId="3" fontId="8" fillId="3" borderId="4" xfId="0" applyNumberFormat="1" applyFont="1" applyFill="1" applyBorder="1" applyAlignment="1">
      <alignment horizontal="center" vertical="center" wrapText="1"/>
    </xf>
    <xf numFmtId="0" fontId="33" fillId="2" borderId="11" xfId="0" applyFont="1" applyFill="1" applyBorder="1" applyAlignment="1">
      <alignment horizontal="justify" vertical="center" wrapText="1"/>
    </xf>
    <xf numFmtId="0" fontId="0" fillId="3" borderId="0" xfId="0" applyFill="1"/>
    <xf numFmtId="0" fontId="29" fillId="3" borderId="0" xfId="0" applyFont="1" applyFill="1" applyAlignment="1">
      <alignment horizontal="center" vertical="center"/>
    </xf>
    <xf numFmtId="0" fontId="27" fillId="6" borderId="0" xfId="0" applyFont="1" applyFill="1" applyAlignment="1">
      <alignment horizontal="center" vertical="center"/>
    </xf>
    <xf numFmtId="6" fontId="29" fillId="3" borderId="4" xfId="0" applyNumberFormat="1" applyFont="1" applyFill="1" applyBorder="1" applyAlignment="1">
      <alignment horizontal="center" vertical="center"/>
    </xf>
    <xf numFmtId="0" fontId="28" fillId="3" borderId="17" xfId="0" applyFont="1" applyFill="1" applyBorder="1" applyAlignment="1">
      <alignment horizontal="center" vertical="center"/>
    </xf>
    <xf numFmtId="6" fontId="28" fillId="3" borderId="17" xfId="0" applyNumberFormat="1" applyFont="1" applyFill="1" applyBorder="1" applyAlignment="1">
      <alignment horizontal="center" vertical="center"/>
    </xf>
    <xf numFmtId="0" fontId="29" fillId="0" borderId="11" xfId="0" applyFont="1" applyBorder="1" applyAlignment="1">
      <alignment horizontal="center" vertical="center"/>
    </xf>
    <xf numFmtId="0" fontId="29" fillId="3" borderId="11" xfId="0" applyFont="1" applyFill="1" applyBorder="1" applyAlignment="1">
      <alignment horizontal="center" vertical="center"/>
    </xf>
    <xf numFmtId="6" fontId="28" fillId="3" borderId="4" xfId="0" applyNumberFormat="1" applyFont="1" applyFill="1" applyBorder="1" applyAlignment="1">
      <alignment horizontal="center" vertical="center"/>
    </xf>
    <xf numFmtId="9" fontId="28" fillId="3" borderId="4" xfId="0" applyNumberFormat="1" applyFont="1" applyFill="1" applyBorder="1" applyAlignment="1">
      <alignment horizontal="center" vertical="center"/>
    </xf>
    <xf numFmtId="10" fontId="28" fillId="3" borderId="4" xfId="0" applyNumberFormat="1" applyFont="1" applyFill="1" applyBorder="1" applyAlignment="1">
      <alignment horizontal="center" vertical="center"/>
    </xf>
    <xf numFmtId="0" fontId="24" fillId="3" borderId="11" xfId="0" applyFont="1" applyFill="1" applyBorder="1" applyAlignment="1">
      <alignment horizontal="center" vertical="center"/>
    </xf>
    <xf numFmtId="1" fontId="20" fillId="7" borderId="0" xfId="0" applyNumberFormat="1" applyFont="1" applyFill="1" applyAlignment="1">
      <alignment vertical="center" wrapText="1"/>
    </xf>
    <xf numFmtId="3" fontId="27" fillId="6" borderId="11" xfId="0" applyNumberFormat="1" applyFont="1" applyFill="1" applyBorder="1" applyAlignment="1">
      <alignment horizontal="center" vertical="center" wrapText="1"/>
    </xf>
    <xf numFmtId="0" fontId="0" fillId="3" borderId="4" xfId="0" applyFill="1" applyBorder="1" applyAlignment="1">
      <alignment vertical="top"/>
    </xf>
    <xf numFmtId="0" fontId="0" fillId="3" borderId="4" xfId="0" applyFill="1" applyBorder="1" applyAlignment="1">
      <alignment vertical="center"/>
    </xf>
    <xf numFmtId="0" fontId="41" fillId="3" borderId="4" xfId="0" applyFont="1" applyFill="1" applyBorder="1" applyAlignment="1">
      <alignment horizontal="center" vertical="center"/>
    </xf>
    <xf numFmtId="9" fontId="41" fillId="3" borderId="4" xfId="0" applyNumberFormat="1" applyFont="1" applyFill="1" applyBorder="1" applyAlignment="1">
      <alignment horizontal="center" vertical="center"/>
    </xf>
    <xf numFmtId="0" fontId="29" fillId="3" borderId="11" xfId="0" applyFont="1" applyFill="1" applyBorder="1" applyAlignment="1">
      <alignment horizontal="justify" vertical="center"/>
    </xf>
    <xf numFmtId="3" fontId="28" fillId="3" borderId="4" xfId="0" applyNumberFormat="1" applyFont="1" applyFill="1" applyBorder="1" applyAlignment="1">
      <alignment horizontal="center" vertical="center" wrapText="1"/>
    </xf>
    <xf numFmtId="0" fontId="41" fillId="3" borderId="4" xfId="0" applyFont="1" applyFill="1" applyBorder="1" applyAlignment="1">
      <alignment horizontal="justify" vertical="center"/>
    </xf>
    <xf numFmtId="9" fontId="41" fillId="3" borderId="4" xfId="0" applyNumberFormat="1" applyFont="1" applyFill="1" applyBorder="1" applyAlignment="1">
      <alignment horizontal="center" vertical="center" wrapText="1"/>
    </xf>
    <xf numFmtId="6" fontId="29" fillId="3" borderId="4" xfId="0" applyNumberFormat="1" applyFont="1" applyFill="1" applyBorder="1" applyAlignment="1">
      <alignment horizontal="justify" vertical="center"/>
    </xf>
    <xf numFmtId="6" fontId="28" fillId="3" borderId="4" xfId="0" applyNumberFormat="1" applyFont="1" applyFill="1" applyBorder="1" applyAlignment="1">
      <alignment horizontal="justify" vertical="center"/>
    </xf>
    <xf numFmtId="0" fontId="24" fillId="3" borderId="4" xfId="0" applyFont="1" applyFill="1" applyBorder="1" applyAlignment="1">
      <alignment horizontal="left" vertical="center" wrapText="1"/>
    </xf>
    <xf numFmtId="0" fontId="20" fillId="0" borderId="12" xfId="0" applyFont="1" applyBorder="1" applyAlignment="1">
      <alignment vertical="center" wrapText="1"/>
    </xf>
    <xf numFmtId="0" fontId="43" fillId="6" borderId="11" xfId="0" applyFont="1" applyFill="1" applyBorder="1" applyAlignment="1">
      <alignment horizontal="center" vertical="center" wrapText="1"/>
    </xf>
    <xf numFmtId="9" fontId="22" fillId="3" borderId="4" xfId="0" applyNumberFormat="1" applyFont="1" applyFill="1" applyBorder="1" applyAlignment="1">
      <alignment horizontal="center" vertical="center" wrapText="1"/>
    </xf>
    <xf numFmtId="0" fontId="28" fillId="3" borderId="0" xfId="0" applyFont="1" applyFill="1" applyAlignment="1">
      <alignment horizontal="center" vertical="center" wrapText="1"/>
    </xf>
    <xf numFmtId="0" fontId="33" fillId="6" borderId="11" xfId="0" applyFont="1" applyFill="1" applyBorder="1" applyAlignment="1">
      <alignment horizontal="center" vertical="center" wrapText="1"/>
    </xf>
    <xf numFmtId="0" fontId="21" fillId="10" borderId="4" xfId="0" applyFont="1" applyFill="1" applyBorder="1" applyAlignment="1">
      <alignment horizontal="center" vertical="center" wrapText="1"/>
    </xf>
    <xf numFmtId="0" fontId="21" fillId="10" borderId="0" xfId="0" applyFont="1" applyFill="1" applyAlignment="1">
      <alignment horizontal="center" vertical="center" wrapText="1"/>
    </xf>
    <xf numFmtId="0" fontId="23" fillId="11" borderId="4" xfId="0" applyFont="1" applyFill="1" applyBorder="1" applyAlignment="1">
      <alignment horizontal="center" vertical="center"/>
    </xf>
    <xf numFmtId="0" fontId="22" fillId="0" borderId="4" xfId="0" applyFont="1" applyBorder="1" applyAlignment="1">
      <alignment horizontal="center" vertical="center"/>
    </xf>
    <xf numFmtId="0" fontId="23" fillId="0" borderId="4" xfId="0" applyFont="1" applyBorder="1" applyAlignment="1">
      <alignment horizontal="center" vertical="center"/>
    </xf>
    <xf numFmtId="0" fontId="23" fillId="12" borderId="4" xfId="0" applyFont="1" applyFill="1" applyBorder="1" applyAlignment="1">
      <alignment horizontal="center" vertical="center"/>
    </xf>
    <xf numFmtId="0" fontId="21" fillId="6" borderId="11" xfId="0" applyFont="1" applyFill="1" applyBorder="1" applyAlignment="1">
      <alignment horizontal="justify" vertical="center"/>
    </xf>
    <xf numFmtId="0" fontId="21" fillId="6" borderId="4" xfId="0" applyFont="1" applyFill="1" applyBorder="1" applyAlignment="1">
      <alignment horizontal="justify" vertical="center"/>
    </xf>
    <xf numFmtId="0" fontId="22" fillId="3" borderId="4" xfId="0" applyFont="1" applyFill="1" applyBorder="1" applyAlignment="1">
      <alignment horizontal="justify" vertical="center"/>
    </xf>
    <xf numFmtId="0" fontId="23" fillId="3" borderId="4" xfId="0" applyFont="1" applyFill="1" applyBorder="1" applyAlignment="1">
      <alignment horizontal="justify" vertical="center"/>
    </xf>
    <xf numFmtId="0" fontId="22" fillId="3" borderId="4" xfId="0" applyFont="1" applyFill="1" applyBorder="1" applyAlignment="1">
      <alignment horizontal="justify" vertical="center" wrapText="1"/>
    </xf>
    <xf numFmtId="0" fontId="27" fillId="13" borderId="11" xfId="0" applyFont="1" applyFill="1" applyBorder="1" applyAlignment="1">
      <alignment horizontal="center" vertical="center" wrapText="1"/>
    </xf>
    <xf numFmtId="3" fontId="29" fillId="3" borderId="4" xfId="0" applyNumberFormat="1" applyFont="1" applyFill="1" applyBorder="1" applyAlignment="1">
      <alignment horizontal="center" vertical="center" wrapText="1"/>
    </xf>
    <xf numFmtId="0" fontId="33" fillId="2" borderId="0" xfId="0" applyFont="1" applyFill="1" applyAlignment="1">
      <alignment horizontal="center" vertical="center" wrapText="1"/>
    </xf>
    <xf numFmtId="0" fontId="33" fillId="2" borderId="19" xfId="0" applyFont="1" applyFill="1" applyBorder="1" applyAlignment="1">
      <alignment horizontal="center" vertical="center" wrapText="1"/>
    </xf>
    <xf numFmtId="0" fontId="33" fillId="2" borderId="20" xfId="0" applyFont="1" applyFill="1" applyBorder="1" applyAlignment="1">
      <alignment horizontal="center" vertical="center" wrapText="1"/>
    </xf>
    <xf numFmtId="0" fontId="33" fillId="6" borderId="21" xfId="0" applyFont="1" applyFill="1" applyBorder="1" applyAlignment="1">
      <alignment horizontal="center" vertical="center" wrapText="1"/>
    </xf>
    <xf numFmtId="0" fontId="34" fillId="3" borderId="26" xfId="0" applyFont="1" applyFill="1" applyBorder="1" applyAlignment="1">
      <alignment horizontal="center" vertical="center" wrapText="1"/>
    </xf>
    <xf numFmtId="0" fontId="33" fillId="2" borderId="24" xfId="0" applyFont="1" applyFill="1" applyBorder="1" applyAlignment="1">
      <alignment vertical="center" wrapText="1"/>
    </xf>
    <xf numFmtId="0" fontId="33" fillId="2" borderId="22" xfId="0" applyFont="1" applyFill="1" applyBorder="1" applyAlignment="1">
      <alignment vertical="center" wrapText="1"/>
    </xf>
    <xf numFmtId="0" fontId="34" fillId="14" borderId="11" xfId="0" applyFont="1" applyFill="1" applyBorder="1" applyAlignment="1">
      <alignment horizontal="center" vertical="center" wrapText="1"/>
    </xf>
    <xf numFmtId="0" fontId="34" fillId="14" borderId="4" xfId="0" applyFont="1" applyFill="1" applyBorder="1" applyAlignment="1">
      <alignment horizontal="center" vertical="center"/>
    </xf>
    <xf numFmtId="0" fontId="27" fillId="2" borderId="11" xfId="0" applyFont="1" applyFill="1" applyBorder="1" applyAlignment="1">
      <alignment horizontal="center" vertical="center" wrapText="1"/>
    </xf>
    <xf numFmtId="0" fontId="28" fillId="14" borderId="11" xfId="0" applyFont="1" applyFill="1" applyBorder="1" applyAlignment="1">
      <alignment horizontal="center" vertical="center" wrapText="1"/>
    </xf>
    <xf numFmtId="0" fontId="27" fillId="2" borderId="0" xfId="0" applyFont="1" applyFill="1" applyAlignment="1">
      <alignment horizontal="center" vertical="center" wrapText="1"/>
    </xf>
    <xf numFmtId="0" fontId="28" fillId="14" borderId="4" xfId="0" applyFont="1" applyFill="1" applyBorder="1" applyAlignment="1">
      <alignment horizontal="center" vertical="center"/>
    </xf>
    <xf numFmtId="0" fontId="27" fillId="2" borderId="11" xfId="0" applyFont="1" applyFill="1" applyBorder="1" applyAlignment="1">
      <alignment horizontal="justify" vertical="center" wrapText="1"/>
    </xf>
    <xf numFmtId="0" fontId="27" fillId="2" borderId="0" xfId="0" applyFont="1" applyFill="1" applyAlignment="1">
      <alignment horizontal="justify" vertical="center" wrapText="1"/>
    </xf>
    <xf numFmtId="0" fontId="33" fillId="6" borderId="28" xfId="0" applyFont="1" applyFill="1" applyBorder="1" applyAlignment="1">
      <alignment horizontal="justify" vertical="center"/>
    </xf>
    <xf numFmtId="0" fontId="33" fillId="6" borderId="28" xfId="0" applyFont="1" applyFill="1" applyBorder="1" applyAlignment="1">
      <alignment horizontal="center" vertical="center"/>
    </xf>
    <xf numFmtId="0" fontId="34" fillId="3" borderId="4" xfId="0" applyFont="1" applyFill="1" applyBorder="1" applyAlignment="1">
      <alignment horizontal="justify" vertical="center"/>
    </xf>
    <xf numFmtId="0" fontId="34" fillId="3" borderId="4" xfId="0" applyFont="1" applyFill="1" applyBorder="1" applyAlignment="1">
      <alignment horizontal="center" vertical="center"/>
    </xf>
    <xf numFmtId="0" fontId="24" fillId="3" borderId="0" xfId="0" applyFont="1" applyFill="1" applyAlignment="1">
      <alignment horizontal="justify" vertical="center"/>
    </xf>
    <xf numFmtId="0" fontId="24" fillId="3" borderId="0" xfId="0" applyFont="1" applyFill="1" applyAlignment="1">
      <alignment horizontal="center" vertical="center"/>
    </xf>
    <xf numFmtId="10" fontId="22" fillId="3" borderId="4" xfId="0" applyNumberFormat="1" applyFont="1" applyFill="1" applyBorder="1" applyAlignment="1">
      <alignment horizontal="center" vertical="center"/>
    </xf>
    <xf numFmtId="0" fontId="21" fillId="6" borderId="0" xfId="0" applyFont="1" applyFill="1" applyAlignment="1">
      <alignment horizontal="center" vertical="center"/>
    </xf>
    <xf numFmtId="0" fontId="27" fillId="6" borderId="29" xfId="0" applyFont="1" applyFill="1" applyBorder="1" applyAlignment="1">
      <alignment horizontal="center" vertical="center" wrapText="1"/>
    </xf>
    <xf numFmtId="0" fontId="37" fillId="3" borderId="0" xfId="0" applyFont="1" applyFill="1" applyAlignment="1">
      <alignment horizontal="center" vertical="center" wrapText="1"/>
    </xf>
    <xf numFmtId="0" fontId="48" fillId="3" borderId="4" xfId="0" applyFont="1" applyFill="1" applyBorder="1" applyAlignment="1">
      <alignment horizontal="center" vertical="center" wrapText="1"/>
    </xf>
    <xf numFmtId="0" fontId="20" fillId="15" borderId="0" xfId="0" applyFont="1" applyFill="1" applyAlignment="1">
      <alignment horizontal="center" vertical="center" wrapText="1"/>
    </xf>
    <xf numFmtId="0" fontId="27" fillId="6" borderId="30" xfId="0" applyFont="1" applyFill="1" applyBorder="1" applyAlignment="1">
      <alignment horizontal="center" vertical="center" wrapText="1"/>
    </xf>
    <xf numFmtId="0" fontId="48" fillId="3" borderId="30" xfId="0" applyFont="1" applyFill="1" applyBorder="1" applyAlignment="1">
      <alignment horizontal="center" vertical="center" wrapText="1"/>
    </xf>
    <xf numFmtId="0" fontId="29" fillId="3" borderId="11" xfId="0" applyFont="1" applyFill="1" applyBorder="1" applyAlignment="1">
      <alignment horizontal="center" vertical="center" wrapText="1"/>
    </xf>
    <xf numFmtId="0" fontId="33" fillId="6" borderId="0" xfId="0" applyFont="1" applyFill="1" applyAlignment="1">
      <alignment horizontal="center" vertical="center" wrapText="1"/>
    </xf>
    <xf numFmtId="0" fontId="24" fillId="3" borderId="31" xfId="0" applyFont="1" applyFill="1" applyBorder="1" applyAlignment="1">
      <alignment horizontal="center" vertical="center" wrapText="1"/>
    </xf>
    <xf numFmtId="0" fontId="34" fillId="3" borderId="31" xfId="0" applyFont="1" applyFill="1" applyBorder="1" applyAlignment="1">
      <alignment horizontal="center" vertical="center" wrapText="1"/>
    </xf>
    <xf numFmtId="0" fontId="24" fillId="3" borderId="32" xfId="0" applyFont="1" applyFill="1" applyBorder="1" applyAlignment="1">
      <alignment horizontal="center" vertical="center" wrapText="1"/>
    </xf>
    <xf numFmtId="3" fontId="24" fillId="3" borderId="32" xfId="0" applyNumberFormat="1" applyFont="1" applyFill="1" applyBorder="1" applyAlignment="1">
      <alignment horizontal="center" vertical="center" wrapText="1"/>
    </xf>
    <xf numFmtId="0" fontId="34" fillId="3" borderId="32" xfId="0" applyFont="1" applyFill="1" applyBorder="1" applyAlignment="1">
      <alignment horizontal="center" vertical="center" wrapText="1"/>
    </xf>
    <xf numFmtId="3" fontId="34" fillId="3" borderId="32" xfId="0" applyNumberFormat="1" applyFont="1" applyFill="1" applyBorder="1" applyAlignment="1">
      <alignment horizontal="center" vertical="center" wrapText="1"/>
    </xf>
    <xf numFmtId="3" fontId="34" fillId="3" borderId="31" xfId="0" applyNumberFormat="1" applyFont="1" applyFill="1" applyBorder="1" applyAlignment="1">
      <alignment horizontal="center" vertical="center" wrapText="1"/>
    </xf>
    <xf numFmtId="0" fontId="50" fillId="3" borderId="4" xfId="0" applyFont="1" applyFill="1" applyBorder="1" applyAlignment="1">
      <alignment horizontal="center" vertical="center" wrapText="1"/>
    </xf>
    <xf numFmtId="3" fontId="50" fillId="3" borderId="4" xfId="0" applyNumberFormat="1" applyFont="1" applyFill="1" applyBorder="1" applyAlignment="1">
      <alignment horizontal="center" vertical="center" wrapText="1"/>
    </xf>
    <xf numFmtId="0" fontId="33" fillId="6" borderId="31" xfId="0" applyFont="1" applyFill="1" applyBorder="1" applyAlignment="1">
      <alignment horizontal="center" vertical="center" wrapText="1"/>
    </xf>
    <xf numFmtId="0" fontId="49" fillId="6" borderId="33" xfId="0" applyFont="1" applyFill="1" applyBorder="1" applyAlignment="1">
      <alignment horizontal="center" vertical="center" wrapText="1"/>
    </xf>
    <xf numFmtId="0" fontId="33" fillId="6" borderId="33" xfId="0" applyFont="1" applyFill="1" applyBorder="1" applyAlignment="1">
      <alignment horizontal="center" vertical="center" wrapText="1"/>
    </xf>
    <xf numFmtId="3" fontId="24" fillId="3" borderId="31" xfId="0" applyNumberFormat="1" applyFont="1" applyFill="1" applyBorder="1" applyAlignment="1">
      <alignment horizontal="center" vertical="center" wrapText="1"/>
    </xf>
    <xf numFmtId="0" fontId="21" fillId="2" borderId="15" xfId="0" applyFont="1" applyFill="1" applyBorder="1" applyAlignment="1">
      <alignment horizontal="center" vertical="center" wrapText="1"/>
    </xf>
    <xf numFmtId="0" fontId="23" fillId="3" borderId="16" xfId="0" applyFont="1" applyFill="1" applyBorder="1" applyAlignment="1">
      <alignment horizontal="center" vertical="center" wrapText="1"/>
    </xf>
    <xf numFmtId="0" fontId="21" fillId="16" borderId="15" xfId="0" applyFont="1" applyFill="1" applyBorder="1" applyAlignment="1">
      <alignment horizontal="center" vertical="center" wrapText="1"/>
    </xf>
    <xf numFmtId="0" fontId="22" fillId="17" borderId="4" xfId="0" applyFont="1" applyFill="1" applyBorder="1" applyAlignment="1">
      <alignment horizontal="center" vertical="center" wrapText="1"/>
    </xf>
    <xf numFmtId="10" fontId="22" fillId="17" borderId="4" xfId="0" applyNumberFormat="1" applyFont="1" applyFill="1" applyBorder="1" applyAlignment="1">
      <alignment horizontal="center" vertical="center" wrapText="1"/>
    </xf>
    <xf numFmtId="0" fontId="12" fillId="6" borderId="34" xfId="0" applyFont="1" applyFill="1" applyBorder="1" applyAlignment="1">
      <alignment horizontal="center" vertical="center" wrapText="1"/>
    </xf>
    <xf numFmtId="0" fontId="12" fillId="6" borderId="35" xfId="0" applyFont="1" applyFill="1" applyBorder="1" applyAlignment="1">
      <alignment horizontal="center" vertical="center" wrapText="1"/>
    </xf>
    <xf numFmtId="0" fontId="12" fillId="6" borderId="4" xfId="0" applyFont="1" applyFill="1" applyBorder="1" applyAlignment="1">
      <alignment horizontal="center" vertical="center" wrapText="1"/>
    </xf>
    <xf numFmtId="0" fontId="52" fillId="3" borderId="4" xfId="0" applyFont="1" applyFill="1" applyBorder="1" applyAlignment="1">
      <alignment horizontal="center" vertical="center" wrapText="1"/>
    </xf>
    <xf numFmtId="0" fontId="30" fillId="8" borderId="12" xfId="0" applyFont="1" applyFill="1" applyBorder="1" applyAlignment="1">
      <alignment horizontal="center" vertical="center" wrapText="1"/>
    </xf>
    <xf numFmtId="0" fontId="12" fillId="2" borderId="35" xfId="0" applyFont="1" applyFill="1" applyBorder="1" applyAlignment="1">
      <alignment horizontal="center" vertical="center" wrapText="1"/>
    </xf>
    <xf numFmtId="0" fontId="12" fillId="2" borderId="34"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52" fillId="3" borderId="4" xfId="0" applyFont="1" applyFill="1" applyBorder="1" applyAlignment="1">
      <alignment horizontal="center" vertical="center"/>
    </xf>
    <xf numFmtId="0" fontId="12" fillId="2" borderId="0" xfId="0" applyFont="1" applyFill="1" applyAlignment="1">
      <alignment horizontal="center" vertical="center" wrapText="1"/>
    </xf>
    <xf numFmtId="0" fontId="12" fillId="2" borderId="36" xfId="0" applyFont="1" applyFill="1" applyBorder="1" applyAlignment="1">
      <alignment horizontal="center" vertical="center" wrapText="1"/>
    </xf>
    <xf numFmtId="0" fontId="5" fillId="6" borderId="15" xfId="0" applyFont="1" applyFill="1" applyBorder="1" applyAlignment="1">
      <alignment horizontal="center" vertical="center" wrapText="1"/>
    </xf>
    <xf numFmtId="0" fontId="5" fillId="6" borderId="37" xfId="0" applyFont="1" applyFill="1" applyBorder="1" applyAlignment="1">
      <alignment horizontal="center" vertical="center" wrapText="1"/>
    </xf>
    <xf numFmtId="0" fontId="5" fillId="18" borderId="16" xfId="0" applyFont="1" applyFill="1" applyBorder="1" applyAlignment="1">
      <alignment horizontal="center" vertical="center" wrapText="1"/>
    </xf>
    <xf numFmtId="49" fontId="52" fillId="3" borderId="4" xfId="0" applyNumberFormat="1" applyFont="1" applyFill="1" applyBorder="1" applyAlignment="1">
      <alignment horizontal="center" vertical="center" wrapText="1"/>
    </xf>
    <xf numFmtId="0" fontId="12" fillId="2" borderId="40" xfId="0" applyFont="1" applyFill="1" applyBorder="1" applyAlignment="1">
      <alignment horizontal="center" vertical="center" wrapText="1"/>
    </xf>
    <xf numFmtId="0" fontId="12" fillId="2" borderId="32" xfId="0" applyFont="1" applyFill="1" applyBorder="1" applyAlignment="1">
      <alignment horizontal="center" vertical="center" wrapText="1"/>
    </xf>
    <xf numFmtId="0" fontId="5" fillId="2" borderId="35"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7" fillId="3" borderId="11" xfId="0" applyFont="1" applyFill="1" applyBorder="1" applyAlignment="1">
      <alignment vertical="center" wrapText="1"/>
    </xf>
    <xf numFmtId="0" fontId="5" fillId="2" borderId="34" xfId="0" applyFont="1" applyFill="1" applyBorder="1" applyAlignment="1">
      <alignment horizontal="center" vertical="center" wrapText="1"/>
    </xf>
    <xf numFmtId="0" fontId="5" fillId="2" borderId="11" xfId="0" applyFont="1" applyFill="1" applyBorder="1" applyAlignment="1">
      <alignment horizontal="center" vertical="center"/>
    </xf>
    <xf numFmtId="6" fontId="6" fillId="3" borderId="4" xfId="0" applyNumberFormat="1" applyFont="1" applyFill="1" applyBorder="1" applyAlignment="1">
      <alignment horizontal="center" vertical="center"/>
    </xf>
    <xf numFmtId="6" fontId="5" fillId="2" borderId="4" xfId="0" applyNumberFormat="1" applyFont="1" applyFill="1" applyBorder="1" applyAlignment="1">
      <alignment horizontal="center" vertical="center"/>
    </xf>
    <xf numFmtId="0" fontId="14" fillId="6" borderId="11" xfId="0" applyFont="1" applyFill="1" applyBorder="1" applyAlignment="1">
      <alignment horizontal="center" vertical="center" wrapText="1"/>
    </xf>
    <xf numFmtId="0" fontId="12" fillId="6" borderId="0" xfId="0" applyFont="1" applyFill="1" applyAlignment="1">
      <alignment horizontal="center" vertical="center"/>
    </xf>
    <xf numFmtId="3" fontId="10" fillId="3" borderId="4" xfId="0" applyNumberFormat="1" applyFont="1" applyFill="1" applyBorder="1" applyAlignment="1">
      <alignment horizontal="center" vertical="center"/>
    </xf>
    <xf numFmtId="0" fontId="12" fillId="6" borderId="4" xfId="0" applyFont="1" applyFill="1" applyBorder="1" applyAlignment="1">
      <alignment horizontal="center" vertical="center"/>
    </xf>
    <xf numFmtId="3" fontId="12" fillId="6" borderId="4" xfId="0" applyNumberFormat="1" applyFont="1" applyFill="1" applyBorder="1" applyAlignment="1">
      <alignment horizontal="center" vertical="center"/>
    </xf>
    <xf numFmtId="0" fontId="14" fillId="6" borderId="34"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12" fillId="6" borderId="34" xfId="0" applyFont="1" applyFill="1" applyBorder="1" applyAlignment="1">
      <alignment horizontal="justify" vertical="center" wrapText="1"/>
    </xf>
    <xf numFmtId="0" fontId="10" fillId="3" borderId="4" xfId="0" applyFont="1" applyFill="1" applyBorder="1" applyAlignment="1">
      <alignment horizontal="justify" vertical="center" wrapText="1"/>
    </xf>
    <xf numFmtId="0" fontId="12" fillId="6" borderId="4" xfId="0" applyFont="1" applyFill="1" applyBorder="1" applyAlignment="1">
      <alignment horizontal="justify" vertical="center" wrapText="1"/>
    </xf>
    <xf numFmtId="0" fontId="0" fillId="0" borderId="12" xfId="0" applyBorder="1"/>
    <xf numFmtId="0" fontId="12" fillId="6" borderId="41" xfId="0" applyFont="1" applyFill="1" applyBorder="1" applyAlignment="1">
      <alignment horizontal="center" vertical="center" wrapText="1"/>
    </xf>
    <xf numFmtId="0" fontId="12" fillId="6" borderId="42"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5" fillId="6" borderId="4" xfId="0" applyFont="1" applyFill="1" applyBorder="1" applyAlignment="1">
      <alignment horizontal="center" vertical="center" wrapText="1"/>
    </xf>
    <xf numFmtId="6" fontId="6" fillId="3" borderId="4" xfId="0" applyNumberFormat="1" applyFont="1" applyFill="1" applyBorder="1" applyAlignment="1">
      <alignment horizontal="center" vertical="center" wrapText="1"/>
    </xf>
    <xf numFmtId="0" fontId="5" fillId="6" borderId="35" xfId="0" applyFont="1" applyFill="1" applyBorder="1" applyAlignment="1">
      <alignment horizontal="center" vertical="center" wrapText="1"/>
    </xf>
    <xf numFmtId="0" fontId="33" fillId="6" borderId="5" xfId="0" applyFont="1" applyFill="1" applyBorder="1" applyAlignment="1">
      <alignment horizontal="center" vertical="center" wrapText="1"/>
    </xf>
    <xf numFmtId="0" fontId="0" fillId="3" borderId="11" xfId="0" applyFill="1" applyBorder="1" applyAlignment="1">
      <alignment vertical="center" wrapText="1"/>
    </xf>
    <xf numFmtId="0" fontId="24" fillId="3" borderId="11" xfId="0" applyFont="1" applyFill="1" applyBorder="1" applyAlignment="1">
      <alignment horizontal="center" vertical="center" wrapText="1"/>
    </xf>
    <xf numFmtId="0" fontId="0" fillId="3" borderId="4" xfId="0" applyFill="1" applyBorder="1" applyAlignment="1">
      <alignment vertical="center" wrapText="1"/>
    </xf>
    <xf numFmtId="0" fontId="21" fillId="2" borderId="44" xfId="0" applyFont="1" applyFill="1" applyBorder="1" applyAlignment="1">
      <alignment horizontal="center" vertical="center" wrapText="1"/>
    </xf>
    <xf numFmtId="0" fontId="21" fillId="2" borderId="45" xfId="0" applyFont="1" applyFill="1" applyBorder="1" applyAlignment="1">
      <alignment horizontal="center" vertical="center" wrapText="1"/>
    </xf>
    <xf numFmtId="0" fontId="22" fillId="3" borderId="46" xfId="0" applyFont="1" applyFill="1" applyBorder="1" applyAlignment="1">
      <alignment horizontal="center" vertical="center" wrapText="1"/>
    </xf>
    <xf numFmtId="0" fontId="23" fillId="3" borderId="46" xfId="0" applyFont="1" applyFill="1" applyBorder="1" applyAlignment="1">
      <alignment horizontal="center" vertical="center" wrapText="1"/>
    </xf>
    <xf numFmtId="0" fontId="27" fillId="2" borderId="47" xfId="0" applyFont="1" applyFill="1" applyBorder="1" applyAlignment="1">
      <alignment horizontal="center" vertical="center" wrapText="1"/>
    </xf>
    <xf numFmtId="0" fontId="27" fillId="2" borderId="48" xfId="0" applyFont="1" applyFill="1" applyBorder="1" applyAlignment="1">
      <alignment horizontal="center" vertical="center" wrapText="1"/>
    </xf>
    <xf numFmtId="0" fontId="27" fillId="2" borderId="49" xfId="0" applyFont="1" applyFill="1" applyBorder="1" applyAlignment="1">
      <alignment horizontal="center" vertical="center" wrapText="1"/>
    </xf>
    <xf numFmtId="0" fontId="21" fillId="2" borderId="11" xfId="0" applyFont="1" applyFill="1" applyBorder="1" applyAlignment="1">
      <alignment horizontal="center" vertical="center" wrapText="1"/>
    </xf>
    <xf numFmtId="0" fontId="21" fillId="6" borderId="34" xfId="0" applyFont="1" applyFill="1" applyBorder="1" applyAlignment="1">
      <alignment horizontal="center" vertical="center" wrapText="1"/>
    </xf>
    <xf numFmtId="0" fontId="54" fillId="6" borderId="35" xfId="0" applyFont="1" applyFill="1" applyBorder="1" applyAlignment="1">
      <alignment horizontal="center" vertical="center" wrapText="1"/>
    </xf>
    <xf numFmtId="0" fontId="55" fillId="3" borderId="11" xfId="0" applyFont="1" applyFill="1" applyBorder="1" applyAlignment="1">
      <alignment horizontal="center" vertical="center" wrapText="1"/>
    </xf>
    <xf numFmtId="0" fontId="55" fillId="3" borderId="4" xfId="0" applyFont="1" applyFill="1" applyBorder="1" applyAlignment="1">
      <alignment horizontal="center" vertical="center" wrapText="1"/>
    </xf>
    <xf numFmtId="3" fontId="55" fillId="3" borderId="4" xfId="0" applyNumberFormat="1" applyFont="1" applyFill="1" applyBorder="1" applyAlignment="1">
      <alignment horizontal="center" vertical="center" wrapText="1"/>
    </xf>
    <xf numFmtId="0" fontId="56" fillId="3" borderId="4" xfId="0" applyFont="1" applyFill="1" applyBorder="1" applyAlignment="1">
      <alignment horizontal="center" vertical="center" wrapText="1"/>
    </xf>
    <xf numFmtId="3" fontId="56" fillId="3" borderId="4" xfId="0" applyNumberFormat="1" applyFont="1" applyFill="1" applyBorder="1" applyAlignment="1">
      <alignment horizontal="center" vertical="center" wrapText="1"/>
    </xf>
    <xf numFmtId="0" fontId="57" fillId="6" borderId="11" xfId="0" applyFont="1" applyFill="1" applyBorder="1" applyAlignment="1">
      <alignment horizontal="center" vertical="center" wrapText="1"/>
    </xf>
    <xf numFmtId="0" fontId="9" fillId="3" borderId="4" xfId="0" applyFont="1" applyFill="1" applyBorder="1" applyAlignment="1">
      <alignment horizontal="center" vertical="center" wrapText="1"/>
    </xf>
    <xf numFmtId="9" fontId="9" fillId="3" borderId="4" xfId="0" applyNumberFormat="1" applyFont="1" applyFill="1" applyBorder="1" applyAlignment="1">
      <alignment horizontal="center" vertical="center" wrapText="1"/>
    </xf>
    <xf numFmtId="0" fontId="11" fillId="3" borderId="4" xfId="0" applyFont="1" applyFill="1" applyBorder="1" applyAlignment="1">
      <alignment horizontal="center" vertical="center" wrapText="1"/>
    </xf>
    <xf numFmtId="0" fontId="57" fillId="6" borderId="4" xfId="0" applyFont="1" applyFill="1" applyBorder="1" applyAlignment="1">
      <alignment horizontal="center" vertical="center" wrapText="1"/>
    </xf>
    <xf numFmtId="0" fontId="24" fillId="0" borderId="7" xfId="0" applyFont="1" applyBorder="1" applyAlignment="1">
      <alignment horizontal="center" vertical="center" wrapText="1"/>
    </xf>
    <xf numFmtId="0" fontId="33" fillId="4" borderId="10" xfId="0" applyFont="1" applyFill="1" applyBorder="1" applyAlignment="1">
      <alignment horizontal="center" vertical="center" wrapText="1"/>
    </xf>
    <xf numFmtId="0" fontId="24" fillId="3" borderId="0" xfId="0" applyFont="1" applyFill="1" applyAlignment="1">
      <alignment horizontal="center" vertical="center" wrapText="1"/>
    </xf>
    <xf numFmtId="3" fontId="34" fillId="3" borderId="0" xfId="0" applyNumberFormat="1" applyFont="1" applyFill="1" applyAlignment="1">
      <alignment horizontal="center" vertical="center" wrapText="1"/>
    </xf>
    <xf numFmtId="0" fontId="35" fillId="6" borderId="34" xfId="0" applyFont="1" applyFill="1" applyBorder="1" applyAlignment="1">
      <alignment horizontal="center" vertical="center" wrapText="1"/>
    </xf>
    <xf numFmtId="0" fontId="53" fillId="2" borderId="11" xfId="0" applyFont="1" applyFill="1" applyBorder="1" applyAlignment="1">
      <alignment horizontal="center" vertical="center" wrapText="1"/>
    </xf>
    <xf numFmtId="0" fontId="53" fillId="0" borderId="0" xfId="0" applyFont="1" applyAlignment="1">
      <alignment horizontal="center" vertical="center" wrapText="1"/>
    </xf>
    <xf numFmtId="0" fontId="27" fillId="2" borderId="34" xfId="0" applyFont="1" applyFill="1" applyBorder="1" applyAlignment="1">
      <alignment horizontal="center" vertical="center" wrapText="1"/>
    </xf>
    <xf numFmtId="10" fontId="29" fillId="3" borderId="4" xfId="0" applyNumberFormat="1" applyFont="1" applyFill="1" applyBorder="1" applyAlignment="1">
      <alignment horizontal="center" vertical="center" wrapText="1"/>
    </xf>
    <xf numFmtId="0" fontId="59" fillId="3" borderId="4" xfId="0" applyFont="1" applyFill="1" applyBorder="1" applyAlignment="1">
      <alignment horizontal="justify" vertical="center" wrapText="1"/>
    </xf>
    <xf numFmtId="0" fontId="28" fillId="14" borderId="34" xfId="0" applyFont="1" applyFill="1" applyBorder="1" applyAlignment="1">
      <alignment horizontal="center" vertical="center" wrapText="1"/>
    </xf>
    <xf numFmtId="3" fontId="28" fillId="14" borderId="4" xfId="0" applyNumberFormat="1" applyFont="1" applyFill="1" applyBorder="1" applyAlignment="1">
      <alignment horizontal="center" vertical="center"/>
    </xf>
    <xf numFmtId="9" fontId="29" fillId="3" borderId="4" xfId="0" applyNumberFormat="1" applyFont="1" applyFill="1" applyBorder="1" applyAlignment="1">
      <alignment horizontal="center" vertical="center"/>
    </xf>
    <xf numFmtId="0" fontId="27" fillId="2" borderId="4" xfId="0" applyFont="1" applyFill="1" applyBorder="1" applyAlignment="1">
      <alignment horizontal="center" vertical="center" wrapText="1"/>
    </xf>
    <xf numFmtId="0" fontId="0" fillId="14" borderId="4" xfId="0" applyFill="1" applyBorder="1" applyAlignment="1">
      <alignment vertical="center"/>
    </xf>
    <xf numFmtId="0" fontId="15" fillId="2" borderId="34" xfId="0" applyFont="1" applyFill="1" applyBorder="1" applyAlignment="1">
      <alignment horizontal="center" vertical="center" wrapText="1"/>
    </xf>
    <xf numFmtId="0" fontId="17" fillId="3" borderId="4" xfId="0" applyFont="1" applyFill="1" applyBorder="1" applyAlignment="1">
      <alignment horizontal="center" vertical="center" wrapText="1"/>
    </xf>
    <xf numFmtId="9" fontId="17" fillId="3" borderId="4" xfId="0" applyNumberFormat="1" applyFont="1" applyFill="1" applyBorder="1" applyAlignment="1">
      <alignment horizontal="center" vertical="center" wrapText="1"/>
    </xf>
    <xf numFmtId="0" fontId="16" fillId="3" borderId="4" xfId="0" applyFont="1" applyFill="1" applyBorder="1" applyAlignment="1">
      <alignment horizontal="center" vertical="center" wrapText="1"/>
    </xf>
    <xf numFmtId="9" fontId="16" fillId="3" borderId="4" xfId="0" applyNumberFormat="1" applyFont="1" applyFill="1" applyBorder="1" applyAlignment="1">
      <alignment horizontal="center" vertical="center" wrapText="1"/>
    </xf>
    <xf numFmtId="9" fontId="24" fillId="3" borderId="4" xfId="0" applyNumberFormat="1" applyFont="1" applyFill="1" applyBorder="1" applyAlignment="1">
      <alignment horizontal="center" vertical="center" wrapText="1"/>
    </xf>
    <xf numFmtId="0" fontId="27" fillId="2" borderId="11" xfId="0" applyFont="1" applyFill="1" applyBorder="1" applyAlignment="1">
      <alignment horizontal="center" vertical="center" textRotation="90" wrapText="1"/>
    </xf>
    <xf numFmtId="9" fontId="29" fillId="3" borderId="4" xfId="0" applyNumberFormat="1" applyFont="1" applyFill="1" applyBorder="1" applyAlignment="1">
      <alignment horizontal="center" vertical="center" wrapText="1"/>
    </xf>
    <xf numFmtId="9" fontId="22" fillId="3" borderId="4" xfId="0" applyNumberFormat="1" applyFont="1" applyFill="1" applyBorder="1" applyAlignment="1">
      <alignment horizontal="center" vertical="center"/>
    </xf>
    <xf numFmtId="3" fontId="60" fillId="3" borderId="4" xfId="0" applyNumberFormat="1" applyFont="1" applyFill="1" applyBorder="1" applyAlignment="1">
      <alignment horizontal="center" vertical="center"/>
    </xf>
    <xf numFmtId="0" fontId="61" fillId="2" borderId="11" xfId="0" applyFont="1" applyFill="1" applyBorder="1" applyAlignment="1">
      <alignment horizontal="center" vertical="center" wrapText="1"/>
    </xf>
    <xf numFmtId="0" fontId="62" fillId="8" borderId="0" xfId="0" applyFont="1" applyFill="1" applyAlignment="1">
      <alignment horizontal="center"/>
    </xf>
    <xf numFmtId="0" fontId="2" fillId="8" borderId="0" xfId="0" applyFont="1" applyFill="1" applyAlignment="1">
      <alignment horizontal="center" vertical="center" wrapText="1"/>
    </xf>
    <xf numFmtId="0" fontId="2" fillId="8" borderId="12" xfId="0" applyFont="1" applyFill="1" applyBorder="1" applyAlignment="1">
      <alignment horizontal="center" vertical="center" wrapText="1"/>
    </xf>
    <xf numFmtId="0" fontId="0" fillId="0" borderId="12" xfId="0" applyBorder="1" applyAlignment="1">
      <alignment horizontal="center" vertical="center" wrapText="1"/>
    </xf>
    <xf numFmtId="166" fontId="20" fillId="7" borderId="0" xfId="4" applyNumberFormat="1" applyFont="1" applyFill="1" applyAlignment="1">
      <alignment vertical="center" wrapText="1"/>
    </xf>
    <xf numFmtId="0" fontId="0" fillId="0" borderId="12" xfId="0" applyBorder="1" applyAlignment="1">
      <alignment vertical="center" wrapText="1"/>
    </xf>
    <xf numFmtId="0" fontId="20" fillId="0" borderId="12" xfId="0" applyFont="1" applyBorder="1" applyAlignment="1">
      <alignment horizontal="center" vertical="center" wrapText="1"/>
    </xf>
    <xf numFmtId="0" fontId="0" fillId="0" borderId="12" xfId="0" applyBorder="1" applyAlignment="1">
      <alignment horizontal="center" vertical="center"/>
    </xf>
    <xf numFmtId="0" fontId="63" fillId="0" borderId="0" xfId="0" applyFont="1" applyAlignment="1">
      <alignment horizontal="center" vertical="center" wrapText="1"/>
    </xf>
    <xf numFmtId="0" fontId="2" fillId="2" borderId="12" xfId="0" applyFont="1" applyFill="1" applyBorder="1" applyAlignment="1">
      <alignment horizontal="center" vertical="center" wrapText="1"/>
    </xf>
    <xf numFmtId="0" fontId="0" fillId="0" borderId="12" xfId="0" applyBorder="1" applyAlignment="1">
      <alignment vertical="center"/>
    </xf>
    <xf numFmtId="0" fontId="25" fillId="0" borderId="12" xfId="2" applyBorder="1" applyAlignment="1">
      <alignment horizontal="center" vertical="center"/>
    </xf>
    <xf numFmtId="0" fontId="3" fillId="0" borderId="12" xfId="0" applyFont="1" applyBorder="1" applyAlignment="1">
      <alignment horizontal="center" vertical="center"/>
    </xf>
    <xf numFmtId="0" fontId="0" fillId="0" borderId="12" xfId="1" applyFont="1" applyBorder="1" applyAlignment="1">
      <alignment horizontal="left" vertical="center" wrapText="1"/>
    </xf>
    <xf numFmtId="0" fontId="32" fillId="0" borderId="12" xfId="1" applyFont="1" applyBorder="1" applyAlignment="1">
      <alignment horizontal="left" vertical="center" wrapText="1"/>
    </xf>
    <xf numFmtId="0" fontId="0" fillId="5" borderId="12" xfId="1" applyFont="1" applyFill="1" applyBorder="1" applyAlignment="1">
      <alignment horizontal="left" vertical="center" wrapText="1"/>
    </xf>
    <xf numFmtId="0" fontId="64" fillId="0" borderId="12" xfId="1" applyFont="1" applyBorder="1" applyAlignment="1">
      <alignment horizontal="left" vertical="center" wrapText="1"/>
    </xf>
    <xf numFmtId="0" fontId="3" fillId="0" borderId="12" xfId="1" applyFont="1" applyBorder="1" applyAlignment="1">
      <alignment horizontal="left" vertical="center" wrapText="1"/>
    </xf>
    <xf numFmtId="0" fontId="3" fillId="0" borderId="12" xfId="0" applyFont="1" applyBorder="1" applyAlignment="1">
      <alignment vertical="center" wrapText="1"/>
    </xf>
    <xf numFmtId="0" fontId="30" fillId="8" borderId="51" xfId="0" applyFont="1" applyFill="1" applyBorder="1" applyAlignment="1">
      <alignment horizontal="center" vertical="center" wrapText="1"/>
    </xf>
    <xf numFmtId="164" fontId="8" fillId="3" borderId="4" xfId="0" applyNumberFormat="1" applyFont="1" applyFill="1" applyBorder="1" applyAlignment="1">
      <alignment horizontal="center" vertical="center" wrapText="1"/>
    </xf>
    <xf numFmtId="0" fontId="0" fillId="20" borderId="12" xfId="1" applyFont="1" applyFill="1" applyBorder="1" applyAlignment="1">
      <alignment horizontal="left" vertical="center" wrapText="1"/>
    </xf>
    <xf numFmtId="0" fontId="12" fillId="6" borderId="34" xfId="0" applyFont="1" applyFill="1" applyBorder="1" applyAlignment="1">
      <alignment horizontal="center" wrapText="1"/>
    </xf>
    <xf numFmtId="0" fontId="10" fillId="3" borderId="4" xfId="0" applyFont="1" applyFill="1" applyBorder="1" applyAlignment="1">
      <alignment horizontal="center" wrapText="1"/>
    </xf>
    <xf numFmtId="0" fontId="12" fillId="6" borderId="4" xfId="0" applyFont="1" applyFill="1" applyBorder="1" applyAlignment="1">
      <alignment horizontal="center" wrapText="1"/>
    </xf>
    <xf numFmtId="166" fontId="19" fillId="7" borderId="0" xfId="4" applyNumberFormat="1" applyFont="1" applyFill="1" applyAlignment="1">
      <alignment vertical="center" wrapText="1"/>
    </xf>
    <xf numFmtId="0" fontId="65" fillId="3" borderId="16" xfId="0" applyFont="1" applyFill="1" applyBorder="1" applyAlignment="1">
      <alignment horizontal="center" vertical="center" wrapText="1"/>
    </xf>
    <xf numFmtId="0" fontId="65" fillId="3" borderId="4" xfId="0" applyFont="1" applyFill="1" applyBorder="1" applyAlignment="1">
      <alignment horizontal="center" vertical="center" wrapText="1"/>
    </xf>
    <xf numFmtId="9" fontId="0" fillId="0" borderId="0" xfId="3" applyFont="1"/>
    <xf numFmtId="0" fontId="0" fillId="5" borderId="0" xfId="0" applyFill="1"/>
    <xf numFmtId="0" fontId="2" fillId="2" borderId="52" xfId="0" applyFont="1" applyFill="1" applyBorder="1" applyAlignment="1">
      <alignment horizontal="center" vertical="center" wrapText="1"/>
    </xf>
    <xf numFmtId="0" fontId="0" fillId="0" borderId="0" xfId="0" applyAlignment="1">
      <alignment horizontal="center"/>
    </xf>
    <xf numFmtId="10" fontId="22" fillId="3" borderId="16" xfId="0" applyNumberFormat="1" applyFont="1" applyFill="1" applyBorder="1" applyAlignment="1">
      <alignment horizontal="center" vertical="center" wrapText="1"/>
    </xf>
    <xf numFmtId="0" fontId="27" fillId="21" borderId="4" xfId="0" applyFont="1" applyFill="1" applyBorder="1" applyAlignment="1">
      <alignment horizontal="center" vertical="center" wrapText="1"/>
    </xf>
    <xf numFmtId="3" fontId="29" fillId="7" borderId="4" xfId="0" applyNumberFormat="1" applyFont="1" applyFill="1" applyBorder="1" applyAlignment="1">
      <alignment horizontal="center" vertical="center" wrapText="1"/>
    </xf>
    <xf numFmtId="0" fontId="66" fillId="0" borderId="0" xfId="0" applyFont="1"/>
    <xf numFmtId="166" fontId="34" fillId="14" borderId="23" xfId="4" applyNumberFormat="1" applyFont="1" applyFill="1" applyBorder="1" applyAlignment="1">
      <alignment horizontal="center" vertical="center" wrapText="1"/>
    </xf>
    <xf numFmtId="0" fontId="20" fillId="5" borderId="0" xfId="0" applyFont="1" applyFill="1" applyAlignment="1">
      <alignment vertical="center" wrapText="1"/>
    </xf>
    <xf numFmtId="0" fontId="67" fillId="23" borderId="0" xfId="0" applyFont="1" applyFill="1" applyAlignment="1">
      <alignment wrapText="1" readingOrder="1"/>
    </xf>
    <xf numFmtId="0" fontId="68" fillId="5" borderId="4" xfId="0" applyFont="1" applyFill="1" applyBorder="1" applyAlignment="1">
      <alignment horizontal="center" vertical="center" wrapText="1"/>
    </xf>
    <xf numFmtId="0" fontId="22" fillId="0" borderId="12" xfId="0" applyFont="1" applyBorder="1"/>
    <xf numFmtId="0" fontId="29" fillId="22" borderId="4" xfId="0" applyFont="1" applyFill="1" applyBorder="1" applyAlignment="1">
      <alignment horizontal="center"/>
    </xf>
    <xf numFmtId="0" fontId="6" fillId="3" borderId="6" xfId="0" applyFont="1" applyFill="1" applyBorder="1" applyAlignment="1">
      <alignment horizontal="right" vertical="center" wrapText="1"/>
    </xf>
    <xf numFmtId="0" fontId="7" fillId="3" borderId="7" xfId="0" applyFont="1" applyFill="1" applyBorder="1" applyAlignment="1">
      <alignment horizontal="right" vertical="center" wrapText="1"/>
    </xf>
    <xf numFmtId="0" fontId="0" fillId="0" borderId="0" xfId="0" applyAlignment="1">
      <alignment horizontal="left"/>
    </xf>
    <xf numFmtId="0" fontId="69" fillId="6" borderId="11" xfId="0" applyFont="1" applyFill="1" applyBorder="1" applyAlignment="1">
      <alignment horizontal="center" vertical="center"/>
    </xf>
    <xf numFmtId="0" fontId="69" fillId="6" borderId="11" xfId="0" applyFont="1" applyFill="1" applyBorder="1" applyAlignment="1">
      <alignment horizontal="left" vertical="center"/>
    </xf>
    <xf numFmtId="0" fontId="29" fillId="3" borderId="5" xfId="0" applyFont="1" applyFill="1" applyBorder="1" applyAlignment="1">
      <alignment horizontal="center" vertical="center" wrapText="1"/>
    </xf>
    <xf numFmtId="0" fontId="29" fillId="3" borderId="4" xfId="0" applyFont="1" applyFill="1" applyBorder="1" applyAlignment="1">
      <alignment horizontal="left" vertical="center" wrapText="1"/>
    </xf>
    <xf numFmtId="0" fontId="47" fillId="3" borderId="4" xfId="0" applyFont="1" applyFill="1" applyBorder="1" applyAlignment="1">
      <alignment horizontal="left" vertical="center" wrapText="1" indent="2"/>
    </xf>
    <xf numFmtId="0" fontId="71" fillId="24" borderId="0" xfId="0" applyFont="1" applyFill="1" applyAlignment="1">
      <alignment horizontal="center" wrapText="1"/>
    </xf>
    <xf numFmtId="0" fontId="29" fillId="0" borderId="4" xfId="0" applyFont="1" applyBorder="1" applyAlignment="1">
      <alignment horizontal="center" vertical="center" wrapText="1"/>
    </xf>
    <xf numFmtId="0" fontId="72" fillId="0" borderId="0" xfId="0" applyFont="1"/>
    <xf numFmtId="0" fontId="29" fillId="3" borderId="0" xfId="0" applyFont="1" applyFill="1" applyAlignment="1">
      <alignment horizontal="left" vertical="center" wrapText="1"/>
    </xf>
    <xf numFmtId="0" fontId="44" fillId="3" borderId="0" xfId="0" applyFont="1" applyFill="1" applyAlignment="1">
      <alignment horizontal="left" vertical="center" wrapText="1" indent="2"/>
    </xf>
    <xf numFmtId="0" fontId="74" fillId="0" borderId="0" xfId="0" applyFont="1"/>
    <xf numFmtId="0" fontId="29" fillId="3" borderId="0" xfId="0" applyFont="1" applyFill="1" applyAlignment="1">
      <alignment horizontal="left" vertical="center" wrapText="1" indent="2"/>
    </xf>
    <xf numFmtId="0" fontId="46" fillId="3" borderId="0" xfId="0" applyFont="1" applyFill="1" applyAlignment="1">
      <alignment horizontal="left" vertical="center" wrapText="1" indent="2"/>
    </xf>
    <xf numFmtId="0" fontId="29" fillId="3" borderId="4" xfId="0" applyFont="1" applyFill="1" applyBorder="1" applyAlignment="1">
      <alignment horizontal="left" vertical="center" wrapText="1" indent="2"/>
    </xf>
    <xf numFmtId="0" fontId="29" fillId="3" borderId="54" xfId="0" applyFont="1" applyFill="1" applyBorder="1" applyAlignment="1">
      <alignment horizontal="left" vertical="center" wrapText="1"/>
    </xf>
    <xf numFmtId="0" fontId="46" fillId="3" borderId="4" xfId="0" applyFont="1" applyFill="1" applyBorder="1" applyAlignment="1">
      <alignment horizontal="left" vertical="center" wrapText="1" indent="2"/>
    </xf>
    <xf numFmtId="0" fontId="46" fillId="3" borderId="11" xfId="0" applyFont="1" applyFill="1" applyBorder="1" applyAlignment="1">
      <alignment horizontal="left" vertical="center" wrapText="1" indent="2"/>
    </xf>
    <xf numFmtId="0" fontId="47" fillId="3" borderId="0" xfId="0" applyFont="1" applyFill="1" applyAlignment="1">
      <alignment horizontal="left" vertical="center" wrapText="1" indent="2"/>
    </xf>
    <xf numFmtId="0" fontId="28" fillId="3" borderId="11" xfId="0" applyFont="1" applyFill="1" applyBorder="1" applyAlignment="1">
      <alignment horizontal="center" vertical="center" wrapText="1"/>
    </xf>
    <xf numFmtId="166" fontId="0" fillId="0" borderId="0" xfId="0" applyNumberFormat="1"/>
    <xf numFmtId="0" fontId="75" fillId="0" borderId="12" xfId="0" applyFont="1" applyBorder="1" applyAlignment="1">
      <alignment horizontal="center" vertical="center"/>
    </xf>
    <xf numFmtId="0" fontId="58" fillId="0" borderId="12" xfId="0" applyFont="1" applyBorder="1" applyAlignment="1">
      <alignment horizontal="justify" vertical="center" wrapText="1"/>
    </xf>
    <xf numFmtId="3" fontId="76" fillId="0" borderId="12" xfId="0" applyNumberFormat="1" applyFont="1" applyBorder="1" applyAlignment="1">
      <alignment horizontal="center" vertical="center" wrapText="1"/>
    </xf>
    <xf numFmtId="3" fontId="77" fillId="0" borderId="12" xfId="0" applyNumberFormat="1" applyFont="1" applyBorder="1" applyAlignment="1">
      <alignment horizontal="center" vertical="center" wrapText="1"/>
    </xf>
    <xf numFmtId="3" fontId="78" fillId="0" borderId="12" xfId="0" applyNumberFormat="1" applyFont="1" applyBorder="1" applyAlignment="1">
      <alignment horizontal="center" vertical="center" wrapText="1"/>
    </xf>
    <xf numFmtId="0" fontId="79" fillId="0" borderId="12" xfId="0" applyFont="1" applyBorder="1" applyAlignment="1">
      <alignment horizontal="center"/>
    </xf>
    <xf numFmtId="0" fontId="75" fillId="0" borderId="12" xfId="0" applyFont="1" applyBorder="1" applyAlignment="1">
      <alignment horizontal="center"/>
    </xf>
    <xf numFmtId="0" fontId="80" fillId="0" borderId="12" xfId="0" applyFont="1" applyBorder="1" applyAlignment="1">
      <alignment horizontal="left" vertical="center"/>
    </xf>
    <xf numFmtId="0" fontId="24" fillId="0" borderId="4" xfId="0" applyFont="1" applyBorder="1" applyAlignment="1">
      <alignment horizontal="center" vertical="center"/>
    </xf>
    <xf numFmtId="3" fontId="24" fillId="0" borderId="4" xfId="0" applyNumberFormat="1" applyFont="1" applyBorder="1" applyAlignment="1">
      <alignment horizontal="center" vertical="center"/>
    </xf>
    <xf numFmtId="0" fontId="79" fillId="0" borderId="12" xfId="0" applyFont="1" applyBorder="1" applyAlignment="1">
      <alignment wrapText="1"/>
    </xf>
    <xf numFmtId="0" fontId="79" fillId="0" borderId="12" xfId="0" applyFont="1" applyBorder="1"/>
    <xf numFmtId="0" fontId="79" fillId="0" borderId="12" xfId="0" applyFont="1" applyBorder="1" applyAlignment="1">
      <alignment vertical="center"/>
    </xf>
    <xf numFmtId="0" fontId="79" fillId="0" borderId="12" xfId="0" applyFont="1" applyBorder="1" applyAlignment="1">
      <alignment vertical="center" wrapText="1"/>
    </xf>
    <xf numFmtId="0" fontId="71" fillId="14" borderId="0" xfId="0" applyFont="1" applyFill="1" applyAlignment="1">
      <alignment horizontal="center" vertical="center" wrapText="1"/>
    </xf>
    <xf numFmtId="0" fontId="34" fillId="3" borderId="11" xfId="0" applyFont="1" applyFill="1" applyBorder="1" applyAlignment="1">
      <alignment horizontal="left" vertical="center" wrapText="1"/>
    </xf>
    <xf numFmtId="0" fontId="34" fillId="3" borderId="4" xfId="0" applyFont="1" applyFill="1" applyBorder="1" applyAlignment="1">
      <alignment horizontal="left" vertical="center" wrapText="1"/>
    </xf>
    <xf numFmtId="166" fontId="29" fillId="3" borderId="4" xfId="4" applyNumberFormat="1" applyFont="1" applyFill="1" applyBorder="1" applyAlignment="1">
      <alignment horizontal="center" vertical="center"/>
    </xf>
    <xf numFmtId="166" fontId="28" fillId="3" borderId="4" xfId="4" applyNumberFormat="1" applyFont="1" applyFill="1" applyBorder="1" applyAlignment="1">
      <alignment horizontal="center" vertical="center"/>
    </xf>
    <xf numFmtId="9" fontId="0" fillId="0" borderId="0" xfId="0" applyNumberFormat="1"/>
    <xf numFmtId="9" fontId="41" fillId="3" borderId="4" xfId="3" applyFont="1" applyFill="1" applyBorder="1" applyAlignment="1">
      <alignment horizontal="center" vertical="center"/>
    </xf>
    <xf numFmtId="9" fontId="10" fillId="3" borderId="4" xfId="3" applyFont="1" applyFill="1" applyBorder="1" applyAlignment="1">
      <alignment horizontal="center" vertical="center"/>
    </xf>
    <xf numFmtId="0" fontId="10" fillId="3" borderId="0" xfId="0" applyFont="1" applyFill="1" applyAlignment="1">
      <alignment horizontal="center" vertical="center" wrapText="1"/>
    </xf>
    <xf numFmtId="165" fontId="81" fillId="25" borderId="0" xfId="0" applyNumberFormat="1" applyFont="1" applyFill="1" applyAlignment="1">
      <alignment vertical="center" wrapText="1"/>
    </xf>
    <xf numFmtId="165" fontId="36" fillId="3" borderId="4" xfId="0" applyNumberFormat="1" applyFont="1" applyFill="1" applyBorder="1" applyAlignment="1">
      <alignment horizontal="center" vertical="center" wrapText="1"/>
    </xf>
    <xf numFmtId="165" fontId="50" fillId="3" borderId="4" xfId="0" applyNumberFormat="1" applyFont="1" applyFill="1" applyBorder="1" applyAlignment="1">
      <alignment horizontal="center" vertical="center" wrapText="1"/>
    </xf>
    <xf numFmtId="0" fontId="33" fillId="2" borderId="11" xfId="0" applyFont="1" applyFill="1" applyBorder="1" applyAlignment="1">
      <alignment vertical="center" wrapText="1"/>
    </xf>
    <xf numFmtId="0" fontId="51" fillId="2" borderId="11" xfId="0" applyFont="1" applyFill="1" applyBorder="1" applyAlignment="1">
      <alignment horizontal="center" vertical="center" wrapText="1"/>
    </xf>
    <xf numFmtId="0" fontId="51" fillId="0" borderId="0" xfId="0" applyFont="1" applyAlignment="1">
      <alignment horizontal="center" vertical="center" wrapText="1"/>
    </xf>
    <xf numFmtId="0" fontId="5" fillId="2" borderId="11" xfId="0" applyFont="1" applyFill="1" applyBorder="1" applyAlignment="1">
      <alignment vertical="center" wrapText="1"/>
    </xf>
    <xf numFmtId="165" fontId="7" fillId="3" borderId="11" xfId="3" applyNumberFormat="1" applyFont="1" applyFill="1" applyBorder="1" applyAlignment="1">
      <alignment vertical="center" wrapText="1"/>
    </xf>
    <xf numFmtId="165" fontId="7" fillId="3" borderId="4" xfId="3" applyNumberFormat="1" applyFont="1" applyFill="1" applyBorder="1" applyAlignment="1">
      <alignment horizontal="center" vertical="center" wrapText="1"/>
    </xf>
    <xf numFmtId="165" fontId="6" fillId="3" borderId="4" xfId="3" applyNumberFormat="1" applyFont="1" applyFill="1" applyBorder="1" applyAlignment="1">
      <alignment horizontal="center" vertical="center" wrapText="1"/>
    </xf>
    <xf numFmtId="0" fontId="33" fillId="6" borderId="5" xfId="0" applyFont="1" applyFill="1" applyBorder="1" applyAlignment="1">
      <alignment horizontal="center" vertical="center"/>
    </xf>
    <xf numFmtId="0" fontId="7" fillId="3" borderId="6" xfId="0" applyFont="1" applyFill="1" applyBorder="1" applyAlignment="1">
      <alignment horizontal="center" vertical="center"/>
    </xf>
    <xf numFmtId="9" fontId="28" fillId="14" borderId="4" xfId="3" applyFont="1" applyFill="1" applyBorder="1" applyAlignment="1">
      <alignment horizontal="center" vertical="center"/>
    </xf>
    <xf numFmtId="165" fontId="28" fillId="14" borderId="4" xfId="3" applyNumberFormat="1" applyFont="1" applyFill="1" applyBorder="1" applyAlignment="1">
      <alignment horizontal="center" vertical="center"/>
    </xf>
    <xf numFmtId="0" fontId="26" fillId="3" borderId="0" xfId="0" applyFont="1" applyFill="1" applyAlignment="1">
      <alignment horizontal="center" vertical="center"/>
    </xf>
    <xf numFmtId="0" fontId="39" fillId="6" borderId="0" xfId="0" applyFont="1" applyFill="1" applyAlignment="1">
      <alignment horizontal="center" vertical="center" wrapText="1"/>
    </xf>
    <xf numFmtId="0" fontId="12" fillId="6" borderId="0" xfId="0" applyFont="1" applyFill="1" applyAlignment="1">
      <alignment horizontal="center" vertical="center" wrapText="1"/>
    </xf>
    <xf numFmtId="0" fontId="33" fillId="4" borderId="0" xfId="0" applyFont="1" applyFill="1" applyAlignment="1">
      <alignment horizontal="center" vertical="center" wrapText="1"/>
    </xf>
    <xf numFmtId="0" fontId="61" fillId="2" borderId="0" xfId="0" applyFont="1" applyFill="1" applyAlignment="1">
      <alignment horizontal="center" vertical="center" wrapText="1"/>
    </xf>
    <xf numFmtId="0" fontId="34" fillId="3" borderId="0" xfId="0" applyFont="1" applyFill="1" applyAlignment="1">
      <alignment horizontal="center" vertical="center" wrapText="1"/>
    </xf>
    <xf numFmtId="0" fontId="3" fillId="0" borderId="0" xfId="0" applyFont="1"/>
    <xf numFmtId="0" fontId="29" fillId="22" borderId="0" xfId="0" applyFont="1" applyFill="1" applyAlignment="1">
      <alignment wrapText="1"/>
    </xf>
    <xf numFmtId="0" fontId="22" fillId="22" borderId="0" xfId="0" applyFont="1" applyFill="1" applyAlignment="1">
      <alignment wrapText="1"/>
    </xf>
    <xf numFmtId="0" fontId="16" fillId="0" borderId="12" xfId="0" applyFont="1" applyBorder="1" applyAlignment="1">
      <alignment wrapText="1"/>
    </xf>
    <xf numFmtId="0" fontId="16" fillId="0" borderId="55" xfId="0" applyFont="1" applyBorder="1" applyAlignment="1">
      <alignment wrapText="1"/>
    </xf>
    <xf numFmtId="0" fontId="24" fillId="3" borderId="0" xfId="0" applyFont="1" applyFill="1" applyAlignment="1">
      <alignment horizontal="justify" vertical="center" wrapText="1"/>
    </xf>
    <xf numFmtId="0" fontId="83" fillId="3" borderId="4" xfId="0" applyFont="1" applyFill="1" applyBorder="1" applyAlignment="1">
      <alignment horizontal="justify" vertical="center" wrapText="1"/>
    </xf>
    <xf numFmtId="0" fontId="0" fillId="0" borderId="56" xfId="0" applyBorder="1" applyAlignment="1">
      <alignment horizontal="left"/>
    </xf>
    <xf numFmtId="0" fontId="0" fillId="0" borderId="57" xfId="0" applyBorder="1" applyAlignment="1">
      <alignment horizontal="center"/>
    </xf>
    <xf numFmtId="0" fontId="84" fillId="21" borderId="29" xfId="0" applyFont="1" applyFill="1" applyBorder="1" applyAlignment="1">
      <alignment wrapText="1" readingOrder="1"/>
    </xf>
    <xf numFmtId="0" fontId="29" fillId="3" borderId="59" xfId="0" applyFont="1" applyFill="1" applyBorder="1" applyAlignment="1">
      <alignment horizontal="center" vertical="center" wrapText="1"/>
    </xf>
    <xf numFmtId="0" fontId="29" fillId="3" borderId="16" xfId="0" applyFont="1" applyFill="1" applyBorder="1" applyAlignment="1">
      <alignment horizontal="center" vertical="center" wrapText="1"/>
    </xf>
    <xf numFmtId="0" fontId="29" fillId="3" borderId="38" xfId="0" applyFont="1" applyFill="1" applyBorder="1" applyAlignment="1">
      <alignment horizontal="center" vertical="center" wrapText="1"/>
    </xf>
    <xf numFmtId="0" fontId="33" fillId="2" borderId="14" xfId="0" applyFont="1" applyFill="1" applyBorder="1" applyAlignment="1">
      <alignment horizontal="center" vertical="center" wrapText="1"/>
    </xf>
    <xf numFmtId="0" fontId="85" fillId="0" borderId="12" xfId="0" applyFont="1" applyBorder="1" applyAlignment="1">
      <alignment horizontal="center"/>
    </xf>
    <xf numFmtId="0" fontId="86" fillId="0" borderId="12" xfId="0" applyFont="1" applyBorder="1" applyAlignment="1">
      <alignment horizontal="center"/>
    </xf>
    <xf numFmtId="0" fontId="33" fillId="6" borderId="14" xfId="0" applyFont="1" applyFill="1" applyBorder="1" applyAlignment="1">
      <alignment horizontal="center" vertical="center" wrapText="1"/>
    </xf>
    <xf numFmtId="0" fontId="87" fillId="6" borderId="11" xfId="0" applyFont="1" applyFill="1" applyBorder="1" applyAlignment="1">
      <alignment horizontal="center" vertical="center"/>
    </xf>
    <xf numFmtId="0" fontId="87" fillId="6" borderId="4" xfId="0" applyFont="1" applyFill="1" applyBorder="1" applyAlignment="1">
      <alignment horizontal="center" vertical="center"/>
    </xf>
    <xf numFmtId="0" fontId="88" fillId="3" borderId="4" xfId="0" applyFont="1" applyFill="1" applyBorder="1" applyAlignment="1">
      <alignment horizontal="center" vertical="center"/>
    </xf>
    <xf numFmtId="0" fontId="89" fillId="3" borderId="4" xfId="0" applyFont="1" applyFill="1" applyBorder="1" applyAlignment="1">
      <alignment horizontal="left" vertical="center"/>
    </xf>
    <xf numFmtId="0" fontId="89" fillId="3" borderId="4" xfId="0" applyFont="1" applyFill="1" applyBorder="1" applyAlignment="1">
      <alignment horizontal="center" vertical="center"/>
    </xf>
    <xf numFmtId="3" fontId="0" fillId="0" borderId="0" xfId="0" applyNumberFormat="1"/>
    <xf numFmtId="3" fontId="6" fillId="3" borderId="4" xfId="0" applyNumberFormat="1" applyFont="1" applyFill="1" applyBorder="1" applyAlignment="1">
      <alignment horizontal="center" vertical="center"/>
    </xf>
    <xf numFmtId="43" fontId="12" fillId="6" borderId="4" xfId="4" applyFont="1" applyFill="1" applyBorder="1" applyAlignment="1">
      <alignment horizontal="center" wrapText="1"/>
    </xf>
    <xf numFmtId="0" fontId="90" fillId="0" borderId="0" xfId="0" applyFont="1" applyAlignment="1">
      <alignment horizontal="center"/>
    </xf>
    <xf numFmtId="0" fontId="29" fillId="22" borderId="4" xfId="0" applyFont="1" applyFill="1" applyBorder="1" applyAlignment="1">
      <alignment horizontal="center" vertical="center" wrapText="1"/>
    </xf>
    <xf numFmtId="0" fontId="29" fillId="22" borderId="61" xfId="0" applyFont="1" applyFill="1" applyBorder="1" applyAlignment="1">
      <alignment horizontal="center" vertical="center" wrapText="1"/>
    </xf>
    <xf numFmtId="0" fontId="29" fillId="22" borderId="11" xfId="0" applyFont="1" applyFill="1" applyBorder="1" applyAlignment="1">
      <alignment horizontal="center" vertical="center" wrapText="1"/>
    </xf>
    <xf numFmtId="0" fontId="29" fillId="22" borderId="62" xfId="0" applyFont="1" applyFill="1" applyBorder="1" applyAlignment="1">
      <alignment horizontal="center" vertical="center" wrapText="1"/>
    </xf>
    <xf numFmtId="0" fontId="29" fillId="22" borderId="9" xfId="0" applyFont="1" applyFill="1" applyBorder="1" applyAlignment="1">
      <alignment horizontal="center" vertical="center" wrapText="1"/>
    </xf>
    <xf numFmtId="0" fontId="29" fillId="22" borderId="0" xfId="0" applyFont="1" applyFill="1" applyAlignment="1">
      <alignment horizontal="center" vertical="center" wrapText="1"/>
    </xf>
    <xf numFmtId="0" fontId="29" fillId="22" borderId="7" xfId="0" applyFont="1" applyFill="1" applyBorder="1" applyAlignment="1">
      <alignment horizontal="center" vertical="center" wrapText="1"/>
    </xf>
    <xf numFmtId="0" fontId="29" fillId="22" borderId="16" xfId="0" applyFont="1" applyFill="1" applyBorder="1" applyAlignment="1">
      <alignment horizontal="center" vertical="center" wrapText="1"/>
    </xf>
    <xf numFmtId="0" fontId="13" fillId="3" borderId="63" xfId="0" applyFont="1" applyFill="1" applyBorder="1" applyAlignment="1">
      <alignment horizontal="center" vertical="center" wrapText="1"/>
    </xf>
    <xf numFmtId="0" fontId="14" fillId="6" borderId="5" xfId="0" applyFont="1" applyFill="1" applyBorder="1" applyAlignment="1">
      <alignment horizontal="center" vertical="center" wrapText="1"/>
    </xf>
    <xf numFmtId="6" fontId="13" fillId="3" borderId="63" xfId="0" applyNumberFormat="1" applyFont="1" applyFill="1" applyBorder="1" applyAlignment="1">
      <alignment horizontal="center" vertical="center" wrapText="1"/>
    </xf>
    <xf numFmtId="0" fontId="6" fillId="3" borderId="4" xfId="0" applyFont="1" applyFill="1" applyBorder="1" applyAlignment="1">
      <alignment vertical="center" wrapText="1"/>
    </xf>
    <xf numFmtId="0" fontId="3" fillId="7" borderId="59" xfId="0" applyFont="1" applyFill="1" applyBorder="1"/>
    <xf numFmtId="0" fontId="91" fillId="7" borderId="0" xfId="0" applyFont="1" applyFill="1" applyAlignment="1">
      <alignment horizontal="left" indent="1"/>
    </xf>
    <xf numFmtId="0" fontId="91" fillId="7" borderId="0" xfId="0" applyFont="1" applyFill="1"/>
    <xf numFmtId="0" fontId="2" fillId="6" borderId="5" xfId="0" applyFont="1" applyFill="1" applyBorder="1" applyAlignment="1">
      <alignment vertical="center"/>
    </xf>
    <xf numFmtId="0" fontId="3" fillId="7" borderId="67" xfId="0" applyFont="1" applyFill="1" applyBorder="1"/>
    <xf numFmtId="0" fontId="5" fillId="6" borderId="0" xfId="0" applyFont="1" applyFill="1" applyAlignment="1">
      <alignment horizontal="center" vertical="center" wrapText="1"/>
    </xf>
    <xf numFmtId="0" fontId="0" fillId="0" borderId="1" xfId="1" applyFont="1" applyBorder="1" applyAlignment="1">
      <alignment horizontal="left" vertical="center" wrapText="1"/>
    </xf>
    <xf numFmtId="0" fontId="0" fillId="0" borderId="2" xfId="1" applyFont="1" applyBorder="1" applyAlignment="1">
      <alignment horizontal="left" vertical="center" wrapText="1"/>
    </xf>
    <xf numFmtId="0" fontId="0" fillId="0" borderId="50" xfId="1" applyFont="1" applyBorder="1" applyAlignment="1">
      <alignment horizontal="left" vertical="center" wrapText="1"/>
    </xf>
    <xf numFmtId="0" fontId="0" fillId="0" borderId="53" xfId="1" applyFont="1" applyBorder="1" applyAlignment="1">
      <alignment horizontal="left" vertical="center" wrapText="1"/>
    </xf>
    <xf numFmtId="0" fontId="0" fillId="27" borderId="1" xfId="0" applyFill="1" applyBorder="1"/>
    <xf numFmtId="0" fontId="34" fillId="3" borderId="0" xfId="0" applyFont="1" applyFill="1" applyAlignment="1">
      <alignment horizontal="center" vertical="center"/>
    </xf>
    <xf numFmtId="0" fontId="29" fillId="3" borderId="0" xfId="0" applyFont="1" applyFill="1" applyAlignment="1">
      <alignment horizontal="justify" vertical="center" wrapText="1"/>
    </xf>
    <xf numFmtId="0" fontId="13" fillId="3" borderId="11" xfId="0" applyFont="1" applyFill="1" applyBorder="1" applyAlignment="1">
      <alignment horizontal="center" vertical="center" wrapText="1"/>
    </xf>
    <xf numFmtId="0" fontId="13" fillId="3" borderId="11" xfId="0" applyFont="1" applyFill="1" applyBorder="1" applyAlignment="1">
      <alignment horizontal="center" vertical="center"/>
    </xf>
    <xf numFmtId="0" fontId="8" fillId="3" borderId="4" xfId="0" applyFont="1" applyFill="1" applyBorder="1" applyAlignment="1">
      <alignment horizontal="center" vertical="center"/>
    </xf>
    <xf numFmtId="0" fontId="21" fillId="6" borderId="68" xfId="0" applyFont="1" applyFill="1" applyBorder="1" applyAlignment="1">
      <alignment horizontal="center" vertical="center" wrapText="1"/>
    </xf>
    <xf numFmtId="0" fontId="21" fillId="6" borderId="62" xfId="0" applyFont="1" applyFill="1" applyBorder="1" applyAlignment="1">
      <alignment horizontal="center" vertical="center" wrapText="1"/>
    </xf>
    <xf numFmtId="0" fontId="22" fillId="3" borderId="6" xfId="0" applyFont="1" applyFill="1" applyBorder="1" applyAlignment="1">
      <alignment horizontal="center" vertical="center" wrapText="1"/>
    </xf>
    <xf numFmtId="3" fontId="22" fillId="3" borderId="6" xfId="0" applyNumberFormat="1" applyFont="1" applyFill="1" applyBorder="1" applyAlignment="1">
      <alignment horizontal="center" vertical="center" wrapText="1"/>
    </xf>
    <xf numFmtId="0" fontId="22" fillId="3" borderId="69" xfId="0" applyFont="1" applyFill="1" applyBorder="1" applyAlignment="1">
      <alignment horizontal="center" vertical="center" wrapText="1"/>
    </xf>
    <xf numFmtId="3" fontId="22" fillId="3" borderId="11" xfId="0" applyNumberFormat="1" applyFont="1" applyFill="1" applyBorder="1" applyAlignment="1">
      <alignment horizontal="center" vertical="center" wrapText="1"/>
    </xf>
    <xf numFmtId="0" fontId="0" fillId="0" borderId="0" xfId="0" applyAlignment="1">
      <alignment horizontal="left" vertical="top"/>
    </xf>
    <xf numFmtId="0" fontId="22" fillId="3" borderId="0" xfId="0" applyFont="1" applyFill="1" applyAlignment="1">
      <alignment horizontal="justify" vertical="center" wrapText="1"/>
    </xf>
    <xf numFmtId="0" fontId="70" fillId="7" borderId="4" xfId="0" applyFont="1" applyFill="1" applyBorder="1" applyAlignment="1">
      <alignment horizontal="center" vertical="center"/>
    </xf>
    <xf numFmtId="0" fontId="70" fillId="7" borderId="4" xfId="0" applyFont="1" applyFill="1" applyBorder="1" applyAlignment="1">
      <alignment horizontal="left" vertical="center"/>
    </xf>
    <xf numFmtId="0" fontId="70" fillId="7" borderId="4" xfId="0" applyFont="1" applyFill="1" applyBorder="1" applyAlignment="1">
      <alignment horizontal="justify" vertical="center"/>
    </xf>
    <xf numFmtId="0" fontId="70" fillId="7" borderId="12" xfId="0" applyFont="1" applyFill="1" applyBorder="1" applyAlignment="1">
      <alignment horizontal="center" vertical="center"/>
    </xf>
    <xf numFmtId="0" fontId="70" fillId="7" borderId="12" xfId="0" applyFont="1" applyFill="1" applyBorder="1" applyAlignment="1">
      <alignment horizontal="justify" vertical="center"/>
    </xf>
    <xf numFmtId="0" fontId="0" fillId="7" borderId="4" xfId="0" applyFill="1" applyBorder="1" applyAlignment="1">
      <alignment horizontal="center"/>
    </xf>
    <xf numFmtId="0" fontId="0" fillId="7" borderId="12" xfId="0" applyFill="1" applyBorder="1" applyAlignment="1">
      <alignment horizontal="center"/>
    </xf>
    <xf numFmtId="0" fontId="0" fillId="7" borderId="4" xfId="0" applyFill="1" applyBorder="1" applyAlignment="1">
      <alignment horizontal="left" vertical="center"/>
    </xf>
    <xf numFmtId="0" fontId="0" fillId="7" borderId="12" xfId="0" applyFill="1" applyBorder="1" applyAlignment="1">
      <alignment vertical="center"/>
    </xf>
    <xf numFmtId="0" fontId="0" fillId="7" borderId="4" xfId="0" applyFill="1" applyBorder="1" applyAlignment="1">
      <alignment horizontal="center" vertical="center"/>
    </xf>
    <xf numFmtId="0" fontId="0" fillId="7" borderId="12" xfId="0" applyFill="1" applyBorder="1" applyAlignment="1">
      <alignment horizontal="center" vertical="center"/>
    </xf>
    <xf numFmtId="0" fontId="0" fillId="7" borderId="4" xfId="0" applyFill="1" applyBorder="1" applyAlignment="1">
      <alignment vertical="center"/>
    </xf>
    <xf numFmtId="0" fontId="0" fillId="7" borderId="12" xfId="0" applyFill="1" applyBorder="1" applyAlignment="1">
      <alignment horizontal="left" vertical="center"/>
    </xf>
    <xf numFmtId="0" fontId="70" fillId="7" borderId="12" xfId="0" applyFont="1" applyFill="1" applyBorder="1" applyAlignment="1">
      <alignment horizontal="left" vertical="center"/>
    </xf>
    <xf numFmtId="0" fontId="70" fillId="7" borderId="0" xfId="0" applyFont="1" applyFill="1" applyAlignment="1">
      <alignment horizontal="center" vertical="center"/>
    </xf>
    <xf numFmtId="0" fontId="70" fillId="7" borderId="60" xfId="0" applyFont="1" applyFill="1" applyBorder="1" applyAlignment="1">
      <alignment horizontal="center" vertical="center"/>
    </xf>
    <xf numFmtId="0" fontId="0" fillId="7" borderId="60" xfId="0" applyFill="1" applyBorder="1" applyAlignment="1">
      <alignment horizontal="center" vertical="center"/>
    </xf>
    <xf numFmtId="0" fontId="0" fillId="7" borderId="60" xfId="0" applyFill="1" applyBorder="1" applyAlignment="1">
      <alignment horizontal="left" vertical="center"/>
    </xf>
    <xf numFmtId="0" fontId="0" fillId="7" borderId="60" xfId="0" applyFill="1" applyBorder="1" applyAlignment="1">
      <alignment vertical="center"/>
    </xf>
    <xf numFmtId="0" fontId="0" fillId="7" borderId="12" xfId="0" applyFill="1" applyBorder="1"/>
    <xf numFmtId="0" fontId="32" fillId="0" borderId="0" xfId="0" applyFont="1"/>
    <xf numFmtId="8" fontId="6" fillId="3" borderId="4" xfId="0" applyNumberFormat="1" applyFont="1" applyFill="1" applyBorder="1" applyAlignment="1">
      <alignment horizontal="center" vertical="center" wrapText="1"/>
    </xf>
    <xf numFmtId="8" fontId="7" fillId="3" borderId="4" xfId="0" applyNumberFormat="1" applyFont="1" applyFill="1" applyBorder="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92" fillId="28" borderId="12" xfId="0" applyFont="1" applyFill="1" applyBorder="1"/>
    <xf numFmtId="0" fontId="92" fillId="28" borderId="55" xfId="0" applyFont="1" applyFill="1" applyBorder="1"/>
    <xf numFmtId="0" fontId="92" fillId="28" borderId="72" xfId="0" applyFont="1" applyFill="1" applyBorder="1" applyAlignment="1">
      <alignment horizontal="center"/>
    </xf>
    <xf numFmtId="0" fontId="92" fillId="28" borderId="73" xfId="0" applyFont="1" applyFill="1" applyBorder="1" applyAlignment="1">
      <alignment horizontal="center"/>
    </xf>
    <xf numFmtId="0" fontId="15" fillId="28" borderId="74" xfId="0" applyFont="1" applyFill="1" applyBorder="1" applyAlignment="1">
      <alignment horizontal="center"/>
    </xf>
    <xf numFmtId="0" fontId="93" fillId="0" borderId="0" xfId="0" applyFont="1"/>
    <xf numFmtId="0" fontId="94" fillId="3" borderId="4" xfId="0" applyFont="1" applyFill="1" applyBorder="1" applyAlignment="1">
      <alignment horizontal="center" vertical="center"/>
    </xf>
    <xf numFmtId="0" fontId="95" fillId="0" borderId="0" xfId="0" applyFont="1"/>
    <xf numFmtId="3" fontId="96" fillId="3" borderId="4" xfId="0" applyNumberFormat="1" applyFont="1" applyFill="1" applyBorder="1" applyAlignment="1">
      <alignment horizontal="center" vertical="center"/>
    </xf>
    <xf numFmtId="9" fontId="96" fillId="3" borderId="4" xfId="0" applyNumberFormat="1" applyFont="1" applyFill="1" applyBorder="1" applyAlignment="1">
      <alignment horizontal="center" vertical="center"/>
    </xf>
    <xf numFmtId="0" fontId="16" fillId="0" borderId="55" xfId="0" applyFont="1" applyBorder="1"/>
    <xf numFmtId="0" fontId="16" fillId="0" borderId="74" xfId="0" applyFont="1" applyBorder="1" applyAlignment="1">
      <alignment horizontal="center"/>
    </xf>
    <xf numFmtId="0" fontId="16" fillId="0" borderId="72" xfId="0" applyFont="1" applyBorder="1" applyAlignment="1">
      <alignment horizontal="center"/>
    </xf>
    <xf numFmtId="0" fontId="97" fillId="3" borderId="4" xfId="0" applyFont="1" applyFill="1" applyBorder="1" applyAlignment="1">
      <alignment horizontal="center" vertical="center" wrapText="1"/>
    </xf>
    <xf numFmtId="166" fontId="13" fillId="3" borderId="4" xfId="4" applyNumberFormat="1" applyFont="1" applyFill="1" applyBorder="1" applyAlignment="1">
      <alignment horizontal="center" vertical="center" wrapText="1"/>
    </xf>
    <xf numFmtId="166" fontId="22" fillId="3" borderId="11" xfId="4" applyNumberFormat="1" applyFont="1" applyFill="1" applyBorder="1" applyAlignment="1">
      <alignment horizontal="center" vertical="center" wrapText="1"/>
    </xf>
    <xf numFmtId="166" fontId="22" fillId="3" borderId="4" xfId="4" applyNumberFormat="1" applyFont="1" applyFill="1" applyBorder="1" applyAlignment="1">
      <alignment horizontal="center" vertical="center" wrapText="1"/>
    </xf>
    <xf numFmtId="0" fontId="23" fillId="0" borderId="12" xfId="0" applyFont="1" applyBorder="1"/>
    <xf numFmtId="0" fontId="2" fillId="2" borderId="0" xfId="0" applyFont="1" applyFill="1" applyAlignment="1">
      <alignment horizontal="center" vertical="center" wrapText="1"/>
    </xf>
    <xf numFmtId="0" fontId="32" fillId="29" borderId="12" xfId="1" applyFont="1" applyFill="1" applyBorder="1" applyAlignment="1">
      <alignment horizontal="left" vertical="center" wrapText="1"/>
    </xf>
    <xf numFmtId="0" fontId="5" fillId="2" borderId="10" xfId="0" applyFont="1" applyFill="1" applyBorder="1" applyAlignment="1">
      <alignment horizontal="center" vertical="center" wrapText="1"/>
    </xf>
    <xf numFmtId="1" fontId="0" fillId="0" borderId="0" xfId="0" applyNumberFormat="1"/>
    <xf numFmtId="164" fontId="20" fillId="0" borderId="12" xfId="0" applyNumberFormat="1" applyFont="1" applyBorder="1" applyAlignment="1">
      <alignment horizontal="center" vertical="center" wrapText="1"/>
    </xf>
    <xf numFmtId="0" fontId="23" fillId="3" borderId="6" xfId="0" applyFont="1" applyFill="1" applyBorder="1" applyAlignment="1">
      <alignment horizontal="center" vertical="center" wrapText="1"/>
    </xf>
    <xf numFmtId="0" fontId="23" fillId="3" borderId="6" xfId="0" applyFont="1" applyFill="1" applyBorder="1" applyAlignment="1">
      <alignment horizontal="center" vertical="center"/>
    </xf>
    <xf numFmtId="3" fontId="23" fillId="3" borderId="6" xfId="0" applyNumberFormat="1" applyFont="1" applyFill="1" applyBorder="1" applyAlignment="1">
      <alignment horizontal="center" vertical="center"/>
    </xf>
    <xf numFmtId="3" fontId="23" fillId="3" borderId="6" xfId="0" applyNumberFormat="1" applyFont="1" applyFill="1" applyBorder="1" applyAlignment="1">
      <alignment horizontal="center" vertical="center" wrapText="1"/>
    </xf>
    <xf numFmtId="0" fontId="0" fillId="0" borderId="0" xfId="0" applyAlignment="1">
      <alignment horizontal="left" indent="1"/>
    </xf>
    <xf numFmtId="0" fontId="0" fillId="30" borderId="12" xfId="1" applyFont="1" applyFill="1" applyBorder="1" applyAlignment="1">
      <alignment horizontal="left" vertical="center" wrapText="1"/>
    </xf>
    <xf numFmtId="0" fontId="0" fillId="0" borderId="0" xfId="0" applyAlignment="1">
      <alignment horizontal="center" vertical="center"/>
    </xf>
    <xf numFmtId="0" fontId="5" fillId="2" borderId="39" xfId="0" applyFont="1" applyFill="1" applyBorder="1" applyAlignment="1">
      <alignment horizontal="center" vertical="center" wrapText="1"/>
    </xf>
    <xf numFmtId="0" fontId="52" fillId="3" borderId="8" xfId="0" applyFont="1" applyFill="1" applyBorder="1" applyAlignment="1">
      <alignment horizontal="center" vertical="center" wrapText="1"/>
    </xf>
    <xf numFmtId="49" fontId="52" fillId="3" borderId="6" xfId="0" applyNumberFormat="1" applyFont="1" applyFill="1" applyBorder="1" applyAlignment="1">
      <alignment horizontal="center" vertical="center" wrapText="1"/>
    </xf>
    <xf numFmtId="2" fontId="0" fillId="0" borderId="0" xfId="0" applyNumberFormat="1"/>
    <xf numFmtId="2" fontId="0" fillId="0" borderId="0" xfId="0" applyNumberFormat="1" applyAlignment="1">
      <alignment vertical="center" wrapText="1"/>
    </xf>
    <xf numFmtId="0" fontId="21" fillId="6" borderId="5" xfId="0" applyFont="1" applyFill="1" applyBorder="1" applyAlignment="1">
      <alignment horizontal="center" vertical="center"/>
    </xf>
    <xf numFmtId="0" fontId="16" fillId="3" borderId="0" xfId="0" applyFont="1" applyFill="1" applyAlignment="1">
      <alignment horizontal="center" vertical="center"/>
    </xf>
    <xf numFmtId="0" fontId="16" fillId="5" borderId="4" xfId="0" applyFont="1" applyFill="1" applyBorder="1" applyAlignment="1">
      <alignment horizontal="center" vertical="center"/>
    </xf>
    <xf numFmtId="0" fontId="17" fillId="5" borderId="0" xfId="0" applyFont="1" applyFill="1" applyAlignment="1">
      <alignment horizontal="center" vertical="center"/>
    </xf>
    <xf numFmtId="0" fontId="23" fillId="5" borderId="6" xfId="0" applyFont="1" applyFill="1" applyBorder="1" applyAlignment="1">
      <alignment horizontal="center" vertical="center" wrapText="1"/>
    </xf>
    <xf numFmtId="3" fontId="23" fillId="5" borderId="6" xfId="0" applyNumberFormat="1" applyFont="1" applyFill="1" applyBorder="1" applyAlignment="1">
      <alignment horizontal="center" vertical="center" wrapText="1"/>
    </xf>
    <xf numFmtId="0" fontId="22" fillId="5" borderId="6" xfId="0" applyFont="1" applyFill="1" applyBorder="1" applyAlignment="1">
      <alignment horizontal="center" vertical="center" wrapText="1"/>
    </xf>
    <xf numFmtId="3" fontId="22" fillId="5" borderId="6" xfId="0" applyNumberFormat="1" applyFont="1" applyFill="1" applyBorder="1" applyAlignment="1">
      <alignment horizontal="center" vertical="center" wrapText="1"/>
    </xf>
    <xf numFmtId="0" fontId="26" fillId="5" borderId="76" xfId="0" applyFont="1" applyFill="1" applyBorder="1" applyAlignment="1">
      <alignment horizontal="center" vertical="center"/>
    </xf>
    <xf numFmtId="0" fontId="26" fillId="5" borderId="75" xfId="0" applyFont="1" applyFill="1" applyBorder="1" applyAlignment="1">
      <alignment horizontal="center" vertical="center"/>
    </xf>
    <xf numFmtId="0" fontId="21" fillId="6" borderId="79" xfId="0" applyFont="1" applyFill="1" applyBorder="1" applyAlignment="1">
      <alignment horizontal="center" vertical="center" wrapText="1"/>
    </xf>
    <xf numFmtId="3" fontId="21" fillId="6" borderId="80" xfId="0" applyNumberFormat="1" applyFont="1" applyFill="1" applyBorder="1" applyAlignment="1">
      <alignment horizontal="center" vertical="center" wrapText="1"/>
    </xf>
    <xf numFmtId="165" fontId="22" fillId="3" borderId="81" xfId="0" applyNumberFormat="1" applyFont="1" applyFill="1" applyBorder="1" applyAlignment="1">
      <alignment horizontal="center" vertical="center" wrapText="1"/>
    </xf>
    <xf numFmtId="3" fontId="22" fillId="3" borderId="82" xfId="0" applyNumberFormat="1" applyFont="1" applyFill="1" applyBorder="1" applyAlignment="1">
      <alignment horizontal="center" vertical="center" wrapText="1"/>
    </xf>
    <xf numFmtId="9" fontId="23" fillId="3" borderId="83" xfId="3" applyFont="1" applyFill="1" applyBorder="1" applyAlignment="1">
      <alignment horizontal="center" vertical="center" wrapText="1"/>
    </xf>
    <xf numFmtId="3" fontId="23" fillId="3" borderId="74" xfId="0" applyNumberFormat="1" applyFont="1" applyFill="1" applyBorder="1" applyAlignment="1">
      <alignment horizontal="center" vertical="center" wrapText="1"/>
    </xf>
    <xf numFmtId="0" fontId="2" fillId="32" borderId="0" xfId="0" applyFont="1" applyFill="1" applyAlignment="1">
      <alignment horizontal="center" vertical="center" wrapText="1"/>
    </xf>
    <xf numFmtId="0" fontId="0" fillId="33" borderId="58" xfId="0" applyFill="1" applyBorder="1" applyAlignment="1">
      <alignment horizontal="center"/>
    </xf>
    <xf numFmtId="0" fontId="22" fillId="33" borderId="4" xfId="0" applyFont="1" applyFill="1" applyBorder="1" applyAlignment="1">
      <alignment horizontal="center" vertical="center" wrapText="1"/>
    </xf>
    <xf numFmtId="0" fontId="29" fillId="34" borderId="4" xfId="0" applyFont="1" applyFill="1" applyBorder="1" applyAlignment="1">
      <alignment horizontal="center" vertical="center" wrapText="1"/>
    </xf>
    <xf numFmtId="3" fontId="29" fillId="34" borderId="4" xfId="0" applyNumberFormat="1" applyFont="1" applyFill="1" applyBorder="1" applyAlignment="1">
      <alignment horizontal="center" vertical="center" wrapText="1"/>
    </xf>
    <xf numFmtId="0" fontId="22" fillId="34" borderId="4" xfId="0" applyFont="1" applyFill="1" applyBorder="1" applyAlignment="1">
      <alignment horizontal="center" vertical="center"/>
    </xf>
    <xf numFmtId="0" fontId="23" fillId="34" borderId="4" xfId="0" applyFont="1" applyFill="1" applyBorder="1" applyAlignment="1">
      <alignment horizontal="center" vertical="center"/>
    </xf>
    <xf numFmtId="10" fontId="22" fillId="34" borderId="4" xfId="0" applyNumberFormat="1" applyFont="1" applyFill="1" applyBorder="1" applyAlignment="1">
      <alignment horizontal="center" vertical="center"/>
    </xf>
    <xf numFmtId="166" fontId="29" fillId="3" borderId="4" xfId="4" applyNumberFormat="1" applyFont="1" applyFill="1" applyBorder="1" applyAlignment="1">
      <alignment horizontal="center" vertical="center" wrapText="1"/>
    </xf>
    <xf numFmtId="166" fontId="28" fillId="3" borderId="4" xfId="4" applyNumberFormat="1" applyFont="1" applyFill="1" applyBorder="1" applyAlignment="1">
      <alignment horizontal="center" vertical="center" wrapText="1"/>
    </xf>
    <xf numFmtId="0" fontId="71" fillId="35" borderId="0" xfId="0" applyFont="1" applyFill="1" applyAlignment="1">
      <alignment wrapText="1"/>
    </xf>
    <xf numFmtId="0" fontId="27" fillId="26" borderId="11" xfId="0" applyFont="1" applyFill="1" applyBorder="1" applyAlignment="1">
      <alignment horizontal="center"/>
    </xf>
    <xf numFmtId="0" fontId="46" fillId="23" borderId="0" xfId="0" applyFont="1" applyFill="1" applyAlignment="1">
      <alignment horizontal="center"/>
    </xf>
    <xf numFmtId="0" fontId="29" fillId="23" borderId="0" xfId="0" applyFont="1" applyFill="1" applyAlignment="1">
      <alignment horizontal="center"/>
    </xf>
    <xf numFmtId="0" fontId="48" fillId="22" borderId="4" xfId="0" applyFont="1" applyFill="1" applyBorder="1" applyAlignment="1">
      <alignment horizontal="center"/>
    </xf>
    <xf numFmtId="0" fontId="22" fillId="34" borderId="4" xfId="0" applyFont="1" applyFill="1" applyBorder="1" applyAlignment="1">
      <alignment horizontal="center" vertical="center" wrapText="1"/>
    </xf>
    <xf numFmtId="0" fontId="98" fillId="2" borderId="10" xfId="0" applyFont="1" applyFill="1" applyBorder="1" applyAlignment="1">
      <alignment horizontal="center" vertical="center" wrapText="1"/>
    </xf>
    <xf numFmtId="0" fontId="98" fillId="2" borderId="12" xfId="0" applyFont="1" applyFill="1" applyBorder="1" applyAlignment="1">
      <alignment horizontal="center" vertical="center" wrapText="1"/>
    </xf>
    <xf numFmtId="0" fontId="76" fillId="0" borderId="12" xfId="0" applyFont="1" applyBorder="1" applyAlignment="1">
      <alignment horizontal="center" vertical="center" wrapText="1"/>
    </xf>
    <xf numFmtId="0" fontId="0" fillId="0" borderId="0" xfId="0" applyAlignment="1">
      <alignment wrapText="1"/>
    </xf>
    <xf numFmtId="10" fontId="0" fillId="0" borderId="0" xfId="0" applyNumberFormat="1"/>
    <xf numFmtId="1" fontId="6" fillId="3" borderId="4" xfId="0" applyNumberFormat="1" applyFont="1" applyFill="1" applyBorder="1" applyAlignment="1">
      <alignment horizontal="center" vertical="center"/>
    </xf>
    <xf numFmtId="0" fontId="29" fillId="22" borderId="67" xfId="0" applyFont="1" applyFill="1" applyBorder="1" applyAlignment="1">
      <alignment wrapText="1"/>
    </xf>
    <xf numFmtId="3" fontId="28" fillId="22" borderId="16" xfId="0" applyNumberFormat="1" applyFont="1" applyFill="1" applyBorder="1" applyAlignment="1">
      <alignment wrapText="1"/>
    </xf>
    <xf numFmtId="0" fontId="29" fillId="22" borderId="16" xfId="0" applyFont="1" applyFill="1" applyBorder="1" applyAlignment="1">
      <alignment wrapText="1"/>
    </xf>
    <xf numFmtId="0" fontId="99" fillId="0" borderId="16" xfId="0" applyFont="1" applyBorder="1"/>
    <xf numFmtId="0" fontId="0" fillId="0" borderId="16" xfId="0" applyBorder="1"/>
    <xf numFmtId="0" fontId="3" fillId="0" borderId="16" xfId="0" applyFont="1" applyBorder="1"/>
    <xf numFmtId="0" fontId="99" fillId="0" borderId="16" xfId="0" applyFont="1" applyBorder="1" applyAlignment="1">
      <alignment horizontal="center"/>
    </xf>
    <xf numFmtId="0" fontId="0" fillId="0" borderId="16" xfId="0" applyBorder="1" applyAlignment="1">
      <alignment horizontal="center"/>
    </xf>
    <xf numFmtId="0" fontId="3" fillId="0" borderId="16" xfId="0" applyFont="1" applyBorder="1" applyAlignment="1">
      <alignment horizontal="center"/>
    </xf>
    <xf numFmtId="0" fontId="100" fillId="36" borderId="16" xfId="0" applyFont="1" applyFill="1" applyBorder="1"/>
    <xf numFmtId="0" fontId="100" fillId="36" borderId="16" xfId="0" applyFont="1" applyFill="1" applyBorder="1" applyAlignment="1">
      <alignment horizontal="center"/>
    </xf>
    <xf numFmtId="0" fontId="2" fillId="36" borderId="16" xfId="0" applyFont="1" applyFill="1" applyBorder="1" applyAlignment="1">
      <alignment horizontal="center"/>
    </xf>
    <xf numFmtId="0" fontId="90" fillId="0" borderId="0" xfId="0" applyFont="1"/>
    <xf numFmtId="0" fontId="100" fillId="36" borderId="0" xfId="0" applyFont="1" applyFill="1"/>
    <xf numFmtId="0" fontId="2" fillId="36" borderId="0" xfId="0" applyFont="1" applyFill="1" applyAlignment="1">
      <alignment horizontal="center"/>
    </xf>
    <xf numFmtId="0" fontId="100" fillId="36" borderId="0" xfId="0" applyFont="1" applyFill="1" applyAlignment="1">
      <alignment horizontal="center"/>
    </xf>
    <xf numFmtId="0" fontId="90" fillId="0" borderId="67" xfId="0" applyFont="1" applyBorder="1"/>
    <xf numFmtId="0" fontId="99" fillId="0" borderId="67" xfId="0" applyFont="1" applyBorder="1" applyAlignment="1">
      <alignment horizontal="center"/>
    </xf>
    <xf numFmtId="0" fontId="90" fillId="0" borderId="16" xfId="0" applyFont="1" applyBorder="1"/>
    <xf numFmtId="0" fontId="90" fillId="0" borderId="67" xfId="0" applyFont="1" applyBorder="1" applyAlignment="1">
      <alignment horizontal="center"/>
    </xf>
    <xf numFmtId="0" fontId="90" fillId="0" borderId="16" xfId="0" applyFont="1" applyBorder="1" applyAlignment="1">
      <alignment horizontal="center"/>
    </xf>
    <xf numFmtId="0" fontId="29" fillId="3" borderId="4" xfId="0" applyFont="1" applyFill="1" applyBorder="1" applyAlignment="1">
      <alignment horizontal="center" vertical="top"/>
    </xf>
    <xf numFmtId="3" fontId="6" fillId="7" borderId="4" xfId="0" applyNumberFormat="1" applyFont="1" applyFill="1" applyBorder="1" applyAlignment="1">
      <alignment horizontal="center" vertical="center"/>
    </xf>
    <xf numFmtId="0" fontId="22" fillId="3" borderId="7" xfId="0" applyFont="1" applyFill="1" applyBorder="1" applyAlignment="1">
      <alignment horizontal="center" vertical="center" wrapText="1"/>
    </xf>
    <xf numFmtId="0" fontId="95" fillId="8" borderId="0" xfId="0" applyFont="1" applyFill="1" applyAlignment="1">
      <alignment horizontal="center"/>
    </xf>
    <xf numFmtId="0" fontId="25" fillId="0" borderId="0" xfId="2" applyFill="1" applyAlignment="1">
      <alignment vertical="center"/>
    </xf>
    <xf numFmtId="0" fontId="0" fillId="33" borderId="0" xfId="0" applyFill="1" applyAlignment="1">
      <alignment horizontal="center"/>
    </xf>
    <xf numFmtId="0" fontId="22" fillId="5" borderId="4" xfId="0" applyFont="1" applyFill="1" applyBorder="1" applyAlignment="1">
      <alignment horizontal="justify" vertical="center"/>
    </xf>
    <xf numFmtId="0" fontId="21" fillId="34" borderId="4" xfId="0" applyFont="1" applyFill="1" applyBorder="1" applyAlignment="1">
      <alignment horizontal="center" vertical="center"/>
    </xf>
    <xf numFmtId="0" fontId="21" fillId="34"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0" xfId="0" applyFont="1" applyFill="1" applyAlignment="1">
      <alignment horizontal="center" vertical="center" wrapText="1"/>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xf>
    <xf numFmtId="0" fontId="6" fillId="3" borderId="0" xfId="0" applyFont="1" applyFill="1" applyAlignment="1">
      <alignment horizontal="center" vertical="center"/>
    </xf>
    <xf numFmtId="0" fontId="6" fillId="3" borderId="4" xfId="0" applyFont="1" applyFill="1" applyBorder="1" applyAlignment="1">
      <alignment horizontal="center" vertical="center"/>
    </xf>
    <xf numFmtId="0" fontId="7" fillId="3" borderId="5"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9"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3" fillId="32" borderId="0" xfId="0" applyFont="1" applyFill="1" applyAlignment="1">
      <alignment horizontal="center"/>
    </xf>
    <xf numFmtId="0" fontId="7"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0" xfId="0" applyFont="1" applyFill="1" applyAlignment="1">
      <alignment horizontal="center" vertical="center" wrapText="1"/>
    </xf>
    <xf numFmtId="0" fontId="7" fillId="3" borderId="11"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0" xfId="0" applyFont="1" applyFill="1" applyAlignment="1">
      <alignment horizontal="center" vertical="center" wrapText="1"/>
    </xf>
    <xf numFmtId="0" fontId="10" fillId="3" borderId="4" xfId="0" applyFont="1" applyFill="1" applyBorder="1" applyAlignment="1">
      <alignment horizontal="center" vertical="center" wrapText="1"/>
    </xf>
    <xf numFmtId="0" fontId="23" fillId="3" borderId="39" xfId="0" applyFont="1" applyFill="1" applyBorder="1" applyAlignment="1">
      <alignment horizontal="center" vertical="center" wrapText="1"/>
    </xf>
    <xf numFmtId="0" fontId="23" fillId="3" borderId="70" xfId="0" applyFont="1" applyFill="1" applyBorder="1" applyAlignment="1">
      <alignment horizontal="center" vertical="center" wrapText="1"/>
    </xf>
    <xf numFmtId="0" fontId="23" fillId="3" borderId="69" xfId="0" applyFont="1" applyFill="1" applyBorder="1" applyAlignment="1">
      <alignment horizontal="center" vertical="center" wrapText="1"/>
    </xf>
    <xf numFmtId="0" fontId="22" fillId="3" borderId="39" xfId="0" applyFont="1" applyFill="1" applyBorder="1" applyAlignment="1">
      <alignment horizontal="center" vertical="center"/>
    </xf>
    <xf numFmtId="0" fontId="22" fillId="3" borderId="69" xfId="0" applyFont="1" applyFill="1" applyBorder="1" applyAlignment="1">
      <alignment horizontal="center" vertical="center"/>
    </xf>
    <xf numFmtId="0" fontId="22" fillId="3" borderId="39" xfId="0" applyFont="1" applyFill="1" applyBorder="1" applyAlignment="1">
      <alignment horizontal="center" vertical="center" wrapText="1"/>
    </xf>
    <xf numFmtId="0" fontId="22" fillId="3" borderId="69" xfId="0" applyFont="1" applyFill="1" applyBorder="1" applyAlignment="1">
      <alignment horizontal="center" vertical="center" wrapText="1"/>
    </xf>
    <xf numFmtId="0" fontId="35" fillId="2" borderId="5" xfId="0" applyFont="1" applyFill="1" applyBorder="1" applyAlignment="1">
      <alignment horizontal="center" vertical="center" wrapText="1"/>
    </xf>
    <xf numFmtId="0" fontId="35" fillId="2" borderId="4" xfId="0" applyFont="1" applyFill="1" applyBorder="1" applyAlignment="1">
      <alignment horizontal="center" vertical="center" wrapText="1"/>
    </xf>
    <xf numFmtId="0" fontId="0" fillId="2" borderId="5" xfId="0" applyFill="1" applyBorder="1" applyAlignment="1">
      <alignment vertical="center" wrapText="1"/>
    </xf>
    <xf numFmtId="0" fontId="0" fillId="2" borderId="4" xfId="0" applyFill="1" applyBorder="1" applyAlignment="1">
      <alignment vertical="center" wrapText="1"/>
    </xf>
    <xf numFmtId="0" fontId="37" fillId="6" borderId="11" xfId="0" applyFont="1" applyFill="1" applyBorder="1" applyAlignment="1">
      <alignment horizontal="center" vertical="center" wrapText="1"/>
    </xf>
    <xf numFmtId="0" fontId="29" fillId="3" borderId="5" xfId="0" applyFont="1" applyFill="1" applyBorder="1" applyAlignment="1">
      <alignment horizontal="center" vertical="center" wrapText="1"/>
    </xf>
    <xf numFmtId="0" fontId="29" fillId="3" borderId="4" xfId="0" applyFont="1" applyFill="1" applyBorder="1" applyAlignment="1">
      <alignment horizontal="center" vertical="center" wrapText="1"/>
    </xf>
    <xf numFmtId="0" fontId="27" fillId="6" borderId="4" xfId="0" applyFont="1" applyFill="1" applyBorder="1" applyAlignment="1">
      <alignment horizontal="center" vertical="center" wrapText="1"/>
    </xf>
    <xf numFmtId="0" fontId="29" fillId="3" borderId="0" xfId="0" applyFont="1" applyFill="1" applyAlignment="1">
      <alignment horizontal="center" vertical="center" wrapText="1"/>
    </xf>
    <xf numFmtId="0" fontId="27" fillId="6" borderId="0" xfId="0" applyFont="1" applyFill="1" applyAlignment="1">
      <alignment horizontal="center" vertical="center" wrapText="1"/>
    </xf>
    <xf numFmtId="0" fontId="27" fillId="31" borderId="0" xfId="0" applyFont="1" applyFill="1" applyAlignment="1">
      <alignment horizontal="center" vertical="center" wrapText="1"/>
    </xf>
    <xf numFmtId="0" fontId="27" fillId="31" borderId="4" xfId="0" applyFont="1" applyFill="1" applyBorder="1" applyAlignment="1">
      <alignment horizontal="center" vertical="center" wrapText="1"/>
    </xf>
    <xf numFmtId="0" fontId="62" fillId="8" borderId="77" xfId="0" applyFont="1" applyFill="1" applyBorder="1" applyAlignment="1">
      <alignment horizontal="center"/>
    </xf>
    <xf numFmtId="0" fontId="62" fillId="8" borderId="78" xfId="0" applyFont="1" applyFill="1" applyBorder="1" applyAlignment="1">
      <alignment horizontal="center"/>
    </xf>
    <xf numFmtId="0" fontId="62" fillId="8" borderId="76" xfId="0" applyFont="1" applyFill="1" applyBorder="1" applyAlignment="1">
      <alignment horizontal="center"/>
    </xf>
    <xf numFmtId="0" fontId="21" fillId="6" borderId="5" xfId="0" applyFont="1" applyFill="1" applyBorder="1" applyAlignment="1">
      <alignment horizontal="center" vertical="center" wrapText="1"/>
    </xf>
    <xf numFmtId="0" fontId="21" fillId="6" borderId="0" xfId="0" applyFont="1" applyFill="1" applyAlignment="1">
      <alignment horizontal="center" vertical="center" wrapText="1"/>
    </xf>
    <xf numFmtId="0" fontId="21" fillId="6" borderId="11" xfId="0" applyFont="1" applyFill="1" applyBorder="1" applyAlignment="1">
      <alignment horizontal="center" vertical="center" wrapText="1"/>
    </xf>
    <xf numFmtId="0" fontId="24" fillId="3" borderId="5" xfId="0" applyFont="1" applyFill="1" applyBorder="1" applyAlignment="1">
      <alignment horizontal="center" vertical="center" wrapText="1"/>
    </xf>
    <xf numFmtId="0" fontId="24" fillId="3" borderId="4" xfId="0" applyFont="1" applyFill="1" applyBorder="1" applyAlignment="1">
      <alignment horizontal="center" vertical="center" wrapText="1"/>
    </xf>
    <xf numFmtId="0" fontId="24" fillId="3" borderId="0" xfId="0" applyFont="1" applyFill="1" applyAlignment="1">
      <alignment horizontal="center" vertical="center" wrapText="1"/>
    </xf>
    <xf numFmtId="0" fontId="24" fillId="3" borderId="5" xfId="0" applyFont="1" applyFill="1" applyBorder="1" applyAlignment="1">
      <alignment horizontal="justify" vertical="center" wrapText="1"/>
    </xf>
    <xf numFmtId="0" fontId="24" fillId="3" borderId="0" xfId="0" applyFont="1" applyFill="1" applyAlignment="1">
      <alignment horizontal="justify" vertical="center" wrapText="1"/>
    </xf>
    <xf numFmtId="0" fontId="24" fillId="3" borderId="4" xfId="0" applyFont="1" applyFill="1" applyBorder="1" applyAlignment="1">
      <alignment horizontal="justify" vertical="center" wrapText="1"/>
    </xf>
    <xf numFmtId="0" fontId="29" fillId="3" borderId="18" xfId="0" applyFont="1" applyFill="1" applyBorder="1" applyAlignment="1">
      <alignment horizontal="center" vertical="center" wrapText="1"/>
    </xf>
    <xf numFmtId="0" fontId="47" fillId="3" borderId="4" xfId="0" applyFont="1" applyFill="1" applyBorder="1" applyAlignment="1">
      <alignment horizontal="left" vertical="center" wrapText="1" indent="2"/>
    </xf>
    <xf numFmtId="0" fontId="28" fillId="3" borderId="0" xfId="0" applyFont="1" applyFill="1" applyAlignment="1">
      <alignment horizontal="center" vertical="center" wrapText="1"/>
    </xf>
    <xf numFmtId="0" fontId="47" fillId="3" borderId="0" xfId="0" applyFont="1" applyFill="1" applyAlignment="1">
      <alignment horizontal="left" vertical="center" wrapText="1" indent="2"/>
    </xf>
    <xf numFmtId="0" fontId="28" fillId="3" borderId="4" xfId="0" applyFont="1" applyFill="1" applyBorder="1" applyAlignment="1">
      <alignment horizontal="center" vertical="center" wrapText="1"/>
    </xf>
    <xf numFmtId="0" fontId="29" fillId="3" borderId="0" xfId="0" applyFont="1" applyFill="1" applyAlignment="1">
      <alignment horizontal="left" vertical="center" wrapText="1" indent="2"/>
    </xf>
    <xf numFmtId="0" fontId="29" fillId="3" borderId="4" xfId="0" applyFont="1" applyFill="1" applyBorder="1" applyAlignment="1">
      <alignment horizontal="left" vertical="center" wrapText="1" indent="2"/>
    </xf>
    <xf numFmtId="0" fontId="21" fillId="6" borderId="5" xfId="0" applyFont="1" applyFill="1" applyBorder="1" applyAlignment="1">
      <alignment horizontal="center" vertical="center"/>
    </xf>
    <xf numFmtId="0" fontId="21" fillId="6" borderId="4" xfId="0" applyFont="1" applyFill="1" applyBorder="1" applyAlignment="1">
      <alignment horizontal="center" vertical="center"/>
    </xf>
    <xf numFmtId="0" fontId="21" fillId="6" borderId="4" xfId="0" applyFont="1" applyFill="1" applyBorder="1" applyAlignment="1">
      <alignment horizontal="center" vertical="center" wrapText="1"/>
    </xf>
    <xf numFmtId="0" fontId="21" fillId="6" borderId="11" xfId="0" applyFont="1" applyFill="1" applyBorder="1" applyAlignment="1">
      <alignment horizontal="center" vertical="center"/>
    </xf>
    <xf numFmtId="0" fontId="22" fillId="3" borderId="5" xfId="0" applyFont="1" applyFill="1" applyBorder="1" applyAlignment="1">
      <alignment horizontal="center" vertical="center" wrapText="1"/>
    </xf>
    <xf numFmtId="0" fontId="22" fillId="3" borderId="4" xfId="0" applyFont="1" applyFill="1" applyBorder="1" applyAlignment="1">
      <alignment horizontal="center" vertical="center" wrapText="1"/>
    </xf>
    <xf numFmtId="0" fontId="33" fillId="2" borderId="24" xfId="0" applyFont="1" applyFill="1" applyBorder="1" applyAlignment="1">
      <alignment horizontal="center" vertical="center" wrapText="1"/>
    </xf>
    <xf numFmtId="0" fontId="33" fillId="2" borderId="22" xfId="0" applyFont="1" applyFill="1" applyBorder="1" applyAlignment="1">
      <alignment horizontal="center" vertical="center" wrapText="1"/>
    </xf>
    <xf numFmtId="0" fontId="33" fillId="2" borderId="27" xfId="0" applyFont="1" applyFill="1" applyBorder="1" applyAlignment="1">
      <alignment horizontal="center" vertical="center" wrapText="1"/>
    </xf>
    <xf numFmtId="0" fontId="33" fillId="2" borderId="25" xfId="0" applyFont="1" applyFill="1" applyBorder="1" applyAlignment="1">
      <alignment horizontal="center" vertical="center" wrapText="1"/>
    </xf>
    <xf numFmtId="0" fontId="29" fillId="0" borderId="5" xfId="0" applyFont="1" applyBorder="1" applyAlignment="1">
      <alignment horizontal="center" vertical="center" wrapText="1"/>
    </xf>
    <xf numFmtId="0" fontId="29" fillId="0" borderId="4" xfId="0" applyFont="1" applyBorder="1" applyAlignment="1">
      <alignment horizontal="center" vertical="center" wrapText="1"/>
    </xf>
    <xf numFmtId="0" fontId="27" fillId="6" borderId="11" xfId="0" applyFont="1" applyFill="1" applyBorder="1" applyAlignment="1">
      <alignment horizontal="center" vertical="center" wrapText="1"/>
    </xf>
    <xf numFmtId="0" fontId="27" fillId="6" borderId="5" xfId="0" applyFont="1" applyFill="1" applyBorder="1" applyAlignment="1">
      <alignment horizontal="center" vertical="center" wrapText="1"/>
    </xf>
    <xf numFmtId="0" fontId="28" fillId="3" borderId="5" xfId="0" applyFont="1" applyFill="1" applyBorder="1" applyAlignment="1">
      <alignment horizontal="center" vertical="center" wrapText="1"/>
    </xf>
    <xf numFmtId="0" fontId="12" fillId="2" borderId="35"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5" fillId="18" borderId="38" xfId="0" applyFont="1" applyFill="1" applyBorder="1" applyAlignment="1">
      <alignment horizontal="center" vertical="center" wrapText="1"/>
    </xf>
    <xf numFmtId="0" fontId="7" fillId="3" borderId="37" xfId="0" applyFont="1" applyFill="1" applyBorder="1" applyAlignment="1">
      <alignment horizontal="center" vertical="center" wrapText="1"/>
    </xf>
    <xf numFmtId="0" fontId="6" fillId="3" borderId="37"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8" fillId="3" borderId="63" xfId="0" applyFont="1" applyFill="1" applyBorder="1" applyAlignment="1">
      <alignment horizontal="center" vertical="center" wrapText="1"/>
    </xf>
    <xf numFmtId="0" fontId="8" fillId="3" borderId="64" xfId="0" applyFont="1" applyFill="1" applyBorder="1" applyAlignment="1">
      <alignment horizontal="center" vertical="center" wrapText="1"/>
    </xf>
    <xf numFmtId="0" fontId="8" fillId="3" borderId="65" xfId="0" applyFont="1" applyFill="1" applyBorder="1" applyAlignment="1">
      <alignment horizontal="center" vertical="center" wrapText="1"/>
    </xf>
    <xf numFmtId="0" fontId="8" fillId="3" borderId="66" xfId="0" applyFont="1" applyFill="1" applyBorder="1" applyAlignment="1">
      <alignment horizontal="center" vertical="center" wrapText="1"/>
    </xf>
    <xf numFmtId="0" fontId="55" fillId="3" borderId="5" xfId="0" applyFont="1" applyFill="1" applyBorder="1" applyAlignment="1">
      <alignment horizontal="center" vertical="center" wrapText="1"/>
    </xf>
    <xf numFmtId="0" fontId="55" fillId="3" borderId="0" xfId="0" applyFont="1" applyFill="1" applyAlignment="1">
      <alignment horizontal="center" vertical="center" wrapText="1"/>
    </xf>
    <xf numFmtId="0" fontId="55" fillId="3" borderId="4" xfId="0" applyFont="1" applyFill="1" applyBorder="1" applyAlignment="1">
      <alignment horizontal="center" vertical="center" wrapText="1"/>
    </xf>
    <xf numFmtId="0" fontId="56" fillId="3" borderId="11"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58" fillId="19" borderId="11" xfId="0" applyFont="1" applyFill="1" applyBorder="1" applyAlignment="1">
      <alignment horizontal="center" vertical="center" wrapText="1"/>
    </xf>
    <xf numFmtId="0" fontId="11" fillId="19" borderId="11" xfId="0" applyFont="1" applyFill="1" applyBorder="1" applyAlignment="1">
      <alignment horizontal="center" vertical="center" wrapText="1"/>
    </xf>
    <xf numFmtId="0" fontId="34" fillId="3" borderId="4" xfId="0" applyFont="1" applyFill="1" applyBorder="1" applyAlignment="1">
      <alignment horizontal="center" vertical="center" wrapText="1"/>
    </xf>
    <xf numFmtId="0" fontId="34" fillId="3" borderId="5" xfId="0" applyFont="1" applyFill="1" applyBorder="1" applyAlignment="1">
      <alignment horizontal="center" vertical="center" wrapText="1"/>
    </xf>
    <xf numFmtId="0" fontId="34" fillId="3" borderId="0" xfId="0" applyFont="1" applyFill="1" applyAlignment="1">
      <alignment horizontal="center" vertical="center" wrapText="1"/>
    </xf>
    <xf numFmtId="0" fontId="34" fillId="3" borderId="11" xfId="0" applyFont="1" applyFill="1" applyBorder="1" applyAlignment="1">
      <alignment horizontal="center" vertical="center" wrapText="1"/>
    </xf>
    <xf numFmtId="0" fontId="36" fillId="3" borderId="11" xfId="0" applyFont="1" applyFill="1" applyBorder="1" applyAlignment="1">
      <alignment horizontal="center" vertical="center" wrapText="1"/>
    </xf>
    <xf numFmtId="0" fontId="50" fillId="3" borderId="11"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4" fillId="3" borderId="11" xfId="0" applyFont="1" applyFill="1" applyBorder="1" applyAlignment="1">
      <alignment horizontal="center" vertical="center" wrapText="1"/>
    </xf>
    <xf numFmtId="0" fontId="27" fillId="2" borderId="34" xfId="0" applyFont="1" applyFill="1" applyBorder="1" applyAlignment="1">
      <alignment horizontal="center" vertical="center" wrapText="1"/>
    </xf>
    <xf numFmtId="0" fontId="29" fillId="3" borderId="0" xfId="0" applyFont="1" applyFill="1" applyAlignment="1">
      <alignment horizontal="left" vertical="center" wrapText="1"/>
    </xf>
    <xf numFmtId="0" fontId="59" fillId="3" borderId="4" xfId="0" applyFont="1" applyFill="1" applyBorder="1" applyAlignment="1">
      <alignment horizontal="center" vertical="center" wrapText="1"/>
    </xf>
    <xf numFmtId="0" fontId="27" fillId="2" borderId="11" xfId="0" applyFont="1" applyFill="1" applyBorder="1" applyAlignment="1">
      <alignment horizontal="center" vertical="center" wrapText="1"/>
    </xf>
    <xf numFmtId="0" fontId="28" fillId="3" borderId="4" xfId="0" applyFont="1" applyFill="1" applyBorder="1" applyAlignment="1">
      <alignment horizontal="center" vertical="center"/>
    </xf>
    <xf numFmtId="3" fontId="60" fillId="3" borderId="11" xfId="0" applyNumberFormat="1" applyFont="1" applyFill="1" applyBorder="1" applyAlignment="1">
      <alignment horizontal="center" vertical="center"/>
    </xf>
    <xf numFmtId="0" fontId="29" fillId="3" borderId="0" xfId="0" applyFont="1" applyFill="1" applyAlignment="1">
      <alignment horizontal="center" vertical="center" textRotation="90"/>
    </xf>
    <xf numFmtId="9" fontId="29" fillId="3" borderId="11" xfId="0" applyNumberFormat="1" applyFont="1" applyFill="1" applyBorder="1" applyAlignment="1">
      <alignment horizontal="center" vertical="center"/>
    </xf>
    <xf numFmtId="0" fontId="27" fillId="2" borderId="11" xfId="0" applyFont="1" applyFill="1" applyBorder="1" applyAlignment="1">
      <alignment horizontal="center" vertical="center" textRotation="90" wrapText="1"/>
    </xf>
    <xf numFmtId="0" fontId="29" fillId="3" borderId="5" xfId="0" applyFont="1" applyFill="1" applyBorder="1" applyAlignment="1">
      <alignment horizontal="center" vertical="center" textRotation="90"/>
    </xf>
    <xf numFmtId="9" fontId="29" fillId="3" borderId="11" xfId="0" applyNumberFormat="1" applyFont="1" applyFill="1" applyBorder="1" applyAlignment="1">
      <alignment horizontal="center" vertical="center" wrapText="1"/>
    </xf>
    <xf numFmtId="0" fontId="23" fillId="3" borderId="11" xfId="0" applyFont="1" applyFill="1" applyBorder="1" applyAlignment="1">
      <alignment horizontal="center" vertical="center"/>
    </xf>
    <xf numFmtId="0" fontId="22" fillId="3" borderId="5" xfId="0" applyFont="1" applyFill="1" applyBorder="1" applyAlignment="1">
      <alignment horizontal="center" vertical="center"/>
    </xf>
    <xf numFmtId="0" fontId="22" fillId="3" borderId="4" xfId="0" applyFont="1" applyFill="1" applyBorder="1" applyAlignment="1">
      <alignment horizontal="center" vertical="center"/>
    </xf>
    <xf numFmtId="0" fontId="92" fillId="28" borderId="71" xfId="0" applyFont="1" applyFill="1" applyBorder="1" applyAlignment="1">
      <alignment horizontal="center"/>
    </xf>
    <xf numFmtId="0" fontId="92" fillId="28" borderId="0" xfId="0" applyFont="1" applyFill="1" applyAlignment="1">
      <alignment horizontal="center"/>
    </xf>
    <xf numFmtId="0" fontId="62" fillId="21" borderId="4" xfId="0" applyFont="1" applyFill="1" applyBorder="1" applyAlignment="1">
      <alignment horizontal="center"/>
    </xf>
    <xf numFmtId="0" fontId="62" fillId="21" borderId="84" xfId="0" applyFont="1" applyFill="1" applyBorder="1" applyAlignment="1">
      <alignment horizontal="center"/>
    </xf>
    <xf numFmtId="0" fontId="75" fillId="0" borderId="12" xfId="0" applyNumberFormat="1" applyFont="1" applyBorder="1" applyAlignment="1">
      <alignment horizontal="center" vertical="center"/>
    </xf>
  </cellXfs>
  <cellStyles count="9">
    <cellStyle name="Hipervínculo" xfId="2" builtinId="8"/>
    <cellStyle name="Hipervínculo 2" xfId="7" xr:uid="{146CF807-9F3C-4729-9821-605CC74B576E}"/>
    <cellStyle name="Millares" xfId="4" builtinId="3"/>
    <cellStyle name="Normal" xfId="0" builtinId="0"/>
    <cellStyle name="Normal 2" xfId="1" xr:uid="{FE6224F9-A7F3-4CFE-9F13-703D0AE111F6}"/>
    <cellStyle name="Normal 2 2" xfId="8" xr:uid="{5C532239-F42D-4885-B71F-0673CC7DF408}"/>
    <cellStyle name="Normal 2 3" xfId="5" xr:uid="{D9543CEA-09F4-4F42-A188-E0B33F49CB75}"/>
    <cellStyle name="Normal 3" xfId="6" xr:uid="{E17D5DCC-14C5-45DB-A8AB-916F38B3407C}"/>
    <cellStyle name="Porcentaje" xfId="3" builtinId="5"/>
  </cellStyles>
  <dxfs count="14">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theme="4" tint="-0.499984740745262"/>
        </right>
        <top style="thin">
          <color theme="4" tint="-0.499984740745262"/>
        </top>
        <bottom style="thin">
          <color theme="4" tint="-0.499984740745262"/>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theme="4" tint="-0.499984740745262"/>
        </top>
      </border>
    </dxf>
    <dxf>
      <border diagonalUp="0" diagonalDown="0">
        <left style="thin">
          <color theme="4" tint="-0.499984740745262"/>
        </left>
        <right style="thin">
          <color theme="4" tint="-0.499984740745262"/>
        </right>
        <top style="thin">
          <color theme="4" tint="-0.499984740745262"/>
        </top>
        <bottom style="thin">
          <color theme="4" tint="-0.499984740745262"/>
        </bottom>
      </border>
    </dxf>
    <dxf>
      <border>
        <bottom style="thin">
          <color theme="4" tint="-0.499984740745262"/>
        </bottom>
      </border>
    </dxf>
    <dxf>
      <border diagonalUp="0" diagonalDown="0">
        <left style="thin">
          <color theme="4" tint="-0.499984740745262"/>
        </left>
        <right style="thin">
          <color theme="4" tint="-0.499984740745262"/>
        </right>
        <top/>
        <bottom/>
        <vertical style="thin">
          <color theme="4" tint="-0.499984740745262"/>
        </vertical>
        <horizontal style="thin">
          <color theme="4" tint="-0.499984740745262"/>
        </horizontal>
      </border>
    </dxf>
  </dxfs>
  <tableStyles count="1" defaultTableStyle="TableStyleMedium2" defaultPivotStyle="PivotStyleLight16">
    <tableStyle name="Invisible" pivot="0" table="0" count="0" xr9:uid="{D8CB3CBB-4074-4503-A735-EC0A64E739F7}"/>
  </tableStyles>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7" Type="http://schemas.openxmlformats.org/officeDocument/2006/relationships/customXml" Target="../customXml/item1.xml"/><Relationship Id="rId172"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customXml" Target="../customXml/item2.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sharedStrings" Target="sharedStrings.xml"/><Relationship Id="rId179" Type="http://schemas.openxmlformats.org/officeDocument/2006/relationships/customXml" Target="../customXml/item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microsoft.com/office/2017/10/relationships/person" Target="persons/person.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calcChain" Target="calcChain.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1'!$A$5</c:f>
              <c:strCache>
                <c:ptCount val="1"/>
                <c:pt idx="0">
                  <c:v>Tiempo Completo</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1'!$B$4:$O$4</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1'!$B$5:$O$5</c:f>
              <c:numCache>
                <c:formatCode>General</c:formatCode>
                <c:ptCount val="14"/>
                <c:pt idx="0">
                  <c:v>216</c:v>
                </c:pt>
                <c:pt idx="1">
                  <c:v>236</c:v>
                </c:pt>
                <c:pt idx="2">
                  <c:v>231</c:v>
                </c:pt>
                <c:pt idx="3">
                  <c:v>371</c:v>
                </c:pt>
                <c:pt idx="4">
                  <c:v>355</c:v>
                </c:pt>
                <c:pt idx="5">
                  <c:v>436</c:v>
                </c:pt>
                <c:pt idx="6">
                  <c:v>503</c:v>
                </c:pt>
                <c:pt idx="7">
                  <c:v>499</c:v>
                </c:pt>
                <c:pt idx="8">
                  <c:v>536</c:v>
                </c:pt>
                <c:pt idx="9">
                  <c:v>594</c:v>
                </c:pt>
                <c:pt idx="10">
                  <c:v>591</c:v>
                </c:pt>
                <c:pt idx="11">
                  <c:v>649</c:v>
                </c:pt>
                <c:pt idx="12">
                  <c:v>666</c:v>
                </c:pt>
                <c:pt idx="13">
                  <c:v>690</c:v>
                </c:pt>
              </c:numCache>
            </c:numRef>
          </c:val>
          <c:extLst>
            <c:ext xmlns:c16="http://schemas.microsoft.com/office/drawing/2014/chart" uri="{C3380CC4-5D6E-409C-BE32-E72D297353CC}">
              <c16:uniqueId val="{00000000-7CA5-4805-985F-54A0E3D3E8C5}"/>
            </c:ext>
          </c:extLst>
        </c:ser>
        <c:ser>
          <c:idx val="1"/>
          <c:order val="1"/>
          <c:tx>
            <c:strRef>
              <c:f>'Gráfico 1'!$A$6</c:f>
              <c:strCache>
                <c:ptCount val="1"/>
                <c:pt idx="0">
                  <c:v>Medio Tiempo</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1'!$B$4:$O$4</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1'!$B$6:$O$6</c:f>
              <c:numCache>
                <c:formatCode>General</c:formatCode>
                <c:ptCount val="14"/>
                <c:pt idx="0">
                  <c:v>47</c:v>
                </c:pt>
                <c:pt idx="1">
                  <c:v>50</c:v>
                </c:pt>
                <c:pt idx="2">
                  <c:v>68</c:v>
                </c:pt>
                <c:pt idx="3">
                  <c:v>118</c:v>
                </c:pt>
                <c:pt idx="4">
                  <c:v>100</c:v>
                </c:pt>
                <c:pt idx="5">
                  <c:v>133</c:v>
                </c:pt>
                <c:pt idx="6">
                  <c:v>136</c:v>
                </c:pt>
                <c:pt idx="7">
                  <c:v>183</c:v>
                </c:pt>
                <c:pt idx="8">
                  <c:v>165</c:v>
                </c:pt>
                <c:pt idx="9">
                  <c:v>195</c:v>
                </c:pt>
                <c:pt idx="10">
                  <c:v>180</c:v>
                </c:pt>
                <c:pt idx="11">
                  <c:v>273</c:v>
                </c:pt>
                <c:pt idx="12">
                  <c:v>276</c:v>
                </c:pt>
                <c:pt idx="13">
                  <c:v>329</c:v>
                </c:pt>
              </c:numCache>
            </c:numRef>
          </c:val>
          <c:extLst>
            <c:ext xmlns:c16="http://schemas.microsoft.com/office/drawing/2014/chart" uri="{C3380CC4-5D6E-409C-BE32-E72D297353CC}">
              <c16:uniqueId val="{00000001-7CA5-4805-985F-54A0E3D3E8C5}"/>
            </c:ext>
          </c:extLst>
        </c:ser>
        <c:ser>
          <c:idx val="2"/>
          <c:order val="2"/>
          <c:tx>
            <c:strRef>
              <c:f>'Gráfico 1'!$A$7</c:f>
              <c:strCache>
                <c:ptCount val="1"/>
                <c:pt idx="0">
                  <c:v>Hora Cátedra</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1'!$B$4:$O$4</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1'!$B$7:$O$7</c:f>
              <c:numCache>
                <c:formatCode>General</c:formatCode>
                <c:ptCount val="14"/>
                <c:pt idx="0">
                  <c:v>1016</c:v>
                </c:pt>
                <c:pt idx="1">
                  <c:v>948</c:v>
                </c:pt>
                <c:pt idx="2">
                  <c:v>704</c:v>
                </c:pt>
                <c:pt idx="3">
                  <c:v>342</c:v>
                </c:pt>
                <c:pt idx="4">
                  <c:v>397</c:v>
                </c:pt>
                <c:pt idx="5">
                  <c:v>303</c:v>
                </c:pt>
                <c:pt idx="6">
                  <c:v>222</c:v>
                </c:pt>
                <c:pt idx="7">
                  <c:v>190</c:v>
                </c:pt>
                <c:pt idx="8">
                  <c:v>179</c:v>
                </c:pt>
                <c:pt idx="9">
                  <c:v>199</c:v>
                </c:pt>
                <c:pt idx="10">
                  <c:v>153</c:v>
                </c:pt>
                <c:pt idx="11">
                  <c:v>136</c:v>
                </c:pt>
                <c:pt idx="12">
                  <c:v>96</c:v>
                </c:pt>
                <c:pt idx="13">
                  <c:v>63</c:v>
                </c:pt>
              </c:numCache>
            </c:numRef>
          </c:val>
          <c:extLst>
            <c:ext xmlns:c16="http://schemas.microsoft.com/office/drawing/2014/chart" uri="{C3380CC4-5D6E-409C-BE32-E72D297353CC}">
              <c16:uniqueId val="{00000002-7CA5-4805-985F-54A0E3D3E8C5}"/>
            </c:ext>
          </c:extLst>
        </c:ser>
        <c:dLbls>
          <c:showLegendKey val="0"/>
          <c:showVal val="0"/>
          <c:showCatName val="0"/>
          <c:showSerName val="0"/>
          <c:showPercent val="0"/>
          <c:showBubbleSize val="0"/>
        </c:dLbls>
        <c:gapWidth val="219"/>
        <c:overlap val="-27"/>
        <c:axId val="1012623584"/>
        <c:axId val="1012641824"/>
      </c:barChart>
      <c:catAx>
        <c:axId val="101262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012641824"/>
        <c:crosses val="autoZero"/>
        <c:auto val="1"/>
        <c:lblAlgn val="ctr"/>
        <c:lblOffset val="100"/>
        <c:noMultiLvlLbl val="0"/>
      </c:catAx>
      <c:valAx>
        <c:axId val="1012641824"/>
        <c:scaling>
          <c:orientation val="minMax"/>
        </c:scaling>
        <c:delete val="1"/>
        <c:axPos val="l"/>
        <c:numFmt formatCode="General" sourceLinked="1"/>
        <c:majorTickMark val="none"/>
        <c:minorTickMark val="none"/>
        <c:tickLblPos val="nextTo"/>
        <c:crossAx val="1012623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2'!$A$5</c:f>
              <c:strCache>
                <c:ptCount val="1"/>
                <c:pt idx="0">
                  <c:v>Doctorado</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2'!$B$4:$O$4</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2'!$B$5:$O$5</c:f>
              <c:numCache>
                <c:formatCode>General</c:formatCode>
                <c:ptCount val="14"/>
                <c:pt idx="0">
                  <c:v>35</c:v>
                </c:pt>
                <c:pt idx="1">
                  <c:v>41</c:v>
                </c:pt>
                <c:pt idx="2">
                  <c:v>37</c:v>
                </c:pt>
                <c:pt idx="3">
                  <c:v>47</c:v>
                </c:pt>
                <c:pt idx="4">
                  <c:v>37</c:v>
                </c:pt>
                <c:pt idx="5">
                  <c:v>51</c:v>
                </c:pt>
                <c:pt idx="6">
                  <c:v>47</c:v>
                </c:pt>
                <c:pt idx="7">
                  <c:v>46</c:v>
                </c:pt>
                <c:pt idx="8">
                  <c:v>53</c:v>
                </c:pt>
                <c:pt idx="9">
                  <c:v>71</c:v>
                </c:pt>
                <c:pt idx="10">
                  <c:v>77</c:v>
                </c:pt>
                <c:pt idx="11">
                  <c:v>94</c:v>
                </c:pt>
                <c:pt idx="12">
                  <c:v>89</c:v>
                </c:pt>
                <c:pt idx="13">
                  <c:v>85</c:v>
                </c:pt>
              </c:numCache>
            </c:numRef>
          </c:val>
          <c:extLst>
            <c:ext xmlns:c16="http://schemas.microsoft.com/office/drawing/2014/chart" uri="{C3380CC4-5D6E-409C-BE32-E72D297353CC}">
              <c16:uniqueId val="{00000000-6630-4670-B6CB-81FFD708045D}"/>
            </c:ext>
          </c:extLst>
        </c:ser>
        <c:ser>
          <c:idx val="1"/>
          <c:order val="1"/>
          <c:tx>
            <c:strRef>
              <c:f>'Gráfico 2'!$A$6</c:f>
              <c:strCache>
                <c:ptCount val="1"/>
                <c:pt idx="0">
                  <c:v>Maestría</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2'!$B$4:$O$4</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2'!$B$6:$O$6</c:f>
              <c:numCache>
                <c:formatCode>General</c:formatCode>
                <c:ptCount val="14"/>
                <c:pt idx="0">
                  <c:v>784</c:v>
                </c:pt>
                <c:pt idx="1">
                  <c:v>830</c:v>
                </c:pt>
                <c:pt idx="2">
                  <c:v>691</c:v>
                </c:pt>
                <c:pt idx="3">
                  <c:v>604</c:v>
                </c:pt>
                <c:pt idx="4">
                  <c:v>666</c:v>
                </c:pt>
                <c:pt idx="5">
                  <c:v>593</c:v>
                </c:pt>
                <c:pt idx="6">
                  <c:v>597</c:v>
                </c:pt>
                <c:pt idx="7">
                  <c:v>686</c:v>
                </c:pt>
                <c:pt idx="8">
                  <c:v>699</c:v>
                </c:pt>
                <c:pt idx="9">
                  <c:v>766</c:v>
                </c:pt>
                <c:pt idx="10">
                  <c:v>708</c:v>
                </c:pt>
                <c:pt idx="11">
                  <c:v>819</c:v>
                </c:pt>
                <c:pt idx="12">
                  <c:v>794</c:v>
                </c:pt>
                <c:pt idx="13">
                  <c:v>829</c:v>
                </c:pt>
              </c:numCache>
            </c:numRef>
          </c:val>
          <c:extLst>
            <c:ext xmlns:c16="http://schemas.microsoft.com/office/drawing/2014/chart" uri="{C3380CC4-5D6E-409C-BE32-E72D297353CC}">
              <c16:uniqueId val="{00000001-6630-4670-B6CB-81FFD708045D}"/>
            </c:ext>
          </c:extLst>
        </c:ser>
        <c:ser>
          <c:idx val="2"/>
          <c:order val="2"/>
          <c:tx>
            <c:strRef>
              <c:f>'Gráfico 2'!$A$7</c:f>
              <c:strCache>
                <c:ptCount val="1"/>
                <c:pt idx="0">
                  <c:v>Especialización</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2'!$B$4:$O$4</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2'!$B$7:$O$7</c:f>
              <c:numCache>
                <c:formatCode>General</c:formatCode>
                <c:ptCount val="14"/>
                <c:pt idx="0">
                  <c:v>286</c:v>
                </c:pt>
                <c:pt idx="1">
                  <c:v>233</c:v>
                </c:pt>
                <c:pt idx="2">
                  <c:v>190</c:v>
                </c:pt>
                <c:pt idx="3">
                  <c:v>122</c:v>
                </c:pt>
                <c:pt idx="4">
                  <c:v>104</c:v>
                </c:pt>
                <c:pt idx="5">
                  <c:v>188</c:v>
                </c:pt>
                <c:pt idx="6">
                  <c:v>170</c:v>
                </c:pt>
                <c:pt idx="7">
                  <c:v>95</c:v>
                </c:pt>
                <c:pt idx="8">
                  <c:v>81</c:v>
                </c:pt>
                <c:pt idx="9">
                  <c:v>91</c:v>
                </c:pt>
                <c:pt idx="10">
                  <c:v>85</c:v>
                </c:pt>
                <c:pt idx="11">
                  <c:v>83</c:v>
                </c:pt>
                <c:pt idx="12">
                  <c:v>97</c:v>
                </c:pt>
                <c:pt idx="13">
                  <c:v>98</c:v>
                </c:pt>
              </c:numCache>
            </c:numRef>
          </c:val>
          <c:extLst>
            <c:ext xmlns:c16="http://schemas.microsoft.com/office/drawing/2014/chart" uri="{C3380CC4-5D6E-409C-BE32-E72D297353CC}">
              <c16:uniqueId val="{00000002-6630-4670-B6CB-81FFD708045D}"/>
            </c:ext>
          </c:extLst>
        </c:ser>
        <c:ser>
          <c:idx val="3"/>
          <c:order val="3"/>
          <c:tx>
            <c:strRef>
              <c:f>'Gráfico 2'!$A$8</c:f>
              <c:strCache>
                <c:ptCount val="1"/>
                <c:pt idx="0">
                  <c:v>Pregrado</c:v>
                </c:pt>
              </c:strCache>
            </c:strRef>
          </c:tx>
          <c:spPr>
            <a:solidFill>
              <a:schemeClr val="accent4"/>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2'!$B$4:$O$4</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2'!$B$8:$O$8</c:f>
              <c:numCache>
                <c:formatCode>General</c:formatCode>
                <c:ptCount val="14"/>
                <c:pt idx="0">
                  <c:v>174</c:v>
                </c:pt>
                <c:pt idx="1">
                  <c:v>130</c:v>
                </c:pt>
                <c:pt idx="2">
                  <c:v>85</c:v>
                </c:pt>
                <c:pt idx="3">
                  <c:v>58</c:v>
                </c:pt>
                <c:pt idx="4">
                  <c:v>45</c:v>
                </c:pt>
                <c:pt idx="5">
                  <c:v>40</c:v>
                </c:pt>
                <c:pt idx="6">
                  <c:v>47</c:v>
                </c:pt>
                <c:pt idx="7">
                  <c:v>45</c:v>
                </c:pt>
                <c:pt idx="8">
                  <c:v>47</c:v>
                </c:pt>
                <c:pt idx="9">
                  <c:v>60</c:v>
                </c:pt>
                <c:pt idx="10">
                  <c:v>54</c:v>
                </c:pt>
                <c:pt idx="11">
                  <c:v>62</c:v>
                </c:pt>
                <c:pt idx="12">
                  <c:v>58</c:v>
                </c:pt>
                <c:pt idx="13">
                  <c:v>70</c:v>
                </c:pt>
              </c:numCache>
            </c:numRef>
          </c:val>
          <c:extLst>
            <c:ext xmlns:c16="http://schemas.microsoft.com/office/drawing/2014/chart" uri="{C3380CC4-5D6E-409C-BE32-E72D297353CC}">
              <c16:uniqueId val="{00000003-6630-4670-B6CB-81FFD708045D}"/>
            </c:ext>
          </c:extLst>
        </c:ser>
        <c:dLbls>
          <c:showLegendKey val="0"/>
          <c:showVal val="0"/>
          <c:showCatName val="0"/>
          <c:showSerName val="0"/>
          <c:showPercent val="0"/>
          <c:showBubbleSize val="0"/>
        </c:dLbls>
        <c:gapWidth val="219"/>
        <c:overlap val="-27"/>
        <c:axId val="1409628832"/>
        <c:axId val="1409627872"/>
      </c:barChart>
      <c:catAx>
        <c:axId val="140962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409627872"/>
        <c:crosses val="autoZero"/>
        <c:auto val="1"/>
        <c:lblAlgn val="ctr"/>
        <c:lblOffset val="100"/>
        <c:noMultiLvlLbl val="0"/>
      </c:catAx>
      <c:valAx>
        <c:axId val="1409627872"/>
        <c:scaling>
          <c:orientation val="minMax"/>
        </c:scaling>
        <c:delete val="1"/>
        <c:axPos val="l"/>
        <c:numFmt formatCode="General" sourceLinked="1"/>
        <c:majorTickMark val="none"/>
        <c:minorTickMark val="none"/>
        <c:tickLblPos val="nextTo"/>
        <c:crossAx val="1409628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3'!$C$4</c:f>
              <c:strCache>
                <c:ptCount val="1"/>
                <c:pt idx="0">
                  <c:v>Valor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3'!$B$5:$B$9</c:f>
              <c:strCache>
                <c:ptCount val="5"/>
                <c:pt idx="0">
                  <c:v>Para programar</c:v>
                </c:pt>
                <c:pt idx="1">
                  <c:v>En desarrollo</c:v>
                </c:pt>
                <c:pt idx="2">
                  <c:v>En pruebas</c:v>
                </c:pt>
                <c:pt idx="3">
                  <c:v>Para implementar</c:v>
                </c:pt>
                <c:pt idx="4">
                  <c:v>En aula</c:v>
                </c:pt>
              </c:strCache>
            </c:strRef>
          </c:cat>
          <c:val>
            <c:numRef>
              <c:f>'Gráfico 3'!$C$5:$C$9</c:f>
              <c:numCache>
                <c:formatCode>General</c:formatCode>
                <c:ptCount val="5"/>
                <c:pt idx="0">
                  <c:v>9</c:v>
                </c:pt>
                <c:pt idx="1">
                  <c:v>6</c:v>
                </c:pt>
                <c:pt idx="2">
                  <c:v>7</c:v>
                </c:pt>
                <c:pt idx="3">
                  <c:v>8</c:v>
                </c:pt>
                <c:pt idx="4">
                  <c:v>23</c:v>
                </c:pt>
              </c:numCache>
            </c:numRef>
          </c:val>
          <c:extLst>
            <c:ext xmlns:c16="http://schemas.microsoft.com/office/drawing/2014/chart" uri="{C3380CC4-5D6E-409C-BE32-E72D297353CC}">
              <c16:uniqueId val="{00000000-6299-4945-AEA8-099ED6706EF9}"/>
            </c:ext>
          </c:extLst>
        </c:ser>
        <c:dLbls>
          <c:showLegendKey val="0"/>
          <c:showVal val="0"/>
          <c:showCatName val="0"/>
          <c:showSerName val="0"/>
          <c:showPercent val="0"/>
          <c:showBubbleSize val="0"/>
        </c:dLbls>
        <c:gapWidth val="219"/>
        <c:overlap val="-27"/>
        <c:axId val="1573086864"/>
        <c:axId val="1573084464"/>
      </c:barChart>
      <c:catAx>
        <c:axId val="157308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573084464"/>
        <c:crosses val="autoZero"/>
        <c:auto val="1"/>
        <c:lblAlgn val="ctr"/>
        <c:lblOffset val="100"/>
        <c:noMultiLvlLbl val="0"/>
      </c:catAx>
      <c:valAx>
        <c:axId val="1573084464"/>
        <c:scaling>
          <c:orientation val="minMax"/>
        </c:scaling>
        <c:delete val="1"/>
        <c:axPos val="l"/>
        <c:numFmt formatCode="General" sourceLinked="1"/>
        <c:majorTickMark val="none"/>
        <c:minorTickMark val="none"/>
        <c:tickLblPos val="nextTo"/>
        <c:crossAx val="157308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5'!$C$4</c:f>
              <c:strCache>
                <c:ptCount val="1"/>
                <c:pt idx="0">
                  <c:v>Valor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5'!$B$5:$B$18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5'!$C$5:$C$18</c:f>
              <c:numCache>
                <c:formatCode>General</c:formatCode>
                <c:ptCount val="14"/>
                <c:pt idx="0">
                  <c:v>158</c:v>
                </c:pt>
                <c:pt idx="1">
                  <c:v>210</c:v>
                </c:pt>
                <c:pt idx="2">
                  <c:v>221</c:v>
                </c:pt>
                <c:pt idx="3">
                  <c:v>226</c:v>
                </c:pt>
                <c:pt idx="4">
                  <c:v>252</c:v>
                </c:pt>
                <c:pt idx="5">
                  <c:v>195</c:v>
                </c:pt>
                <c:pt idx="6">
                  <c:v>320</c:v>
                </c:pt>
                <c:pt idx="7">
                  <c:v>306</c:v>
                </c:pt>
                <c:pt idx="8">
                  <c:v>474</c:v>
                </c:pt>
                <c:pt idx="9">
                  <c:v>642</c:v>
                </c:pt>
                <c:pt idx="10">
                  <c:v>1049</c:v>
                </c:pt>
                <c:pt idx="11">
                  <c:v>1031</c:v>
                </c:pt>
                <c:pt idx="12">
                  <c:v>1025</c:v>
                </c:pt>
                <c:pt idx="13">
                  <c:v>1105</c:v>
                </c:pt>
              </c:numCache>
            </c:numRef>
          </c:val>
          <c:extLst>
            <c:ext xmlns:c16="http://schemas.microsoft.com/office/drawing/2014/chart" uri="{C3380CC4-5D6E-409C-BE32-E72D297353CC}">
              <c16:uniqueId val="{00000000-AE61-47A3-B18E-0EA9041A8564}"/>
            </c:ext>
          </c:extLst>
        </c:ser>
        <c:dLbls>
          <c:showLegendKey val="0"/>
          <c:showVal val="0"/>
          <c:showCatName val="0"/>
          <c:showSerName val="0"/>
          <c:showPercent val="0"/>
          <c:showBubbleSize val="0"/>
        </c:dLbls>
        <c:gapWidth val="219"/>
        <c:overlap val="-27"/>
        <c:axId val="1012625024"/>
        <c:axId val="1012615904"/>
      </c:barChart>
      <c:catAx>
        <c:axId val="101262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012615904"/>
        <c:crosses val="autoZero"/>
        <c:auto val="1"/>
        <c:lblAlgn val="ctr"/>
        <c:lblOffset val="100"/>
        <c:noMultiLvlLbl val="0"/>
      </c:catAx>
      <c:valAx>
        <c:axId val="1012615904"/>
        <c:scaling>
          <c:orientation val="minMax"/>
        </c:scaling>
        <c:delete val="1"/>
        <c:axPos val="l"/>
        <c:numFmt formatCode="General" sourceLinked="1"/>
        <c:majorTickMark val="none"/>
        <c:minorTickMark val="none"/>
        <c:tickLblPos val="nextTo"/>
        <c:crossAx val="1012625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1"/>
          <c:tx>
            <c:strRef>
              <c:f>'Gráfico 6'!$D$4</c:f>
              <c:strCache>
                <c:ptCount val="1"/>
                <c:pt idx="0">
                  <c:v>Índice de liquidez</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6'!$B$5:$B$11</c:f>
              <c:numCache>
                <c:formatCode>General</c:formatCode>
                <c:ptCount val="7"/>
                <c:pt idx="0">
                  <c:v>2019</c:v>
                </c:pt>
                <c:pt idx="1">
                  <c:v>2020</c:v>
                </c:pt>
                <c:pt idx="2">
                  <c:v>2021</c:v>
                </c:pt>
                <c:pt idx="3">
                  <c:v>2022</c:v>
                </c:pt>
                <c:pt idx="4">
                  <c:v>2023</c:v>
                </c:pt>
                <c:pt idx="5">
                  <c:v>2024</c:v>
                </c:pt>
                <c:pt idx="6">
                  <c:v>2025</c:v>
                </c:pt>
              </c:numCache>
            </c:numRef>
          </c:cat>
          <c:val>
            <c:numRef>
              <c:f>'Gráfico 6'!$D$5:$D$11</c:f>
              <c:numCache>
                <c:formatCode>General</c:formatCode>
                <c:ptCount val="7"/>
                <c:pt idx="0">
                  <c:v>1.25</c:v>
                </c:pt>
                <c:pt idx="1">
                  <c:v>1.51</c:v>
                </c:pt>
                <c:pt idx="2">
                  <c:v>1.29</c:v>
                </c:pt>
                <c:pt idx="3">
                  <c:v>1.66</c:v>
                </c:pt>
                <c:pt idx="4">
                  <c:v>1.61</c:v>
                </c:pt>
                <c:pt idx="5">
                  <c:v>1.69</c:v>
                </c:pt>
              </c:numCache>
            </c:numRef>
          </c:val>
          <c:smooth val="0"/>
          <c:extLst>
            <c:ext xmlns:c16="http://schemas.microsoft.com/office/drawing/2014/chart" uri="{C3380CC4-5D6E-409C-BE32-E72D297353CC}">
              <c16:uniqueId val="{00000001-BD35-49F2-BF01-5CC2A650344C}"/>
            </c:ext>
          </c:extLst>
        </c:ser>
        <c:dLbls>
          <c:showLegendKey val="0"/>
          <c:showVal val="0"/>
          <c:showCatName val="0"/>
          <c:showSerName val="0"/>
          <c:showPercent val="0"/>
          <c:showBubbleSize val="0"/>
        </c:dLbls>
        <c:marker val="1"/>
        <c:smooth val="0"/>
        <c:axId val="1580327200"/>
        <c:axId val="1580325280"/>
      </c:lineChart>
      <c:lineChart>
        <c:grouping val="standard"/>
        <c:varyColors val="0"/>
        <c:ser>
          <c:idx val="0"/>
          <c:order val="0"/>
          <c:tx>
            <c:strRef>
              <c:f>'Gráfico 6'!$C$4</c:f>
              <c:strCache>
                <c:ptCount val="1"/>
                <c:pt idx="0">
                  <c:v>Capital de trabajo</c:v>
                </c:pt>
              </c:strCache>
            </c:strRef>
          </c:tx>
          <c:spPr>
            <a:ln w="19050" cap="rnd">
              <a:solidFill>
                <a:schemeClr val="accent1"/>
              </a:solidFill>
              <a:prstDash val="dashDot"/>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6'!$B$5:$B$11</c:f>
              <c:numCache>
                <c:formatCode>General</c:formatCode>
                <c:ptCount val="7"/>
                <c:pt idx="0">
                  <c:v>2019</c:v>
                </c:pt>
                <c:pt idx="1">
                  <c:v>2020</c:v>
                </c:pt>
                <c:pt idx="2">
                  <c:v>2021</c:v>
                </c:pt>
                <c:pt idx="3">
                  <c:v>2022</c:v>
                </c:pt>
                <c:pt idx="4">
                  <c:v>2023</c:v>
                </c:pt>
                <c:pt idx="5">
                  <c:v>2024</c:v>
                </c:pt>
                <c:pt idx="6">
                  <c:v>2025</c:v>
                </c:pt>
              </c:numCache>
            </c:numRef>
          </c:cat>
          <c:val>
            <c:numRef>
              <c:f>'Gráfico 6'!$C$5:$C$11</c:f>
              <c:numCache>
                <c:formatCode>0</c:formatCode>
                <c:ptCount val="7"/>
                <c:pt idx="0">
                  <c:v>19169</c:v>
                </c:pt>
                <c:pt idx="1">
                  <c:v>30423</c:v>
                </c:pt>
                <c:pt idx="2">
                  <c:v>28104</c:v>
                </c:pt>
                <c:pt idx="3">
                  <c:v>56450</c:v>
                </c:pt>
                <c:pt idx="4">
                  <c:v>58808</c:v>
                </c:pt>
                <c:pt idx="5" formatCode="General">
                  <c:v>82764</c:v>
                </c:pt>
              </c:numCache>
            </c:numRef>
          </c:val>
          <c:smooth val="0"/>
          <c:extLst>
            <c:ext xmlns:c16="http://schemas.microsoft.com/office/drawing/2014/chart" uri="{C3380CC4-5D6E-409C-BE32-E72D297353CC}">
              <c16:uniqueId val="{00000000-BD35-49F2-BF01-5CC2A650344C}"/>
            </c:ext>
          </c:extLst>
        </c:ser>
        <c:dLbls>
          <c:showLegendKey val="0"/>
          <c:showVal val="0"/>
          <c:showCatName val="0"/>
          <c:showSerName val="0"/>
          <c:showPercent val="0"/>
          <c:showBubbleSize val="0"/>
        </c:dLbls>
        <c:marker val="1"/>
        <c:smooth val="0"/>
        <c:axId val="1709625520"/>
        <c:axId val="1709626960"/>
      </c:lineChart>
      <c:catAx>
        <c:axId val="158032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580325280"/>
        <c:crosses val="autoZero"/>
        <c:auto val="1"/>
        <c:lblAlgn val="ctr"/>
        <c:lblOffset val="100"/>
        <c:noMultiLvlLbl val="0"/>
      </c:catAx>
      <c:valAx>
        <c:axId val="1580325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580327200"/>
        <c:crosses val="autoZero"/>
        <c:crossBetween val="between"/>
      </c:valAx>
      <c:valAx>
        <c:axId val="170962696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709625520"/>
        <c:crosses val="max"/>
        <c:crossBetween val="between"/>
      </c:valAx>
      <c:catAx>
        <c:axId val="1709625520"/>
        <c:scaling>
          <c:orientation val="minMax"/>
        </c:scaling>
        <c:delete val="1"/>
        <c:axPos val="b"/>
        <c:numFmt formatCode="General" sourceLinked="1"/>
        <c:majorTickMark val="out"/>
        <c:minorTickMark val="none"/>
        <c:tickLblPos val="nextTo"/>
        <c:crossAx val="17096269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'Tabla 67'!$A$11</c:f>
              <c:strCache>
                <c:ptCount val="1"/>
                <c:pt idx="0">
                  <c:v>Planes de mejoramiento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 67'!$B$4:$G$4</c:f>
              <c:numCache>
                <c:formatCode>General</c:formatCode>
                <c:ptCount val="6"/>
                <c:pt idx="0">
                  <c:v>2019</c:v>
                </c:pt>
                <c:pt idx="1">
                  <c:v>2020</c:v>
                </c:pt>
                <c:pt idx="2">
                  <c:v>2021</c:v>
                </c:pt>
                <c:pt idx="3">
                  <c:v>2022</c:v>
                </c:pt>
                <c:pt idx="4">
                  <c:v>2023</c:v>
                </c:pt>
                <c:pt idx="5">
                  <c:v>2024</c:v>
                </c:pt>
              </c:numCache>
            </c:numRef>
          </c:cat>
          <c:val>
            <c:numRef>
              <c:f>'Tabla 67'!$B$11:$G$11</c:f>
              <c:numCache>
                <c:formatCode>#,##0</c:formatCode>
                <c:ptCount val="6"/>
                <c:pt idx="0">
                  <c:v>46367</c:v>
                </c:pt>
                <c:pt idx="1">
                  <c:v>20574</c:v>
                </c:pt>
                <c:pt idx="2">
                  <c:v>11653</c:v>
                </c:pt>
                <c:pt idx="3">
                  <c:v>10799</c:v>
                </c:pt>
                <c:pt idx="4">
                  <c:v>11298</c:v>
                </c:pt>
                <c:pt idx="5" formatCode="_-* #,##0_-;\-* #,##0_-;_-* &quot;-&quot;??_-;_-@_-">
                  <c:v>14787</c:v>
                </c:pt>
              </c:numCache>
            </c:numRef>
          </c:val>
          <c:extLst>
            <c:ext xmlns:c16="http://schemas.microsoft.com/office/drawing/2014/chart" uri="{C3380CC4-5D6E-409C-BE32-E72D297353CC}">
              <c16:uniqueId val="{00000000-20D8-48BC-9B49-CDF301D3BDCF}"/>
            </c:ext>
          </c:extLst>
        </c:ser>
        <c:dLbls>
          <c:showLegendKey val="0"/>
          <c:showVal val="0"/>
          <c:showCatName val="0"/>
          <c:showSerName val="0"/>
          <c:showPercent val="0"/>
          <c:showBubbleSize val="0"/>
        </c:dLbls>
        <c:gapWidth val="219"/>
        <c:overlap val="-27"/>
        <c:axId val="1592638048"/>
        <c:axId val="1592640448"/>
      </c:barChart>
      <c:lineChart>
        <c:grouping val="standard"/>
        <c:varyColors val="0"/>
        <c:ser>
          <c:idx val="1"/>
          <c:order val="1"/>
          <c:tx>
            <c:strRef>
              <c:f>'Tabla 67'!$A$12</c:f>
              <c:strCache>
                <c:ptCount val="1"/>
                <c:pt idx="0">
                  <c:v>Part% sobre Ingreso</c:v>
                </c:pt>
              </c:strCache>
            </c:strRef>
          </c:tx>
          <c:spPr>
            <a:ln w="12700" cap="rnd">
              <a:solidFill>
                <a:schemeClr val="accent2"/>
              </a:solidFill>
              <a:prstDash val="sysDash"/>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'Tabla 67'!$B$12:$G$12</c:f>
              <c:numCache>
                <c:formatCode>0%</c:formatCode>
                <c:ptCount val="6"/>
                <c:pt idx="0">
                  <c:v>0.2</c:v>
                </c:pt>
                <c:pt idx="1">
                  <c:v>0.09</c:v>
                </c:pt>
                <c:pt idx="2">
                  <c:v>0.05</c:v>
                </c:pt>
                <c:pt idx="3">
                  <c:v>0.05</c:v>
                </c:pt>
                <c:pt idx="4">
                  <c:v>0.04</c:v>
                </c:pt>
                <c:pt idx="5">
                  <c:v>5.3307809610330617E-2</c:v>
                </c:pt>
              </c:numCache>
            </c:numRef>
          </c:val>
          <c:smooth val="0"/>
          <c:extLst>
            <c:ext xmlns:c16="http://schemas.microsoft.com/office/drawing/2014/chart" uri="{C3380CC4-5D6E-409C-BE32-E72D297353CC}">
              <c16:uniqueId val="{00000001-20D8-48BC-9B49-CDF301D3BDCF}"/>
            </c:ext>
          </c:extLst>
        </c:ser>
        <c:dLbls>
          <c:showLegendKey val="0"/>
          <c:showVal val="0"/>
          <c:showCatName val="0"/>
          <c:showSerName val="0"/>
          <c:showPercent val="0"/>
          <c:showBubbleSize val="0"/>
        </c:dLbls>
        <c:marker val="1"/>
        <c:smooth val="0"/>
        <c:axId val="1723024528"/>
        <c:axId val="1173491424"/>
      </c:lineChart>
      <c:catAx>
        <c:axId val="159263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592640448"/>
        <c:crosses val="autoZero"/>
        <c:auto val="1"/>
        <c:lblAlgn val="ctr"/>
        <c:lblOffset val="100"/>
        <c:noMultiLvlLbl val="0"/>
      </c:catAx>
      <c:valAx>
        <c:axId val="15926404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CO"/>
          </a:p>
        </c:txPr>
        <c:crossAx val="1592638048"/>
        <c:crosses val="autoZero"/>
        <c:crossBetween val="between"/>
      </c:valAx>
      <c:valAx>
        <c:axId val="1173491424"/>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CO"/>
          </a:p>
        </c:txPr>
        <c:crossAx val="1723024528"/>
        <c:crosses val="max"/>
        <c:crossBetween val="between"/>
      </c:valAx>
      <c:catAx>
        <c:axId val="1723024528"/>
        <c:scaling>
          <c:orientation val="minMax"/>
        </c:scaling>
        <c:delete val="1"/>
        <c:axPos val="b"/>
        <c:majorTickMark val="none"/>
        <c:minorTickMark val="none"/>
        <c:tickLblPos val="nextTo"/>
        <c:crossAx val="11734914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8'!$C$4</c:f>
              <c:strCache>
                <c:ptCount val="1"/>
                <c:pt idx="0">
                  <c:v>Ingresos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8'!$B$5:$B$11</c:f>
              <c:numCache>
                <c:formatCode>General</c:formatCode>
                <c:ptCount val="7"/>
                <c:pt idx="0">
                  <c:v>2019</c:v>
                </c:pt>
                <c:pt idx="1">
                  <c:v>2020</c:v>
                </c:pt>
                <c:pt idx="2">
                  <c:v>2021</c:v>
                </c:pt>
                <c:pt idx="3">
                  <c:v>2022</c:v>
                </c:pt>
                <c:pt idx="4">
                  <c:v>2023</c:v>
                </c:pt>
                <c:pt idx="5">
                  <c:v>2024</c:v>
                </c:pt>
                <c:pt idx="6">
                  <c:v>2025</c:v>
                </c:pt>
              </c:numCache>
            </c:numRef>
          </c:cat>
          <c:val>
            <c:numRef>
              <c:f>'Gráfico 8'!$C$5:$C$11</c:f>
              <c:numCache>
                <c:formatCode>0</c:formatCode>
                <c:ptCount val="7"/>
                <c:pt idx="0">
                  <c:v>16734</c:v>
                </c:pt>
                <c:pt idx="1">
                  <c:v>16124</c:v>
                </c:pt>
                <c:pt idx="2">
                  <c:v>25009</c:v>
                </c:pt>
                <c:pt idx="3">
                  <c:v>18493</c:v>
                </c:pt>
                <c:pt idx="4">
                  <c:v>27348</c:v>
                </c:pt>
                <c:pt idx="5" formatCode="General">
                  <c:v>24053</c:v>
                </c:pt>
              </c:numCache>
            </c:numRef>
          </c:val>
          <c:extLst>
            <c:ext xmlns:c16="http://schemas.microsoft.com/office/drawing/2014/chart" uri="{C3380CC4-5D6E-409C-BE32-E72D297353CC}">
              <c16:uniqueId val="{00000000-A7C1-4BDF-838A-EDCE10754FCA}"/>
            </c:ext>
          </c:extLst>
        </c:ser>
        <c:dLbls>
          <c:showLegendKey val="0"/>
          <c:showVal val="0"/>
          <c:showCatName val="0"/>
          <c:showSerName val="0"/>
          <c:showPercent val="0"/>
          <c:showBubbleSize val="0"/>
        </c:dLbls>
        <c:gapWidth val="219"/>
        <c:overlap val="-27"/>
        <c:axId val="1723026448"/>
        <c:axId val="1723026928"/>
      </c:barChart>
      <c:lineChart>
        <c:grouping val="stacked"/>
        <c:varyColors val="0"/>
        <c:ser>
          <c:idx val="1"/>
          <c:order val="1"/>
          <c:tx>
            <c:strRef>
              <c:f>'Gráfico 8'!$D$4</c:f>
              <c:strCache>
                <c:ptCount val="1"/>
                <c:pt idx="0">
                  <c:v>Costos y gestión</c:v>
                </c:pt>
              </c:strCache>
            </c:strRef>
          </c:tx>
          <c:spPr>
            <a:ln w="12700" cap="rnd">
              <a:solidFill>
                <a:schemeClr val="accent2"/>
              </a:solidFill>
              <a:prstDash val="sysDot"/>
              <a:round/>
            </a:ln>
            <a:effectLst/>
          </c:spPr>
          <c:marker>
            <c:symbol val="circle"/>
            <c:size val="5"/>
            <c:spPr>
              <a:solidFill>
                <a:schemeClr val="accent2"/>
              </a:solidFill>
              <a:ln w="12700">
                <a:solidFill>
                  <a:schemeClr val="accent2"/>
                </a:solidFill>
                <a:prstDash val="sysDot"/>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8'!$B$5:$B$11</c:f>
              <c:numCache>
                <c:formatCode>General</c:formatCode>
                <c:ptCount val="7"/>
                <c:pt idx="0">
                  <c:v>2019</c:v>
                </c:pt>
                <c:pt idx="1">
                  <c:v>2020</c:v>
                </c:pt>
                <c:pt idx="2">
                  <c:v>2021</c:v>
                </c:pt>
                <c:pt idx="3">
                  <c:v>2022</c:v>
                </c:pt>
                <c:pt idx="4">
                  <c:v>2023</c:v>
                </c:pt>
                <c:pt idx="5">
                  <c:v>2024</c:v>
                </c:pt>
                <c:pt idx="6">
                  <c:v>2025</c:v>
                </c:pt>
              </c:numCache>
            </c:numRef>
          </c:cat>
          <c:val>
            <c:numRef>
              <c:f>'Gráfico 8'!$D$5:$D$11</c:f>
              <c:numCache>
                <c:formatCode>General</c:formatCode>
                <c:ptCount val="7"/>
                <c:pt idx="0">
                  <c:v>3604</c:v>
                </c:pt>
                <c:pt idx="1">
                  <c:v>2644</c:v>
                </c:pt>
                <c:pt idx="2">
                  <c:v>9139</c:v>
                </c:pt>
                <c:pt idx="3">
                  <c:v>4826</c:v>
                </c:pt>
                <c:pt idx="4">
                  <c:v>10726</c:v>
                </c:pt>
                <c:pt idx="5">
                  <c:v>6330</c:v>
                </c:pt>
              </c:numCache>
            </c:numRef>
          </c:val>
          <c:smooth val="0"/>
          <c:extLst>
            <c:ext xmlns:c16="http://schemas.microsoft.com/office/drawing/2014/chart" uri="{C3380CC4-5D6E-409C-BE32-E72D297353CC}">
              <c16:uniqueId val="{00000001-A7C1-4BDF-838A-EDCE10754FCA}"/>
            </c:ext>
          </c:extLst>
        </c:ser>
        <c:dLbls>
          <c:showLegendKey val="0"/>
          <c:showVal val="0"/>
          <c:showCatName val="0"/>
          <c:showSerName val="0"/>
          <c:showPercent val="0"/>
          <c:showBubbleSize val="0"/>
        </c:dLbls>
        <c:marker val="1"/>
        <c:smooth val="0"/>
        <c:axId val="1723026448"/>
        <c:axId val="1723026928"/>
      </c:lineChart>
      <c:catAx>
        <c:axId val="172302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723026928"/>
        <c:crosses val="autoZero"/>
        <c:auto val="1"/>
        <c:lblAlgn val="ctr"/>
        <c:lblOffset val="100"/>
        <c:noMultiLvlLbl val="0"/>
      </c:catAx>
      <c:valAx>
        <c:axId val="17230269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723026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9'!$B$4</c:f>
              <c:strCache>
                <c:ptCount val="1"/>
                <c:pt idx="0">
                  <c:v>Cátedra</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9'!$A$5:$A$18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9'!$B$5:$B$18</c:f>
              <c:numCache>
                <c:formatCode>0.0</c:formatCode>
                <c:ptCount val="14"/>
                <c:pt idx="0">
                  <c:v>4.3</c:v>
                </c:pt>
                <c:pt idx="1">
                  <c:v>4.4000000000000004</c:v>
                </c:pt>
                <c:pt idx="2">
                  <c:v>4.7</c:v>
                </c:pt>
                <c:pt idx="3">
                  <c:v>4.7</c:v>
                </c:pt>
                <c:pt idx="4">
                  <c:v>4.5</c:v>
                </c:pt>
                <c:pt idx="5">
                  <c:v>4.4000000000000004</c:v>
                </c:pt>
                <c:pt idx="6">
                  <c:v>4.4000000000000004</c:v>
                </c:pt>
                <c:pt idx="7">
                  <c:v>4.4000000000000004</c:v>
                </c:pt>
                <c:pt idx="8">
                  <c:v>4.4000000000000004</c:v>
                </c:pt>
                <c:pt idx="9">
                  <c:v>4.5</c:v>
                </c:pt>
                <c:pt idx="10">
                  <c:v>4.5999999999999996</c:v>
                </c:pt>
                <c:pt idx="11">
                  <c:v>4.5</c:v>
                </c:pt>
                <c:pt idx="12">
                  <c:v>4.5999999999999996</c:v>
                </c:pt>
                <c:pt idx="13">
                  <c:v>4.49</c:v>
                </c:pt>
              </c:numCache>
            </c:numRef>
          </c:val>
          <c:extLst>
            <c:ext xmlns:c16="http://schemas.microsoft.com/office/drawing/2014/chart" uri="{C3380CC4-5D6E-409C-BE32-E72D297353CC}">
              <c16:uniqueId val="{00000000-B9C1-4BDC-A2B9-FA0946E2477C}"/>
            </c:ext>
          </c:extLst>
        </c:ser>
        <c:ser>
          <c:idx val="1"/>
          <c:order val="1"/>
          <c:tx>
            <c:strRef>
              <c:f>'Gráfico 9'!$C$4</c:f>
              <c:strCache>
                <c:ptCount val="1"/>
                <c:pt idx="0">
                  <c:v>Planta</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9'!$A$5:$A$18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9'!$C$5:$C$18</c:f>
              <c:numCache>
                <c:formatCode>0.0</c:formatCode>
                <c:ptCount val="14"/>
                <c:pt idx="0">
                  <c:v>4.4000000000000004</c:v>
                </c:pt>
                <c:pt idx="1">
                  <c:v>4.4000000000000004</c:v>
                </c:pt>
                <c:pt idx="2">
                  <c:v>4.7</c:v>
                </c:pt>
                <c:pt idx="3">
                  <c:v>4.5</c:v>
                </c:pt>
                <c:pt idx="4">
                  <c:v>4.5999999999999996</c:v>
                </c:pt>
                <c:pt idx="5">
                  <c:v>4.5999999999999996</c:v>
                </c:pt>
                <c:pt idx="6">
                  <c:v>4.4000000000000004</c:v>
                </c:pt>
                <c:pt idx="7">
                  <c:v>4.7</c:v>
                </c:pt>
                <c:pt idx="8">
                  <c:v>4.7</c:v>
                </c:pt>
                <c:pt idx="9">
                  <c:v>4.7</c:v>
                </c:pt>
                <c:pt idx="10">
                  <c:v>4.7</c:v>
                </c:pt>
                <c:pt idx="11">
                  <c:v>4.7</c:v>
                </c:pt>
                <c:pt idx="12">
                  <c:v>4.7</c:v>
                </c:pt>
                <c:pt idx="13">
                  <c:v>4.7699999999999996</c:v>
                </c:pt>
              </c:numCache>
            </c:numRef>
          </c:val>
          <c:extLst>
            <c:ext xmlns:c16="http://schemas.microsoft.com/office/drawing/2014/chart" uri="{C3380CC4-5D6E-409C-BE32-E72D297353CC}">
              <c16:uniqueId val="{00000001-B9C1-4BDC-A2B9-FA0946E2477C}"/>
            </c:ext>
          </c:extLst>
        </c:ser>
        <c:dLbls>
          <c:showLegendKey val="0"/>
          <c:showVal val="0"/>
          <c:showCatName val="0"/>
          <c:showSerName val="0"/>
          <c:showPercent val="0"/>
          <c:showBubbleSize val="0"/>
        </c:dLbls>
        <c:gapWidth val="219"/>
        <c:overlap val="-27"/>
        <c:axId val="1509123616"/>
        <c:axId val="1509122176"/>
      </c:barChart>
      <c:catAx>
        <c:axId val="150912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509122176"/>
        <c:crosses val="autoZero"/>
        <c:auto val="1"/>
        <c:lblAlgn val="ctr"/>
        <c:lblOffset val="100"/>
        <c:noMultiLvlLbl val="0"/>
      </c:catAx>
      <c:valAx>
        <c:axId val="1509122176"/>
        <c:scaling>
          <c:orientation val="minMax"/>
          <c:max val="5"/>
          <c:min val="3"/>
        </c:scaling>
        <c:delete val="1"/>
        <c:axPos val="l"/>
        <c:numFmt formatCode="0.0" sourceLinked="1"/>
        <c:majorTickMark val="none"/>
        <c:minorTickMark val="none"/>
        <c:tickLblPos val="nextTo"/>
        <c:crossAx val="1509123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13'!$A$5</c:f>
              <c:strCache>
                <c:ptCount val="1"/>
                <c:pt idx="0">
                  <c:v>Vinculación Laboral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13'!$B$4:$J$4</c:f>
              <c:strCache>
                <c:ptCount val="9"/>
                <c:pt idx="0">
                  <c:v>2019</c:v>
                </c:pt>
                <c:pt idx="1">
                  <c:v>2020</c:v>
                </c:pt>
                <c:pt idx="2">
                  <c:v>2021</c:v>
                </c:pt>
                <c:pt idx="3">
                  <c:v>2022</c:v>
                </c:pt>
                <c:pt idx="4">
                  <c:v>2023</c:v>
                </c:pt>
                <c:pt idx="5">
                  <c:v>2024</c:v>
                </c:pt>
                <c:pt idx="6">
                  <c:v>2025-1</c:v>
                </c:pt>
                <c:pt idx="7">
                  <c:v>2025-2</c:v>
                </c:pt>
                <c:pt idx="8">
                  <c:v>2026-1</c:v>
                </c:pt>
              </c:strCache>
            </c:strRef>
          </c:cat>
          <c:val>
            <c:numRef>
              <c:f>'Gráfico 13'!$B$5:$J$5</c:f>
              <c:numCache>
                <c:formatCode>General</c:formatCode>
                <c:ptCount val="9"/>
                <c:pt idx="0">
                  <c:v>35</c:v>
                </c:pt>
                <c:pt idx="1">
                  <c:v>99</c:v>
                </c:pt>
                <c:pt idx="2">
                  <c:v>112</c:v>
                </c:pt>
                <c:pt idx="3">
                  <c:v>323</c:v>
                </c:pt>
                <c:pt idx="4">
                  <c:v>898</c:v>
                </c:pt>
                <c:pt idx="5">
                  <c:v>1361</c:v>
                </c:pt>
                <c:pt idx="6">
                  <c:v>709</c:v>
                </c:pt>
                <c:pt idx="7">
                  <c:v>766</c:v>
                </c:pt>
                <c:pt idx="8">
                  <c:v>725</c:v>
                </c:pt>
              </c:numCache>
            </c:numRef>
          </c:val>
          <c:extLst>
            <c:ext xmlns:c16="http://schemas.microsoft.com/office/drawing/2014/chart" uri="{C3380CC4-5D6E-409C-BE32-E72D297353CC}">
              <c16:uniqueId val="{00000000-37BA-4511-A28D-220D7F87845D}"/>
            </c:ext>
          </c:extLst>
        </c:ser>
        <c:ser>
          <c:idx val="1"/>
          <c:order val="1"/>
          <c:tx>
            <c:strRef>
              <c:f>'Gráfico 13'!$A$6</c:f>
              <c:strCache>
                <c:ptCount val="1"/>
                <c:pt idx="0">
                  <c:v>Contrato De Aprendizaje - Vinculación Formativa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13'!$B$4:$J$4</c:f>
              <c:strCache>
                <c:ptCount val="9"/>
                <c:pt idx="0">
                  <c:v>2019</c:v>
                </c:pt>
                <c:pt idx="1">
                  <c:v>2020</c:v>
                </c:pt>
                <c:pt idx="2">
                  <c:v>2021</c:v>
                </c:pt>
                <c:pt idx="3">
                  <c:v>2022</c:v>
                </c:pt>
                <c:pt idx="4">
                  <c:v>2023</c:v>
                </c:pt>
                <c:pt idx="5">
                  <c:v>2024</c:v>
                </c:pt>
                <c:pt idx="6">
                  <c:v>2025-1</c:v>
                </c:pt>
                <c:pt idx="7">
                  <c:v>2025-2</c:v>
                </c:pt>
                <c:pt idx="8">
                  <c:v>2026-1</c:v>
                </c:pt>
              </c:strCache>
            </c:strRef>
          </c:cat>
          <c:val>
            <c:numRef>
              <c:f>'Gráfico 13'!$B$6:$J$6</c:f>
              <c:numCache>
                <c:formatCode>#,##0</c:formatCode>
                <c:ptCount val="9"/>
                <c:pt idx="0" formatCode="General">
                  <c:v>17</c:v>
                </c:pt>
                <c:pt idx="1">
                  <c:v>12</c:v>
                </c:pt>
                <c:pt idx="2">
                  <c:v>16</c:v>
                </c:pt>
                <c:pt idx="3">
                  <c:v>166</c:v>
                </c:pt>
                <c:pt idx="4">
                  <c:v>649</c:v>
                </c:pt>
                <c:pt idx="5">
                  <c:v>1218</c:v>
                </c:pt>
                <c:pt idx="6">
                  <c:v>642</c:v>
                </c:pt>
                <c:pt idx="7">
                  <c:v>593</c:v>
                </c:pt>
                <c:pt idx="8">
                  <c:v>684</c:v>
                </c:pt>
              </c:numCache>
            </c:numRef>
          </c:val>
          <c:extLst>
            <c:ext xmlns:c16="http://schemas.microsoft.com/office/drawing/2014/chart" uri="{C3380CC4-5D6E-409C-BE32-E72D297353CC}">
              <c16:uniqueId val="{00000001-37BA-4511-A28D-220D7F87845D}"/>
            </c:ext>
          </c:extLst>
        </c:ser>
        <c:dLbls>
          <c:showLegendKey val="0"/>
          <c:showVal val="0"/>
          <c:showCatName val="0"/>
          <c:showSerName val="0"/>
          <c:showPercent val="0"/>
          <c:showBubbleSize val="0"/>
        </c:dLbls>
        <c:gapWidth val="219"/>
        <c:overlap val="-27"/>
        <c:axId val="1768450560"/>
        <c:axId val="1768451040"/>
      </c:barChart>
      <c:catAx>
        <c:axId val="176845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768451040"/>
        <c:crosses val="autoZero"/>
        <c:auto val="1"/>
        <c:lblAlgn val="ctr"/>
        <c:lblOffset val="100"/>
        <c:noMultiLvlLbl val="0"/>
      </c:catAx>
      <c:valAx>
        <c:axId val="1768451040"/>
        <c:scaling>
          <c:orientation val="minMax"/>
        </c:scaling>
        <c:delete val="1"/>
        <c:axPos val="l"/>
        <c:numFmt formatCode="General" sourceLinked="1"/>
        <c:majorTickMark val="none"/>
        <c:minorTickMark val="none"/>
        <c:tickLblPos val="nextTo"/>
        <c:crossAx val="1768450560"/>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15'!$A$5</c:f>
              <c:strCache>
                <c:ptCount val="1"/>
                <c:pt idx="0">
                  <c:v>Usuarios que han tomado el servicio de transporte desde 2019 a 2024-1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15'!$B$4:$H$4</c:f>
              <c:strCache>
                <c:ptCount val="7"/>
                <c:pt idx="0">
                  <c:v>2019</c:v>
                </c:pt>
                <c:pt idx="1">
                  <c:v>2020</c:v>
                </c:pt>
                <c:pt idx="2">
                  <c:v>2021</c:v>
                </c:pt>
                <c:pt idx="3">
                  <c:v>2022</c:v>
                </c:pt>
                <c:pt idx="4">
                  <c:v>2023</c:v>
                </c:pt>
                <c:pt idx="5">
                  <c:v>2024</c:v>
                </c:pt>
                <c:pt idx="6">
                  <c:v>2025-1</c:v>
                </c:pt>
              </c:strCache>
            </c:strRef>
          </c:cat>
          <c:val>
            <c:numRef>
              <c:f>'Gráfico 15'!$B$5:$H$5</c:f>
              <c:numCache>
                <c:formatCode>General</c:formatCode>
                <c:ptCount val="7"/>
                <c:pt idx="0">
                  <c:v>82579</c:v>
                </c:pt>
                <c:pt idx="1">
                  <c:v>11244</c:v>
                </c:pt>
                <c:pt idx="2">
                  <c:v>4137</c:v>
                </c:pt>
                <c:pt idx="3">
                  <c:v>9852</c:v>
                </c:pt>
                <c:pt idx="4">
                  <c:v>22774</c:v>
                </c:pt>
                <c:pt idx="5">
                  <c:v>29900</c:v>
                </c:pt>
                <c:pt idx="6">
                  <c:v>12000</c:v>
                </c:pt>
              </c:numCache>
            </c:numRef>
          </c:val>
          <c:extLst>
            <c:ext xmlns:c16="http://schemas.microsoft.com/office/drawing/2014/chart" uri="{C3380CC4-5D6E-409C-BE32-E72D297353CC}">
              <c16:uniqueId val="{00000000-9B97-4EFD-84EE-980BF1F62BCD}"/>
            </c:ext>
          </c:extLst>
        </c:ser>
        <c:dLbls>
          <c:showLegendKey val="0"/>
          <c:showVal val="0"/>
          <c:showCatName val="0"/>
          <c:showSerName val="0"/>
          <c:showPercent val="0"/>
          <c:showBubbleSize val="0"/>
        </c:dLbls>
        <c:gapWidth val="219"/>
        <c:overlap val="-27"/>
        <c:axId val="1744021903"/>
        <c:axId val="1744034383"/>
      </c:barChart>
      <c:catAx>
        <c:axId val="1744021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744034383"/>
        <c:crosses val="autoZero"/>
        <c:auto val="1"/>
        <c:lblAlgn val="ctr"/>
        <c:lblOffset val="100"/>
        <c:noMultiLvlLbl val="0"/>
      </c:catAx>
      <c:valAx>
        <c:axId val="1744034383"/>
        <c:scaling>
          <c:orientation val="minMax"/>
        </c:scaling>
        <c:delete val="1"/>
        <c:axPos val="l"/>
        <c:numFmt formatCode="General" sourceLinked="1"/>
        <c:majorTickMark val="none"/>
        <c:minorTickMark val="none"/>
        <c:tickLblPos val="nextTo"/>
        <c:crossAx val="1744021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16'!$B$4</c:f>
              <c:strCache>
                <c:ptCount val="1"/>
                <c:pt idx="0">
                  <c:v>A1</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16'!$A$5:$A$11</c:f>
              <c:numCache>
                <c:formatCode>General</c:formatCode>
                <c:ptCount val="7"/>
                <c:pt idx="0">
                  <c:v>2019</c:v>
                </c:pt>
                <c:pt idx="1">
                  <c:v>2020</c:v>
                </c:pt>
                <c:pt idx="2">
                  <c:v>2021</c:v>
                </c:pt>
                <c:pt idx="3">
                  <c:v>2022</c:v>
                </c:pt>
                <c:pt idx="4">
                  <c:v>2023</c:v>
                </c:pt>
                <c:pt idx="5">
                  <c:v>2024</c:v>
                </c:pt>
                <c:pt idx="6">
                  <c:v>2025</c:v>
                </c:pt>
              </c:numCache>
            </c:numRef>
          </c:cat>
          <c:val>
            <c:numRef>
              <c:f>'Gráfico 16'!$B$5:$B$11</c:f>
              <c:numCache>
                <c:formatCode>General</c:formatCode>
                <c:ptCount val="7"/>
                <c:pt idx="0">
                  <c:v>30</c:v>
                </c:pt>
                <c:pt idx="1">
                  <c:v>55</c:v>
                </c:pt>
                <c:pt idx="2">
                  <c:v>70</c:v>
                </c:pt>
                <c:pt idx="3">
                  <c:v>81</c:v>
                </c:pt>
                <c:pt idx="4">
                  <c:v>71</c:v>
                </c:pt>
                <c:pt idx="5">
                  <c:v>52</c:v>
                </c:pt>
                <c:pt idx="6">
                  <c:v>26</c:v>
                </c:pt>
              </c:numCache>
            </c:numRef>
          </c:val>
          <c:extLst>
            <c:ext xmlns:c16="http://schemas.microsoft.com/office/drawing/2014/chart" uri="{C3380CC4-5D6E-409C-BE32-E72D297353CC}">
              <c16:uniqueId val="{00000000-2F89-4C6A-BEB0-802369AF953C}"/>
            </c:ext>
          </c:extLst>
        </c:ser>
        <c:ser>
          <c:idx val="1"/>
          <c:order val="1"/>
          <c:tx>
            <c:strRef>
              <c:f>'Gráfico 16'!$C$4</c:f>
              <c:strCache>
                <c:ptCount val="1"/>
                <c:pt idx="0">
                  <c:v>A2</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16'!$A$5:$A$11</c:f>
              <c:numCache>
                <c:formatCode>General</c:formatCode>
                <c:ptCount val="7"/>
                <c:pt idx="0">
                  <c:v>2019</c:v>
                </c:pt>
                <c:pt idx="1">
                  <c:v>2020</c:v>
                </c:pt>
                <c:pt idx="2">
                  <c:v>2021</c:v>
                </c:pt>
                <c:pt idx="3">
                  <c:v>2022</c:v>
                </c:pt>
                <c:pt idx="4">
                  <c:v>2023</c:v>
                </c:pt>
                <c:pt idx="5">
                  <c:v>2024</c:v>
                </c:pt>
                <c:pt idx="6">
                  <c:v>2025</c:v>
                </c:pt>
              </c:numCache>
            </c:numRef>
          </c:cat>
          <c:val>
            <c:numRef>
              <c:f>'Gráfico 16'!$C$5:$C$11</c:f>
              <c:numCache>
                <c:formatCode>General</c:formatCode>
                <c:ptCount val="7"/>
                <c:pt idx="0">
                  <c:v>31</c:v>
                </c:pt>
                <c:pt idx="1">
                  <c:v>56</c:v>
                </c:pt>
                <c:pt idx="2">
                  <c:v>65</c:v>
                </c:pt>
                <c:pt idx="3">
                  <c:v>52</c:v>
                </c:pt>
                <c:pt idx="4">
                  <c:v>63</c:v>
                </c:pt>
                <c:pt idx="5">
                  <c:v>57</c:v>
                </c:pt>
                <c:pt idx="6">
                  <c:v>28</c:v>
                </c:pt>
              </c:numCache>
            </c:numRef>
          </c:val>
          <c:extLst>
            <c:ext xmlns:c16="http://schemas.microsoft.com/office/drawing/2014/chart" uri="{C3380CC4-5D6E-409C-BE32-E72D297353CC}">
              <c16:uniqueId val="{00000001-2F89-4C6A-BEB0-802369AF953C}"/>
            </c:ext>
          </c:extLst>
        </c:ser>
        <c:ser>
          <c:idx val="2"/>
          <c:order val="2"/>
          <c:tx>
            <c:strRef>
              <c:f>'Gráfico 16'!$D$4</c:f>
              <c:strCache>
                <c:ptCount val="1"/>
                <c:pt idx="0">
                  <c:v>B1</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16'!$A$5:$A$11</c:f>
              <c:numCache>
                <c:formatCode>General</c:formatCode>
                <c:ptCount val="7"/>
                <c:pt idx="0">
                  <c:v>2019</c:v>
                </c:pt>
                <c:pt idx="1">
                  <c:v>2020</c:v>
                </c:pt>
                <c:pt idx="2">
                  <c:v>2021</c:v>
                </c:pt>
                <c:pt idx="3">
                  <c:v>2022</c:v>
                </c:pt>
                <c:pt idx="4">
                  <c:v>2023</c:v>
                </c:pt>
                <c:pt idx="5">
                  <c:v>2024</c:v>
                </c:pt>
                <c:pt idx="6">
                  <c:v>2025</c:v>
                </c:pt>
              </c:numCache>
            </c:numRef>
          </c:cat>
          <c:val>
            <c:numRef>
              <c:f>'Gráfico 16'!$D$5:$D$11</c:f>
              <c:numCache>
                <c:formatCode>General</c:formatCode>
                <c:ptCount val="7"/>
                <c:pt idx="0">
                  <c:v>19</c:v>
                </c:pt>
                <c:pt idx="1">
                  <c:v>30</c:v>
                </c:pt>
                <c:pt idx="2">
                  <c:v>26</c:v>
                </c:pt>
                <c:pt idx="3">
                  <c:v>23</c:v>
                </c:pt>
                <c:pt idx="4">
                  <c:v>23</c:v>
                </c:pt>
                <c:pt idx="5">
                  <c:v>64</c:v>
                </c:pt>
                <c:pt idx="6">
                  <c:v>37</c:v>
                </c:pt>
              </c:numCache>
            </c:numRef>
          </c:val>
          <c:extLst>
            <c:ext xmlns:c16="http://schemas.microsoft.com/office/drawing/2014/chart" uri="{C3380CC4-5D6E-409C-BE32-E72D297353CC}">
              <c16:uniqueId val="{00000002-2F89-4C6A-BEB0-802369AF953C}"/>
            </c:ext>
          </c:extLst>
        </c:ser>
        <c:ser>
          <c:idx val="3"/>
          <c:order val="3"/>
          <c:tx>
            <c:strRef>
              <c:f>'Gráfico 16'!$E$4</c:f>
              <c:strCache>
                <c:ptCount val="1"/>
                <c:pt idx="0">
                  <c:v>B2</c:v>
                </c:pt>
              </c:strCache>
            </c:strRef>
          </c:tx>
          <c:spPr>
            <a:solidFill>
              <a:schemeClr val="accent4"/>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16'!$A$5:$A$11</c:f>
              <c:numCache>
                <c:formatCode>General</c:formatCode>
                <c:ptCount val="7"/>
                <c:pt idx="0">
                  <c:v>2019</c:v>
                </c:pt>
                <c:pt idx="1">
                  <c:v>2020</c:v>
                </c:pt>
                <c:pt idx="2">
                  <c:v>2021</c:v>
                </c:pt>
                <c:pt idx="3">
                  <c:v>2022</c:v>
                </c:pt>
                <c:pt idx="4">
                  <c:v>2023</c:v>
                </c:pt>
                <c:pt idx="5">
                  <c:v>2024</c:v>
                </c:pt>
                <c:pt idx="6">
                  <c:v>2025</c:v>
                </c:pt>
              </c:numCache>
            </c:numRef>
          </c:cat>
          <c:val>
            <c:numRef>
              <c:f>'Gráfico 16'!$E$5:$E$11</c:f>
              <c:numCache>
                <c:formatCode>General</c:formatCode>
                <c:ptCount val="7"/>
                <c:pt idx="0">
                  <c:v>40</c:v>
                </c:pt>
                <c:pt idx="1">
                  <c:v>36</c:v>
                </c:pt>
                <c:pt idx="2">
                  <c:v>34</c:v>
                </c:pt>
                <c:pt idx="3">
                  <c:v>30</c:v>
                </c:pt>
                <c:pt idx="4">
                  <c:v>39</c:v>
                </c:pt>
                <c:pt idx="5">
                  <c:v>91</c:v>
                </c:pt>
                <c:pt idx="6">
                  <c:v>60</c:v>
                </c:pt>
              </c:numCache>
            </c:numRef>
          </c:val>
          <c:extLst>
            <c:ext xmlns:c16="http://schemas.microsoft.com/office/drawing/2014/chart" uri="{C3380CC4-5D6E-409C-BE32-E72D297353CC}">
              <c16:uniqueId val="{00000003-2F89-4C6A-BEB0-802369AF953C}"/>
            </c:ext>
          </c:extLst>
        </c:ser>
        <c:ser>
          <c:idx val="4"/>
          <c:order val="4"/>
          <c:tx>
            <c:strRef>
              <c:f>'Gráfico 16'!$F$4</c:f>
              <c:strCache>
                <c:ptCount val="1"/>
                <c:pt idx="0">
                  <c:v>C1</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16'!$A$5:$A$11</c:f>
              <c:numCache>
                <c:formatCode>General</c:formatCode>
                <c:ptCount val="7"/>
                <c:pt idx="0">
                  <c:v>2019</c:v>
                </c:pt>
                <c:pt idx="1">
                  <c:v>2020</c:v>
                </c:pt>
                <c:pt idx="2">
                  <c:v>2021</c:v>
                </c:pt>
                <c:pt idx="3">
                  <c:v>2022</c:v>
                </c:pt>
                <c:pt idx="4">
                  <c:v>2023</c:v>
                </c:pt>
                <c:pt idx="5">
                  <c:v>2024</c:v>
                </c:pt>
                <c:pt idx="6">
                  <c:v>2025</c:v>
                </c:pt>
              </c:numCache>
            </c:numRef>
          </c:cat>
          <c:val>
            <c:numRef>
              <c:f>'Gráfico 16'!$F$5:$F$11</c:f>
              <c:numCache>
                <c:formatCode>General</c:formatCode>
                <c:ptCount val="7"/>
                <c:pt idx="0">
                  <c:v>32</c:v>
                </c:pt>
                <c:pt idx="1">
                  <c:v>53</c:v>
                </c:pt>
                <c:pt idx="2">
                  <c:v>78</c:v>
                </c:pt>
                <c:pt idx="3">
                  <c:v>87</c:v>
                </c:pt>
                <c:pt idx="4">
                  <c:v>78</c:v>
                </c:pt>
                <c:pt idx="5">
                  <c:v>76</c:v>
                </c:pt>
                <c:pt idx="6">
                  <c:v>40</c:v>
                </c:pt>
              </c:numCache>
            </c:numRef>
          </c:val>
          <c:extLst>
            <c:ext xmlns:c16="http://schemas.microsoft.com/office/drawing/2014/chart" uri="{C3380CC4-5D6E-409C-BE32-E72D297353CC}">
              <c16:uniqueId val="{00000004-2F89-4C6A-BEB0-802369AF953C}"/>
            </c:ext>
          </c:extLst>
        </c:ser>
        <c:ser>
          <c:idx val="5"/>
          <c:order val="5"/>
          <c:tx>
            <c:strRef>
              <c:f>'Gráfico 16'!$G$4</c:f>
              <c:strCache>
                <c:ptCount val="1"/>
                <c:pt idx="0">
                  <c:v>C2</c:v>
                </c:pt>
              </c:strCache>
            </c:strRef>
          </c:tx>
          <c:spPr>
            <a:solidFill>
              <a:schemeClr val="accent6"/>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'Gráfico 16'!$A$5:$A$11</c:f>
              <c:numCache>
                <c:formatCode>General</c:formatCode>
                <c:ptCount val="7"/>
                <c:pt idx="0">
                  <c:v>2019</c:v>
                </c:pt>
                <c:pt idx="1">
                  <c:v>2020</c:v>
                </c:pt>
                <c:pt idx="2">
                  <c:v>2021</c:v>
                </c:pt>
                <c:pt idx="3">
                  <c:v>2022</c:v>
                </c:pt>
                <c:pt idx="4">
                  <c:v>2023</c:v>
                </c:pt>
                <c:pt idx="5">
                  <c:v>2024</c:v>
                </c:pt>
                <c:pt idx="6">
                  <c:v>2025</c:v>
                </c:pt>
              </c:numCache>
            </c:numRef>
          </c:cat>
          <c:val>
            <c:numRef>
              <c:f>'Gráfico 16'!$G$5:$G$11</c:f>
              <c:numCache>
                <c:formatCode>General</c:formatCode>
                <c:ptCount val="7"/>
                <c:pt idx="0">
                  <c:v>8</c:v>
                </c:pt>
                <c:pt idx="1">
                  <c:v>13</c:v>
                </c:pt>
                <c:pt idx="2">
                  <c:v>22</c:v>
                </c:pt>
                <c:pt idx="3">
                  <c:v>20</c:v>
                </c:pt>
                <c:pt idx="4">
                  <c:v>19</c:v>
                </c:pt>
                <c:pt idx="5">
                  <c:v>18</c:v>
                </c:pt>
                <c:pt idx="6">
                  <c:v>14</c:v>
                </c:pt>
              </c:numCache>
            </c:numRef>
          </c:val>
          <c:extLst>
            <c:ext xmlns:c16="http://schemas.microsoft.com/office/drawing/2014/chart" uri="{C3380CC4-5D6E-409C-BE32-E72D297353CC}">
              <c16:uniqueId val="{00000005-2F89-4C6A-BEB0-802369AF953C}"/>
            </c:ext>
          </c:extLst>
        </c:ser>
        <c:dLbls>
          <c:showLegendKey val="0"/>
          <c:showVal val="0"/>
          <c:showCatName val="0"/>
          <c:showSerName val="0"/>
          <c:showPercent val="0"/>
          <c:showBubbleSize val="0"/>
        </c:dLbls>
        <c:gapWidth val="219"/>
        <c:overlap val="-27"/>
        <c:axId val="1715542175"/>
        <c:axId val="1715567615"/>
      </c:barChart>
      <c:catAx>
        <c:axId val="171554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1715567615"/>
        <c:crosses val="autoZero"/>
        <c:auto val="1"/>
        <c:lblAlgn val="ctr"/>
        <c:lblOffset val="100"/>
        <c:noMultiLvlLbl val="0"/>
      </c:catAx>
      <c:valAx>
        <c:axId val="1715567615"/>
        <c:scaling>
          <c:orientation val="minMax"/>
        </c:scaling>
        <c:delete val="1"/>
        <c:axPos val="l"/>
        <c:numFmt formatCode="General" sourceLinked="1"/>
        <c:majorTickMark val="none"/>
        <c:minorTickMark val="none"/>
        <c:tickLblPos val="nextTo"/>
        <c:crossAx val="1715542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'Gráfico 17'!$B$5</c:f>
              <c:strCache>
                <c:ptCount val="1"/>
                <c:pt idx="0">
                  <c:v>Titular</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17'!$A$6:$A$19</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17'!$B$6:$B$19</c:f>
              <c:numCache>
                <c:formatCode>General</c:formatCode>
                <c:ptCount val="14"/>
                <c:pt idx="0">
                  <c:v>0</c:v>
                </c:pt>
                <c:pt idx="1">
                  <c:v>5</c:v>
                </c:pt>
                <c:pt idx="2">
                  <c:v>6</c:v>
                </c:pt>
                <c:pt idx="3">
                  <c:v>4</c:v>
                </c:pt>
                <c:pt idx="4">
                  <c:v>5</c:v>
                </c:pt>
                <c:pt idx="5">
                  <c:v>6</c:v>
                </c:pt>
                <c:pt idx="6">
                  <c:v>9</c:v>
                </c:pt>
                <c:pt idx="7">
                  <c:v>8</c:v>
                </c:pt>
                <c:pt idx="8">
                  <c:v>8</c:v>
                </c:pt>
                <c:pt idx="9">
                  <c:v>5</c:v>
                </c:pt>
                <c:pt idx="10">
                  <c:v>5</c:v>
                </c:pt>
                <c:pt idx="11">
                  <c:v>5</c:v>
                </c:pt>
                <c:pt idx="12">
                  <c:v>7</c:v>
                </c:pt>
                <c:pt idx="13">
                  <c:v>6</c:v>
                </c:pt>
              </c:numCache>
            </c:numRef>
          </c:val>
          <c:extLst>
            <c:ext xmlns:c16="http://schemas.microsoft.com/office/drawing/2014/chart" uri="{C3380CC4-5D6E-409C-BE32-E72D297353CC}">
              <c16:uniqueId val="{00000000-9BD3-4B85-A323-B90570708225}"/>
            </c:ext>
          </c:extLst>
        </c:ser>
        <c:ser>
          <c:idx val="1"/>
          <c:order val="1"/>
          <c:tx>
            <c:strRef>
              <c:f>'Gráfico 17'!$C$5</c:f>
              <c:strCache>
                <c:ptCount val="1"/>
                <c:pt idx="0">
                  <c:v>Asociado</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17'!$A$6:$A$19</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17'!$C$6:$C$19</c:f>
              <c:numCache>
                <c:formatCode>General</c:formatCode>
                <c:ptCount val="14"/>
                <c:pt idx="0">
                  <c:v>17</c:v>
                </c:pt>
                <c:pt idx="1">
                  <c:v>23</c:v>
                </c:pt>
                <c:pt idx="2">
                  <c:v>22</c:v>
                </c:pt>
                <c:pt idx="3">
                  <c:v>22</c:v>
                </c:pt>
                <c:pt idx="4">
                  <c:v>22</c:v>
                </c:pt>
                <c:pt idx="5">
                  <c:v>21</c:v>
                </c:pt>
                <c:pt idx="6">
                  <c:v>23</c:v>
                </c:pt>
                <c:pt idx="7">
                  <c:v>23</c:v>
                </c:pt>
                <c:pt idx="8">
                  <c:v>24</c:v>
                </c:pt>
                <c:pt idx="9">
                  <c:v>26</c:v>
                </c:pt>
                <c:pt idx="10">
                  <c:v>25</c:v>
                </c:pt>
                <c:pt idx="11">
                  <c:v>25</c:v>
                </c:pt>
                <c:pt idx="12">
                  <c:v>26</c:v>
                </c:pt>
                <c:pt idx="13">
                  <c:v>30</c:v>
                </c:pt>
              </c:numCache>
            </c:numRef>
          </c:val>
          <c:extLst>
            <c:ext xmlns:c16="http://schemas.microsoft.com/office/drawing/2014/chart" uri="{C3380CC4-5D6E-409C-BE32-E72D297353CC}">
              <c16:uniqueId val="{00000001-9BD3-4B85-A323-B90570708225}"/>
            </c:ext>
          </c:extLst>
        </c:ser>
        <c:ser>
          <c:idx val="2"/>
          <c:order val="2"/>
          <c:tx>
            <c:strRef>
              <c:f>'Gráfico 17'!$D$5</c:f>
              <c:strCache>
                <c:ptCount val="1"/>
                <c:pt idx="0">
                  <c:v>Asistente</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17'!$A$6:$A$19</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17'!$D$6:$D$19</c:f>
              <c:numCache>
                <c:formatCode>General</c:formatCode>
                <c:ptCount val="14"/>
                <c:pt idx="0">
                  <c:v>21</c:v>
                </c:pt>
                <c:pt idx="1">
                  <c:v>31</c:v>
                </c:pt>
                <c:pt idx="2">
                  <c:v>31</c:v>
                </c:pt>
                <c:pt idx="3">
                  <c:v>41</c:v>
                </c:pt>
                <c:pt idx="4">
                  <c:v>42</c:v>
                </c:pt>
                <c:pt idx="5">
                  <c:v>41</c:v>
                </c:pt>
                <c:pt idx="6">
                  <c:v>54</c:v>
                </c:pt>
                <c:pt idx="7">
                  <c:v>47</c:v>
                </c:pt>
                <c:pt idx="8">
                  <c:v>55</c:v>
                </c:pt>
                <c:pt idx="9">
                  <c:v>71</c:v>
                </c:pt>
                <c:pt idx="10">
                  <c:v>70</c:v>
                </c:pt>
                <c:pt idx="11">
                  <c:v>68</c:v>
                </c:pt>
                <c:pt idx="12">
                  <c:v>74</c:v>
                </c:pt>
                <c:pt idx="13">
                  <c:v>66</c:v>
                </c:pt>
              </c:numCache>
            </c:numRef>
          </c:val>
          <c:extLst>
            <c:ext xmlns:c16="http://schemas.microsoft.com/office/drawing/2014/chart" uri="{C3380CC4-5D6E-409C-BE32-E72D297353CC}">
              <c16:uniqueId val="{00000002-9BD3-4B85-A323-B90570708225}"/>
            </c:ext>
          </c:extLst>
        </c:ser>
        <c:ser>
          <c:idx val="3"/>
          <c:order val="3"/>
          <c:tx>
            <c:strRef>
              <c:f>'Gráfico 17'!$E$5</c:f>
              <c:strCache>
                <c:ptCount val="1"/>
                <c:pt idx="0">
                  <c:v>Auxiliar</c:v>
                </c:pt>
              </c:strCache>
            </c:strRef>
          </c:tx>
          <c:spPr>
            <a:solidFill>
              <a:schemeClr val="accent4"/>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17'!$A$6:$A$19</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17'!$E$6:$E$19</c:f>
              <c:numCache>
                <c:formatCode>General</c:formatCode>
                <c:ptCount val="14"/>
                <c:pt idx="0">
                  <c:v>148</c:v>
                </c:pt>
                <c:pt idx="1">
                  <c:v>148</c:v>
                </c:pt>
                <c:pt idx="2">
                  <c:v>147</c:v>
                </c:pt>
                <c:pt idx="3">
                  <c:v>158</c:v>
                </c:pt>
                <c:pt idx="4">
                  <c:v>164</c:v>
                </c:pt>
                <c:pt idx="5">
                  <c:v>176</c:v>
                </c:pt>
                <c:pt idx="6">
                  <c:v>156</c:v>
                </c:pt>
                <c:pt idx="7">
                  <c:v>161</c:v>
                </c:pt>
                <c:pt idx="8">
                  <c:v>164</c:v>
                </c:pt>
                <c:pt idx="9">
                  <c:v>155</c:v>
                </c:pt>
                <c:pt idx="10">
                  <c:v>154</c:v>
                </c:pt>
                <c:pt idx="11">
                  <c:v>148</c:v>
                </c:pt>
                <c:pt idx="12">
                  <c:v>130</c:v>
                </c:pt>
                <c:pt idx="13">
                  <c:v>124</c:v>
                </c:pt>
              </c:numCache>
            </c:numRef>
          </c:val>
          <c:extLst>
            <c:ext xmlns:c16="http://schemas.microsoft.com/office/drawing/2014/chart" uri="{C3380CC4-5D6E-409C-BE32-E72D297353CC}">
              <c16:uniqueId val="{00000003-9BD3-4B85-A323-B90570708225}"/>
            </c:ext>
          </c:extLst>
        </c:ser>
        <c:ser>
          <c:idx val="4"/>
          <c:order val="4"/>
          <c:tx>
            <c:strRef>
              <c:f>'Gráfico 17'!$F$5</c:f>
              <c:strCache>
                <c:ptCount val="1"/>
                <c:pt idx="0">
                  <c:v>Inicial</c:v>
                </c:pt>
              </c:strCache>
            </c:strRef>
          </c:tx>
          <c:spPr>
            <a:solidFill>
              <a:srgbClr val="7030A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17'!$A$6:$A$19</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17'!$F$6:$F$19</c:f>
              <c:numCache>
                <c:formatCode>General</c:formatCode>
                <c:ptCount val="14"/>
                <c:pt idx="10">
                  <c:v>6</c:v>
                </c:pt>
                <c:pt idx="11">
                  <c:v>9</c:v>
                </c:pt>
                <c:pt idx="12">
                  <c:v>10</c:v>
                </c:pt>
                <c:pt idx="13">
                  <c:v>20</c:v>
                </c:pt>
              </c:numCache>
            </c:numRef>
          </c:val>
          <c:extLst>
            <c:ext xmlns:c16="http://schemas.microsoft.com/office/drawing/2014/chart" uri="{C3380CC4-5D6E-409C-BE32-E72D297353CC}">
              <c16:uniqueId val="{00000004-9BD3-4B85-A323-B90570708225}"/>
            </c:ext>
          </c:extLst>
        </c:ser>
        <c:dLbls>
          <c:showLegendKey val="0"/>
          <c:showVal val="0"/>
          <c:showCatName val="0"/>
          <c:showSerName val="0"/>
          <c:showPercent val="0"/>
          <c:showBubbleSize val="0"/>
        </c:dLbls>
        <c:gapWidth val="219"/>
        <c:overlap val="-27"/>
        <c:axId val="429286896"/>
        <c:axId val="575745472"/>
      </c:barChart>
      <c:catAx>
        <c:axId val="42928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575745472"/>
        <c:crosses val="autoZero"/>
        <c:auto val="1"/>
        <c:lblAlgn val="ctr"/>
        <c:lblOffset val="100"/>
        <c:noMultiLvlLbl val="0"/>
      </c:catAx>
      <c:valAx>
        <c:axId val="575745472"/>
        <c:scaling>
          <c:orientation val="minMax"/>
        </c:scaling>
        <c:delete val="1"/>
        <c:axPos val="l"/>
        <c:numFmt formatCode="General" sourceLinked="1"/>
        <c:majorTickMark val="none"/>
        <c:minorTickMark val="none"/>
        <c:tickLblPos val="nextTo"/>
        <c:crossAx val="429286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'Gráfico 18'!$A$12</c:f>
              <c:strCache>
                <c:ptCount val="1"/>
                <c:pt idx="0">
                  <c:v>Tiempo Completo</c:v>
                </c:pt>
              </c:strCache>
            </c:strRef>
          </c:tx>
          <c:spPr>
            <a:ln w="12700" cap="rnd">
              <a:solidFill>
                <a:schemeClr val="accent1"/>
              </a:solidFill>
              <a:round/>
            </a:ln>
            <a:effectLst/>
          </c:spPr>
          <c:marker>
            <c:symbol val="circle"/>
            <c:size val="5"/>
            <c:spPr>
              <a:solidFill>
                <a:schemeClr val="accent1"/>
              </a:solidFill>
              <a:ln w="12700">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18'!$B$11:$O$11</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18'!$B$12:$O$12</c:f>
              <c:numCache>
                <c:formatCode>0%</c:formatCode>
                <c:ptCount val="14"/>
                <c:pt idx="0">
                  <c:v>0.16888193901485535</c:v>
                </c:pt>
                <c:pt idx="1">
                  <c:v>0.19124797406807131</c:v>
                </c:pt>
                <c:pt idx="2">
                  <c:v>0.23030907278165502</c:v>
                </c:pt>
                <c:pt idx="3">
                  <c:v>0.44645006016847172</c:v>
                </c:pt>
                <c:pt idx="4">
                  <c:v>0.41666666666666669</c:v>
                </c:pt>
                <c:pt idx="5">
                  <c:v>0.5</c:v>
                </c:pt>
                <c:pt idx="6">
                  <c:v>0.58420441347270613</c:v>
                </c:pt>
                <c:pt idx="7">
                  <c:v>0.57224770642201839</c:v>
                </c:pt>
                <c:pt idx="8">
                  <c:v>0.60909090909090913</c:v>
                </c:pt>
                <c:pt idx="9">
                  <c:v>0.60121457489878538</c:v>
                </c:pt>
                <c:pt idx="10">
                  <c:v>0.63961038961038963</c:v>
                </c:pt>
                <c:pt idx="11">
                  <c:v>0.61342155009451793</c:v>
                </c:pt>
                <c:pt idx="12">
                  <c:v>0.64161849710982655</c:v>
                </c:pt>
                <c:pt idx="13">
                  <c:v>0.63770794824399257</c:v>
                </c:pt>
              </c:numCache>
            </c:numRef>
          </c:val>
          <c:smooth val="0"/>
          <c:extLst>
            <c:ext xmlns:c16="http://schemas.microsoft.com/office/drawing/2014/chart" uri="{C3380CC4-5D6E-409C-BE32-E72D297353CC}">
              <c16:uniqueId val="{00000000-808E-418B-A67C-B9CED92B8FA0}"/>
            </c:ext>
          </c:extLst>
        </c:ser>
        <c:ser>
          <c:idx val="1"/>
          <c:order val="1"/>
          <c:tx>
            <c:strRef>
              <c:f>'Gráfico 18'!$A$13</c:f>
              <c:strCache>
                <c:ptCount val="1"/>
                <c:pt idx="0">
                  <c:v>Medio Tiempo</c:v>
                </c:pt>
              </c:strCache>
            </c:strRef>
          </c:tx>
          <c:spPr>
            <a:ln w="12700" cap="rnd">
              <a:solidFill>
                <a:schemeClr val="accent2"/>
              </a:solidFill>
              <a:round/>
            </a:ln>
            <a:effectLst/>
          </c:spPr>
          <c:marker>
            <c:symbol val="triangle"/>
            <c:size val="5"/>
            <c:spPr>
              <a:solidFill>
                <a:schemeClr val="accent2"/>
              </a:solidFill>
              <a:ln w="12700">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18'!$B$11:$O$11</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18'!$B$13:$O$13</c:f>
              <c:numCache>
                <c:formatCode>0%</c:formatCode>
                <c:ptCount val="14"/>
                <c:pt idx="0">
                  <c:v>3.6747458952306487E-2</c:v>
                </c:pt>
                <c:pt idx="1">
                  <c:v>4.0518638573743923E-2</c:v>
                </c:pt>
                <c:pt idx="2">
                  <c:v>6.7796610169491525E-2</c:v>
                </c:pt>
                <c:pt idx="3">
                  <c:v>0.14199759326113118</c:v>
                </c:pt>
                <c:pt idx="4">
                  <c:v>0.11737089201877934</c:v>
                </c:pt>
                <c:pt idx="5">
                  <c:v>0.15252293577981652</c:v>
                </c:pt>
                <c:pt idx="6">
                  <c:v>0.15795586527293845</c:v>
                </c:pt>
                <c:pt idx="7">
                  <c:v>0.20986238532110091</c:v>
                </c:pt>
                <c:pt idx="8">
                  <c:v>0.1875</c:v>
                </c:pt>
                <c:pt idx="9">
                  <c:v>0.19736842105263158</c:v>
                </c:pt>
                <c:pt idx="10">
                  <c:v>0.19480519480519481</c:v>
                </c:pt>
                <c:pt idx="11">
                  <c:v>0.25803402646502838</c:v>
                </c:pt>
                <c:pt idx="12">
                  <c:v>0.26589595375722541</c:v>
                </c:pt>
                <c:pt idx="13">
                  <c:v>0.30406654343807765</c:v>
                </c:pt>
              </c:numCache>
            </c:numRef>
          </c:val>
          <c:smooth val="0"/>
          <c:extLst>
            <c:ext xmlns:c16="http://schemas.microsoft.com/office/drawing/2014/chart" uri="{C3380CC4-5D6E-409C-BE32-E72D297353CC}">
              <c16:uniqueId val="{00000001-808E-418B-A67C-B9CED92B8FA0}"/>
            </c:ext>
          </c:extLst>
        </c:ser>
        <c:ser>
          <c:idx val="2"/>
          <c:order val="2"/>
          <c:tx>
            <c:strRef>
              <c:f>'Gráfico 18'!$A$14</c:f>
              <c:strCache>
                <c:ptCount val="1"/>
                <c:pt idx="0">
                  <c:v>Hora Cátedra</c:v>
                </c:pt>
              </c:strCache>
            </c:strRef>
          </c:tx>
          <c:spPr>
            <a:ln w="12700" cap="rnd">
              <a:solidFill>
                <a:schemeClr val="accent3"/>
              </a:solidFill>
              <a:prstDash val="sysDash"/>
              <a:round/>
            </a:ln>
            <a:effectLst/>
          </c:spPr>
          <c:marker>
            <c:symbol val="circle"/>
            <c:size val="5"/>
            <c:spPr>
              <a:solidFill>
                <a:schemeClr val="accent3"/>
              </a:solidFill>
              <a:ln w="12700">
                <a:solidFill>
                  <a:schemeClr val="accent3"/>
                </a:solidFill>
                <a:prstDash val="sysDash"/>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 18'!$B$11:$O$11</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18'!$B$14:$O$14</c:f>
              <c:numCache>
                <c:formatCode>0%</c:formatCode>
                <c:ptCount val="14"/>
                <c:pt idx="0">
                  <c:v>0.79437060203283816</c:v>
                </c:pt>
                <c:pt idx="1">
                  <c:v>0.7682333873581848</c:v>
                </c:pt>
                <c:pt idx="2">
                  <c:v>0.70189431704885341</c:v>
                </c:pt>
                <c:pt idx="3">
                  <c:v>0.41155234657039713</c:v>
                </c:pt>
                <c:pt idx="4">
                  <c:v>0.465962441314554</c:v>
                </c:pt>
                <c:pt idx="5">
                  <c:v>0.34747706422018348</c:v>
                </c:pt>
                <c:pt idx="6">
                  <c:v>0.25783972125435539</c:v>
                </c:pt>
                <c:pt idx="7">
                  <c:v>0.21788990825688073</c:v>
                </c:pt>
                <c:pt idx="8">
                  <c:v>0.2034090909090909</c:v>
                </c:pt>
                <c:pt idx="9">
                  <c:v>0.20141700404858301</c:v>
                </c:pt>
                <c:pt idx="10">
                  <c:v>0.16558441558441558</c:v>
                </c:pt>
                <c:pt idx="11">
                  <c:v>0.12854442344045369</c:v>
                </c:pt>
                <c:pt idx="12">
                  <c:v>9.2485549132947972E-2</c:v>
                </c:pt>
                <c:pt idx="13">
                  <c:v>5.8225508317929761E-2</c:v>
                </c:pt>
              </c:numCache>
            </c:numRef>
          </c:val>
          <c:smooth val="0"/>
          <c:extLst>
            <c:ext xmlns:c16="http://schemas.microsoft.com/office/drawing/2014/chart" uri="{C3380CC4-5D6E-409C-BE32-E72D297353CC}">
              <c16:uniqueId val="{00000002-808E-418B-A67C-B9CED92B8FA0}"/>
            </c:ext>
          </c:extLst>
        </c:ser>
        <c:dLbls>
          <c:showLegendKey val="0"/>
          <c:showVal val="0"/>
          <c:showCatName val="0"/>
          <c:showSerName val="0"/>
          <c:showPercent val="0"/>
          <c:showBubbleSize val="0"/>
        </c:dLbls>
        <c:marker val="1"/>
        <c:smooth val="0"/>
        <c:axId val="491292528"/>
        <c:axId val="491279568"/>
      </c:lineChart>
      <c:catAx>
        <c:axId val="49129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491279568"/>
        <c:crosses val="autoZero"/>
        <c:auto val="1"/>
        <c:lblAlgn val="ctr"/>
        <c:lblOffset val="100"/>
        <c:noMultiLvlLbl val="0"/>
      </c:catAx>
      <c:valAx>
        <c:axId val="4912795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crossAx val="491292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C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'Gráfico 20'!$B$4</c:f>
              <c:strCache>
                <c:ptCount val="1"/>
                <c:pt idx="0">
                  <c:v>PEDAGOGÍA</c:v>
                </c:pt>
              </c:strCache>
            </c:strRef>
          </c:tx>
          <c:spPr>
            <a:ln w="28575" cap="rnd">
              <a:solidFill>
                <a:srgbClr val="92D050"/>
              </a:solidFill>
              <a:round/>
            </a:ln>
            <a:effectLst/>
          </c:spPr>
          <c:marker>
            <c:symbol val="none"/>
          </c:marker>
          <c:cat>
            <c:strRef>
              <c:f>'Gráfico 20'!$A$5:$A$18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20'!$B$5:$B$18</c:f>
              <c:numCache>
                <c:formatCode>General</c:formatCode>
                <c:ptCount val="14"/>
                <c:pt idx="0">
                  <c:v>4.54</c:v>
                </c:pt>
                <c:pt idx="1">
                  <c:v>4.78</c:v>
                </c:pt>
                <c:pt idx="2">
                  <c:v>4.71</c:v>
                </c:pt>
                <c:pt idx="3">
                  <c:v>4.75</c:v>
                </c:pt>
                <c:pt idx="4">
                  <c:v>4.8</c:v>
                </c:pt>
                <c:pt idx="5">
                  <c:v>4.79</c:v>
                </c:pt>
                <c:pt idx="6">
                  <c:v>4.8099999999999996</c:v>
                </c:pt>
                <c:pt idx="7">
                  <c:v>4.74</c:v>
                </c:pt>
                <c:pt idx="8">
                  <c:v>4.74</c:v>
                </c:pt>
                <c:pt idx="9">
                  <c:v>4.76</c:v>
                </c:pt>
                <c:pt idx="10">
                  <c:v>4.72</c:v>
                </c:pt>
                <c:pt idx="11">
                  <c:v>4.72</c:v>
                </c:pt>
                <c:pt idx="12" formatCode="0.00">
                  <c:v>4.78</c:v>
                </c:pt>
                <c:pt idx="13" formatCode="0.00">
                  <c:v>4.7766666666666664</c:v>
                </c:pt>
              </c:numCache>
            </c:numRef>
          </c:val>
          <c:smooth val="0"/>
          <c:extLst>
            <c:ext xmlns:c16="http://schemas.microsoft.com/office/drawing/2014/chart" uri="{C3380CC4-5D6E-409C-BE32-E72D297353CC}">
              <c16:uniqueId val="{00000000-16A9-4E75-8FC3-A5D5A0442173}"/>
            </c:ext>
          </c:extLst>
        </c:ser>
        <c:ser>
          <c:idx val="1"/>
          <c:order val="1"/>
          <c:tx>
            <c:strRef>
              <c:f>'Gráfico 20'!$C$4</c:f>
              <c:strCache>
                <c:ptCount val="1"/>
                <c:pt idx="0">
                  <c:v>INVESTIGACIÓN</c:v>
                </c:pt>
              </c:strCache>
            </c:strRef>
          </c:tx>
          <c:spPr>
            <a:ln w="28575" cap="rnd">
              <a:solidFill>
                <a:schemeClr val="accent2"/>
              </a:solidFill>
              <a:round/>
            </a:ln>
            <a:effectLst/>
          </c:spPr>
          <c:marker>
            <c:symbol val="none"/>
          </c:marker>
          <c:cat>
            <c:strRef>
              <c:f>'Gráfico 20'!$A$5:$A$18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20'!$C$5:$C$18</c:f>
              <c:numCache>
                <c:formatCode>General</c:formatCode>
                <c:ptCount val="14"/>
                <c:pt idx="0">
                  <c:v>4.46</c:v>
                </c:pt>
                <c:pt idx="1">
                  <c:v>4.67</c:v>
                </c:pt>
                <c:pt idx="2">
                  <c:v>4.55</c:v>
                </c:pt>
                <c:pt idx="3">
                  <c:v>4.68</c:v>
                </c:pt>
                <c:pt idx="4">
                  <c:v>4.71</c:v>
                </c:pt>
                <c:pt idx="5">
                  <c:v>4.67</c:v>
                </c:pt>
                <c:pt idx="6">
                  <c:v>4.7300000000000004</c:v>
                </c:pt>
                <c:pt idx="7">
                  <c:v>4.6900000000000004</c:v>
                </c:pt>
                <c:pt idx="8">
                  <c:v>4.6500000000000004</c:v>
                </c:pt>
                <c:pt idx="9">
                  <c:v>4.6900000000000004</c:v>
                </c:pt>
                <c:pt idx="10">
                  <c:v>4.7</c:v>
                </c:pt>
                <c:pt idx="11">
                  <c:v>4.7</c:v>
                </c:pt>
                <c:pt idx="12" formatCode="0.00">
                  <c:v>4.6866666666666665</c:v>
                </c:pt>
                <c:pt idx="13" formatCode="0.00">
                  <c:v>4.703333333333334</c:v>
                </c:pt>
              </c:numCache>
            </c:numRef>
          </c:val>
          <c:smooth val="0"/>
          <c:extLst>
            <c:ext xmlns:c16="http://schemas.microsoft.com/office/drawing/2014/chart" uri="{C3380CC4-5D6E-409C-BE32-E72D297353CC}">
              <c16:uniqueId val="{00000001-16A9-4E75-8FC3-A5D5A0442173}"/>
            </c:ext>
          </c:extLst>
        </c:ser>
        <c:ser>
          <c:idx val="2"/>
          <c:order val="2"/>
          <c:tx>
            <c:strRef>
              <c:f>'Gráfico 20'!$D$4</c:f>
              <c:strCache>
                <c:ptCount val="1"/>
                <c:pt idx="0">
                  <c:v>INNOVACIÓN</c:v>
                </c:pt>
              </c:strCache>
            </c:strRef>
          </c:tx>
          <c:spPr>
            <a:ln w="28575" cap="rnd">
              <a:solidFill>
                <a:srgbClr val="FF00FF"/>
              </a:solidFill>
              <a:round/>
            </a:ln>
            <a:effectLst/>
          </c:spPr>
          <c:marker>
            <c:symbol val="none"/>
          </c:marker>
          <c:cat>
            <c:strRef>
              <c:f>'Gráfico 20'!$A$5:$A$18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20'!$D$5:$D$18</c:f>
              <c:numCache>
                <c:formatCode>General</c:formatCode>
                <c:ptCount val="14"/>
                <c:pt idx="0">
                  <c:v>4.18</c:v>
                </c:pt>
                <c:pt idx="1">
                  <c:v>4.71</c:v>
                </c:pt>
                <c:pt idx="2">
                  <c:v>4.6399999999999997</c:v>
                </c:pt>
                <c:pt idx="3">
                  <c:v>4.59</c:v>
                </c:pt>
                <c:pt idx="4">
                  <c:v>4.67</c:v>
                </c:pt>
                <c:pt idx="5">
                  <c:v>4.67</c:v>
                </c:pt>
                <c:pt idx="6">
                  <c:v>4.7300000000000004</c:v>
                </c:pt>
                <c:pt idx="7">
                  <c:v>4.72</c:v>
                </c:pt>
                <c:pt idx="8">
                  <c:v>4.6399999999999997</c:v>
                </c:pt>
                <c:pt idx="9">
                  <c:v>4.6900000000000004</c:v>
                </c:pt>
                <c:pt idx="10">
                  <c:v>4.5999999999999996</c:v>
                </c:pt>
                <c:pt idx="11">
                  <c:v>4.5999999999999996</c:v>
                </c:pt>
                <c:pt idx="12" formatCode="0.00">
                  <c:v>4.7033333333333331</c:v>
                </c:pt>
                <c:pt idx="13" formatCode="0.00">
                  <c:v>4.7266666666666666</c:v>
                </c:pt>
              </c:numCache>
            </c:numRef>
          </c:val>
          <c:smooth val="0"/>
          <c:extLst>
            <c:ext xmlns:c16="http://schemas.microsoft.com/office/drawing/2014/chart" uri="{C3380CC4-5D6E-409C-BE32-E72D297353CC}">
              <c16:uniqueId val="{00000002-16A9-4E75-8FC3-A5D5A0442173}"/>
            </c:ext>
          </c:extLst>
        </c:ser>
        <c:ser>
          <c:idx val="3"/>
          <c:order val="3"/>
          <c:tx>
            <c:strRef>
              <c:f>'Gráfico 20'!$E$4</c:f>
              <c:strCache>
                <c:ptCount val="1"/>
                <c:pt idx="0">
                  <c:v>COMUNICATIVA</c:v>
                </c:pt>
              </c:strCache>
            </c:strRef>
          </c:tx>
          <c:spPr>
            <a:ln w="28575" cap="rnd">
              <a:solidFill>
                <a:schemeClr val="accent4"/>
              </a:solidFill>
              <a:round/>
            </a:ln>
            <a:effectLst/>
          </c:spPr>
          <c:marker>
            <c:symbol val="none"/>
          </c:marker>
          <c:cat>
            <c:strRef>
              <c:f>'Gráfico 20'!$A$5:$A$18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20'!$E$5:$E$18</c:f>
              <c:numCache>
                <c:formatCode>General</c:formatCode>
                <c:ptCount val="14"/>
                <c:pt idx="0">
                  <c:v>4.4000000000000004</c:v>
                </c:pt>
                <c:pt idx="1">
                  <c:v>4.71</c:v>
                </c:pt>
                <c:pt idx="2">
                  <c:v>4.66</c:v>
                </c:pt>
                <c:pt idx="3">
                  <c:v>4.78</c:v>
                </c:pt>
                <c:pt idx="4">
                  <c:v>4.76</c:v>
                </c:pt>
                <c:pt idx="5">
                  <c:v>4.79</c:v>
                </c:pt>
                <c:pt idx="6">
                  <c:v>4.83</c:v>
                </c:pt>
                <c:pt idx="7">
                  <c:v>4.76</c:v>
                </c:pt>
                <c:pt idx="8">
                  <c:v>4.7699999999999996</c:v>
                </c:pt>
                <c:pt idx="9">
                  <c:v>4.78</c:v>
                </c:pt>
                <c:pt idx="10">
                  <c:v>4.6900000000000004</c:v>
                </c:pt>
                <c:pt idx="11">
                  <c:v>4.6900000000000004</c:v>
                </c:pt>
                <c:pt idx="12" formatCode="0.00">
                  <c:v>4.8066666666666675</c:v>
                </c:pt>
                <c:pt idx="13" formatCode="0.00">
                  <c:v>4.8133333333333326</c:v>
                </c:pt>
              </c:numCache>
            </c:numRef>
          </c:val>
          <c:smooth val="0"/>
          <c:extLst>
            <c:ext xmlns:c16="http://schemas.microsoft.com/office/drawing/2014/chart" uri="{C3380CC4-5D6E-409C-BE32-E72D297353CC}">
              <c16:uniqueId val="{00000003-16A9-4E75-8FC3-A5D5A0442173}"/>
            </c:ext>
          </c:extLst>
        </c:ser>
        <c:ser>
          <c:idx val="4"/>
          <c:order val="4"/>
          <c:tx>
            <c:strRef>
              <c:f>'Gráfico 20'!$F$4</c:f>
              <c:strCache>
                <c:ptCount val="1"/>
                <c:pt idx="0">
                  <c:v>TECNOLÓGICAS</c:v>
                </c:pt>
              </c:strCache>
            </c:strRef>
          </c:tx>
          <c:spPr>
            <a:ln w="28575" cap="rnd">
              <a:solidFill>
                <a:srgbClr val="00B0F0"/>
              </a:solidFill>
              <a:round/>
            </a:ln>
            <a:effectLst/>
          </c:spPr>
          <c:marker>
            <c:symbol val="none"/>
          </c:marker>
          <c:cat>
            <c:strRef>
              <c:f>'Gráfico 20'!$A$5:$A$18</c:f>
              <c:strCache>
                <c:ptCount val="14"/>
                <c:pt idx="0">
                  <c:v>2019-2</c:v>
                </c:pt>
                <c:pt idx="1">
                  <c:v>2020-1</c:v>
                </c:pt>
                <c:pt idx="2">
                  <c:v>2020-2</c:v>
                </c:pt>
                <c:pt idx="3">
                  <c:v>2021-1</c:v>
                </c:pt>
                <c:pt idx="4">
                  <c:v>2021-2</c:v>
                </c:pt>
                <c:pt idx="5">
                  <c:v>2022-1</c:v>
                </c:pt>
                <c:pt idx="6">
                  <c:v>2022-2</c:v>
                </c:pt>
                <c:pt idx="7">
                  <c:v>2023-1</c:v>
                </c:pt>
                <c:pt idx="8">
                  <c:v>2023-2</c:v>
                </c:pt>
                <c:pt idx="9">
                  <c:v>2024-1</c:v>
                </c:pt>
                <c:pt idx="10">
                  <c:v>2024-2</c:v>
                </c:pt>
                <c:pt idx="11">
                  <c:v>2025-1</c:v>
                </c:pt>
                <c:pt idx="12">
                  <c:v>2025-2</c:v>
                </c:pt>
                <c:pt idx="13">
                  <c:v>2026-1</c:v>
                </c:pt>
              </c:strCache>
            </c:strRef>
          </c:cat>
          <c:val>
            <c:numRef>
              <c:f>'Gráfico 20'!$F$5:$F$18</c:f>
              <c:numCache>
                <c:formatCode>General</c:formatCode>
                <c:ptCount val="14"/>
                <c:pt idx="0">
                  <c:v>4.47</c:v>
                </c:pt>
                <c:pt idx="1">
                  <c:v>4.8099999999999996</c:v>
                </c:pt>
                <c:pt idx="2">
                  <c:v>4.63</c:v>
                </c:pt>
                <c:pt idx="3">
                  <c:v>4.68</c:v>
                </c:pt>
                <c:pt idx="4">
                  <c:v>4.71</c:v>
                </c:pt>
                <c:pt idx="5">
                  <c:v>4.71</c:v>
                </c:pt>
                <c:pt idx="6">
                  <c:v>4.5999999999999996</c:v>
                </c:pt>
                <c:pt idx="7">
                  <c:v>4.6500000000000004</c:v>
                </c:pt>
                <c:pt idx="8">
                  <c:v>4.7</c:v>
                </c:pt>
                <c:pt idx="9">
                  <c:v>4.72</c:v>
                </c:pt>
                <c:pt idx="10">
                  <c:v>4.71</c:v>
                </c:pt>
                <c:pt idx="11">
                  <c:v>4.71</c:v>
                </c:pt>
                <c:pt idx="12" formatCode="0.00">
                  <c:v>4.7366666666666672</c:v>
                </c:pt>
                <c:pt idx="13" formatCode="0.00">
                  <c:v>4.8066666666666658</c:v>
                </c:pt>
              </c:numCache>
            </c:numRef>
          </c:val>
          <c:smooth val="0"/>
          <c:extLst>
            <c:ext xmlns:c16="http://schemas.microsoft.com/office/drawing/2014/chart" uri="{C3380CC4-5D6E-409C-BE32-E72D297353CC}">
              <c16:uniqueId val="{00000004-16A9-4E75-8FC3-A5D5A0442173}"/>
            </c:ext>
          </c:extLst>
        </c:ser>
        <c:dLbls>
          <c:showLegendKey val="0"/>
          <c:showVal val="0"/>
          <c:showCatName val="0"/>
          <c:showSerName val="0"/>
          <c:showPercent val="0"/>
          <c:showBubbleSize val="0"/>
        </c:dLbls>
        <c:smooth val="0"/>
        <c:axId val="1498531744"/>
        <c:axId val="898872399"/>
      </c:lineChart>
      <c:catAx>
        <c:axId val="149853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898872399"/>
        <c:crosses val="autoZero"/>
        <c:auto val="1"/>
        <c:lblAlgn val="ctr"/>
        <c:lblOffset val="100"/>
        <c:noMultiLvlLbl val="0"/>
      </c:catAx>
      <c:valAx>
        <c:axId val="898872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498531744"/>
        <c:crosses val="autoZero"/>
        <c:crossBetween val="between"/>
      </c:valAx>
      <c:spPr>
        <a:noFill/>
        <a:ln>
          <a:noFill/>
        </a:ln>
        <a:effectLst/>
      </c:spPr>
    </c:plotArea>
    <c:legend>
      <c:legendPos val="b"/>
      <c:layout>
        <c:manualLayout>
          <c:xMode val="edge"/>
          <c:yMode val="edge"/>
          <c:x val="8.404073979260894E-2"/>
          <c:y val="0.91721298216753755"/>
          <c:w val="0.78793842573637352"/>
          <c:h val="6.69237269240641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ocumenttasks/documenttask1.xml><?xml version="1.0" encoding="utf-8"?>
<Tasks xmlns="http://schemas.microsoft.com/office/tasks/2019/documenttasks">
  <Task id="{5170959F-2832-48A2-B2BF-0B79B17FCBEC}">
    <Anchor>
      <Comment id="{FC2DC2B6-1274-478D-8CED-84CDBE778630}"/>
    </Anchor>
    <History>
      <Event time="2025-08-22T14:10:16.07" id="{44DDA8CC-02F4-47DD-98F6-BFB7C3CA8ED5}">
        <Attribution userId="S::bsediazg@poligran.edu.co::cf574df8-574b-4ab3-addb-82768fc974c4" userName="Brayan Sebastian Diaz Gomez" userProvider="AD"/>
        <Anchor>
          <Comment id="{63988C85-46CA-421C-846F-BB4AB7E8D9A7}"/>
        </Anchor>
        <Create/>
      </Event>
      <Event time="2025-08-22T14:10:16.07" id="{D0796AD0-D5AC-486D-9D1F-8F72A03820FD}">
        <Attribution userId="S::bsediazg@poligran.edu.co::cf574df8-574b-4ab3-addb-82768fc974c4" userName="Brayan Sebastian Diaz Gomez" userProvider="AD"/>
        <Anchor>
          <Comment id="{63988C85-46CA-421C-846F-BB4AB7E8D9A7}"/>
        </Anchor>
        <Assign userId="S::cgrincon@poligran.edu.co::b0a26f32-2b7a-4b5b-b359-67c3b91947bd" userName="Carlos Gustavo Rincon Quinones" userProvider="AD"/>
      </Event>
      <Event time="2025-08-22T14:10:16.07" id="{AD03BC5B-0E54-4308-8833-5BA2731EEE9E}">
        <Attribution userId="S::bsediazg@poligran.edu.co::cf574df8-574b-4ab3-addb-82768fc974c4" userName="Brayan Sebastian Diaz Gomez" userProvider="AD"/>
        <Anchor>
          <Comment id="{63988C85-46CA-421C-846F-BB4AB7E8D9A7}"/>
        </Anchor>
        <SetTitle title="@Carlos Gustavo Rincon Quinones Listo"/>
      </Event>
    </History>
  </Task>
</Tasks>
</file>

<file path=xl/documenttasks/documenttask2.xml><?xml version="1.0" encoding="utf-8"?>
<Tasks xmlns="http://schemas.microsoft.com/office/tasks/2019/documenttasks">
  <Task id="{B30B9C10-8804-4C43-8CA1-A4414EBAC954}">
    <Anchor>
      <Comment id="{D9B7782F-6EC5-48D9-A9D0-DE79EBAECF5A}"/>
    </Anchor>
    <History>
      <Event time="2026-09-17T14:53:16.0" id="{0B4D9B28-6EEF-4E2D-B420-047D53E2082B}">
        <Attribution userId="S::bsediazg@poligran.edu.co::cf574df8-574b-4ab3-addb-82768fc974c4" userName="Brayan Sebastian Diaz Gomez" userProvider="AD"/>
        <Anchor>
          <Comment id="{D9B7782F-6EC5-48D9-A9D0-DE79EBAECF5A}"/>
        </Anchor>
        <Create/>
      </Event>
      <Event time="2026-09-17T14:53:16.0" id="{070853C9-F96C-4D11-8266-740FDF29CACB}">
        <Attribution userId="S::bsediazg@poligran.edu.co::cf574df8-574b-4ab3-addb-82768fc974c4" userName="Brayan Sebastian Diaz Gomez" userProvider="AD"/>
        <Anchor>
          <Comment id="{D9B7782F-6EC5-48D9-A9D0-DE79EBAECF5A}"/>
        </Anchor>
        <Assign userId="S::cgrincon@poligran.edu.co::b0a26f32-2b7a-4b5b-b359-67c3b91947bd" userName="Carlos Gustavo Rincon Quinones" userProvider="AD"/>
      </Event>
      <Event time="2026-09-17T14:53:16.0" id="{86130C1A-B8D8-4575-8721-28B7D4D37170}">
        <Attribution userId="S::bsediazg@poligran.edu.co::cf574df8-574b-4ab3-addb-82768fc974c4" userName="Brayan Sebastian Diaz Gomez" userProvider="AD"/>
        <Anchor>
          <Comment id="{D9B7782F-6EC5-48D9-A9D0-DE79EBAECF5A}"/>
        </Anchor>
        <SetTitle title="@Carlos Gustavo Rincon Quinones 2026-1 revisar por fa estos son los datos que me dan"/>
      </Event>
    </History>
  </Task>
</Tasks>
</file>

<file path=xl/documenttasks/documenttask3.xml><?xml version="1.0" encoding="utf-8"?>
<Tasks xmlns="http://schemas.microsoft.com/office/tasks/2019/documenttasks">
  <Task id="{D93F6347-C391-4D7C-AB5B-316BD83311E3}">
    <Anchor>
      <Comment id="{1F11D3BF-3541-47A0-A621-8054405CAE3E}"/>
    </Anchor>
    <History>
      <Event time="2025-05-19T20:54:14.14" id="{0C8F89F4-9B39-412A-9467-9F1BFC58A767}">
        <Attribution userId="S::accarmona@poligran.edu.co::c1106e70-5063-43ba-bfe9-5a1feeced35d" userName="Andrea Carmona Guerra" userProvider="AD"/>
        <Anchor>
          <Comment id="{1F11D3BF-3541-47A0-A621-8054405CAE3E}"/>
        </Anchor>
        <Create/>
      </Event>
      <Event time="2025-05-19T20:54:14.14" id="{14C67B0C-F800-4B0F-8025-78512B7CCB40}">
        <Attribution userId="S::accarmona@poligran.edu.co::c1106e70-5063-43ba-bfe9-5a1feeced35d" userName="Andrea Carmona Guerra" userProvider="AD"/>
        <Anchor>
          <Comment id="{1F11D3BF-3541-47A0-A621-8054405CAE3E}"/>
        </Anchor>
        <Assign userId="S::lvgonzalez@poligran.edu.co::19fdb4c4-61c4-463c-88b4-f903363fd94c" userName="Lina Vanessa Gonzalez Duran" userProvider="AD"/>
      </Event>
      <Event time="2025-05-19T20:54:14.14" id="{11FEECF1-7BE6-4078-BFE1-4D2950E5EC74}">
        <Attribution userId="S::accarmona@poligran.edu.co::c1106e70-5063-43ba-bfe9-5a1feeced35d" userName="Andrea Carmona Guerra" userProvider="AD"/>
        <Anchor>
          <Comment id="{1F11D3BF-3541-47A0-A621-8054405CAE3E}"/>
        </Anchor>
        <SetTitle title="Buenas tardes,  @Lina Vanessa Gonzalez Duran  Desde Huella se debe anexar las becas para familiares que no son contabilizadas por recursos humanos, estos 38 corresponden a colaboradores que recibieron auxilios educativos, becas impulso, y becas huella…"/>
      </Event>
    </History>
  </Task>
  <Task id="{984CBC5B-0DFA-45F5-8546-2791598293FC}">
    <Anchor>
      <Comment id="{D218375D-21E8-42B2-A932-06AAC2FF169D}"/>
    </Anchor>
    <History>
      <Event time="2025-08-20T21:07:32.91" id="{610C7980-EABD-4A9E-8E6E-61CC44A736D5}">
        <Attribution userId="S::accarmona@poligran.edu.co::c1106e70-5063-43ba-bfe9-5a1feeced35d" userName="Andrea Carmona Guerra" userProvider="AD"/>
        <Anchor>
          <Comment id="{D218375D-21E8-42B2-A932-06AAC2FF169D}"/>
        </Anchor>
        <Create/>
      </Event>
      <Event time="2025-08-20T21:07:32.91" id="{FEC66DCB-1C2B-4B86-9964-8F2E55FA9CD7}">
        <Attribution userId="S::accarmona@poligran.edu.co::c1106e70-5063-43ba-bfe9-5a1feeced35d" userName="Andrea Carmona Guerra" userProvider="AD"/>
        <Anchor>
          <Comment id="{D218375D-21E8-42B2-A932-06AAC2FF169D}"/>
        </Anchor>
        <Assign userId="S::lvgonzalez@poligran.edu.co::19fdb4c4-61c4-463c-88b4-f903363fd94c" userName="Lina Vanessa Gonzalez Duran" userProvider="AD"/>
      </Event>
      <Event time="2025-08-20T21:07:32.91" id="{BC4A7DF8-AAB4-4B8D-B4F0-59759D883064}">
        <Attribution userId="S::accarmona@poligran.edu.co::c1106e70-5063-43ba-bfe9-5a1feeced35d" userName="Andrea Carmona Guerra" userProvider="AD"/>
        <Anchor>
          <Comment id="{D218375D-21E8-42B2-A932-06AAC2FF169D}"/>
        </Anchor>
        <SetTitle title="…las becas para familiares que no son contabilizadas por recursos humanos, estos 82 corresponden a colaboradores que recibieron auxilios educativos, becas impulso, y becas huella pregrado y posgrado (que firmaron pagare) @Lina Vanessa Gonzalez Duran"/>
      </Event>
    </History>
  </Task>
</Tasks>
</file>

<file path=xl/documenttasks/documenttask4.xml><?xml version="1.0" encoding="utf-8"?>
<Tasks xmlns="http://schemas.microsoft.com/office/tasks/2019/documenttasks">
  <Task id="{C21D10E3-B56D-5848-9F96-E7C3B0C59CBE}">
    <Anchor>
      <Comment id="{AB43861E-1344-864D-A8B9-B60885629CC4}"/>
    </Anchor>
    <History>
      <Event time="2025-09-11T19:40:18.31" id="{9B78BF50-8F79-604C-A62B-0FA96B7A10C2}">
        <Attribution userId="S::dricciul@poligran.edu.co::b6c81d0d-d0d8-4447-9b72-69a126c5cb5b" userName="David Ricciulli Duarte" userProvider="AD"/>
        <Anchor>
          <Comment id="{AB43861E-1344-864D-A8B9-B60885629CC4}"/>
        </Anchor>
        <Create/>
      </Event>
      <Event time="2025-09-11T19:40:18.31" id="{3718F34A-0D59-614F-954A-AF6D0AA67806}">
        <Attribution userId="S::dricciul@poligran.edu.co::b6c81d0d-d0d8-4447-9b72-69a126c5cb5b" userName="David Ricciulli Duarte" userProvider="AD"/>
        <Anchor>
          <Comment id="{AB43861E-1344-864D-A8B9-B60885629CC4}"/>
        </Anchor>
        <Assign userId="S::jstsaenzt@poligran.edu.co::f2828b3b-1fbd-42fd-9695-e2639f1c3428" userName="Jhordan Stiven Saenz Tibasosa" userProvider="AD"/>
      </Event>
      <Event time="2025-09-11T19:40:18.31" id="{0EB0B60D-AE57-694A-B9DD-616DC36379F6}">
        <Attribution userId="S::dricciul@poligran.edu.co::b6c81d0d-d0d8-4447-9b72-69a126c5cb5b" userName="David Ricciulli Duarte" userProvider="AD"/>
        <Anchor>
          <Comment id="{AB43861E-1344-864D-A8B9-B60885629CC4}"/>
        </Anchor>
        <SetTitle title="@Jhordan Stiven Saenz TibasosaHola, Jhordan. Debemos desglosar la información de los resultados por unidad académica aquí."/>
      </Event>
    </History>
  </Task>
</Tasks>
</file>

<file path=xl/drawings/_rels/drawing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hyperlink" Target="#'&#205;ndice Tablas'!A1"/></Relationships>
</file>

<file path=xl/drawings/_rels/drawing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hyperlink" Target="#'&#205;ndice Tablas'!A1"/></Relationships>
</file>

<file path=xl/drawings/_rels/drawing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28.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hyperlink" Target="#'&#205;ndice Tablas'!A1"/></Relationships>
</file>

<file path=xl/drawings/_rels/drawing2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6.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hyperlink" Target="#'&#205;ndice Tablas'!A1"/></Relationships>
</file>

<file path=xl/drawings/_rels/drawing3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3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6.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hyperlink" Target="#'&#205;ndice Tablas'!A1"/></Relationships>
</file>

<file path=xl/drawings/_rels/drawing47.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hyperlink" Target="#'&#205;ndice Tablas'!A1"/></Relationships>
</file>

<file path=xl/drawings/_rels/drawing4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4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hyperlink" Target="#'&#205;ndice Tablas'!A1"/></Relationships>
</file>

<file path=xl/drawings/_rels/drawing5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5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hyperlink" Target="#'&#205;ndice Tablas'!A1"/></Relationships>
</file>

<file path=xl/drawings/_rels/drawing6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6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7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hyperlink" Target="#'&#205;ndice Tablas'!A1"/></Relationships>
</file>

<file path=xl/drawings/_rels/drawing8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8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0.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hyperlink" Target="#'&#205;ndice Tablas'!A1"/></Relationships>
</file>

<file path=xl/drawings/_rels/drawing9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9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1.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hyperlink" Target="#'&#205;ndice Tablas'!A1"/></Relationships>
</file>

<file path=xl/drawings/_rels/drawing10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0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1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2.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hyperlink" Target="#'&#205;ndice Tablas'!A1"/></Relationships>
</file>

<file path=xl/drawings/_rels/drawing12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4.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hyperlink" Target="#'&#205;ndice Tablas'!A1"/></Relationships>
</file>

<file path=xl/drawings/_rels/drawing12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2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38.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image" Target="../media/image1.png"/><Relationship Id="rId1" Type="http://schemas.openxmlformats.org/officeDocument/2006/relationships/hyperlink" Target="#'&#205;ndice Tablas'!A1"/></Relationships>
</file>

<file path=xl/drawings/_rels/drawing13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4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7.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8.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59.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0.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1.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2.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3.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4.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5.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6.xml.rels><?xml version="1.0" encoding="UTF-8" standalone="yes"?>
<Relationships xmlns="http://schemas.openxmlformats.org/package/2006/relationships"><Relationship Id="rId1" Type="http://schemas.openxmlformats.org/officeDocument/2006/relationships/hyperlink" Target="#'&#205;ndice Tablas'!A1"/></Relationships>
</file>

<file path=xl/drawings/_rels/drawing167.xml.rels><?xml version="1.0" encoding="UTF-8" standalone="yes"?>
<Relationships xmlns="http://schemas.openxmlformats.org/package/2006/relationships"><Relationship Id="rId1" Type="http://schemas.openxmlformats.org/officeDocument/2006/relationships/hyperlink" Target="#'&#205;ndice Tablas'!A1"/></Relationships>
</file>

<file path=xl/drawings/drawing1.xml><?xml version="1.0" encoding="utf-8"?>
<xdr:wsDr xmlns:xdr="http://schemas.openxmlformats.org/drawingml/2006/spreadsheetDrawing" xmlns:a="http://schemas.openxmlformats.org/drawingml/2006/main">
  <xdr:twoCellAnchor>
    <xdr:from>
      <xdr:col>14</xdr:col>
      <xdr:colOff>206375</xdr:colOff>
      <xdr:row>2</xdr:row>
      <xdr:rowOff>73025</xdr:rowOff>
    </xdr:from>
    <xdr:to>
      <xdr:col>15</xdr:col>
      <xdr:colOff>466725</xdr:colOff>
      <xdr:row>4</xdr:row>
      <xdr:rowOff>187325</xdr:rowOff>
    </xdr:to>
    <xdr:sp macro="" textlink="">
      <xdr:nvSpPr>
        <xdr:cNvPr id="3" name="Flecha: hacia la izquierda 1">
          <a:hlinkClick xmlns:r="http://schemas.openxmlformats.org/officeDocument/2006/relationships" r:id="rId1"/>
          <a:extLst>
            <a:ext uri="{FF2B5EF4-FFF2-40B4-BE49-F238E27FC236}">
              <a16:creationId xmlns:a16="http://schemas.microsoft.com/office/drawing/2014/main" id="{B6DB48F4-A384-2EC3-046C-B4E86242F30E}"/>
            </a:ext>
          </a:extLst>
        </xdr:cNvPr>
        <xdr:cNvSpPr/>
      </xdr:nvSpPr>
      <xdr:spPr>
        <a:xfrm>
          <a:off x="11855450" y="454025"/>
          <a:ext cx="1022350" cy="5143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139700</xdr:colOff>
      <xdr:row>0</xdr:row>
      <xdr:rowOff>0</xdr:rowOff>
    </xdr:from>
    <xdr:to>
      <xdr:col>8</xdr:col>
      <xdr:colOff>438150</xdr:colOff>
      <xdr:row>2</xdr:row>
      <xdr:rowOff>127000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68CA26E-807C-441D-AA56-D35ED1AEACDF}"/>
            </a:ext>
          </a:extLst>
        </xdr:cNvPr>
        <xdr:cNvSpPr/>
      </xdr:nvSpPr>
      <xdr:spPr>
        <a:xfrm>
          <a:off x="6064250" y="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0</xdr:row>
      <xdr:rowOff>0</xdr:rowOff>
    </xdr:from>
    <xdr:to>
      <xdr:col>5</xdr:col>
      <xdr:colOff>1098550</xdr:colOff>
      <xdr:row>2</xdr:row>
      <xdr:rowOff>127000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9C8DD7F-D20E-4022-B85E-AA1E24C1B1AE}"/>
            </a:ext>
          </a:extLst>
        </xdr:cNvPr>
        <xdr:cNvSpPr/>
      </xdr:nvSpPr>
      <xdr:spPr>
        <a:xfrm>
          <a:off x="5607050" y="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1187450</xdr:colOff>
      <xdr:row>0</xdr:row>
      <xdr:rowOff>0</xdr:rowOff>
    </xdr:from>
    <xdr:to>
      <xdr:col>6</xdr:col>
      <xdr:colOff>88900</xdr:colOff>
      <xdr:row>2</xdr:row>
      <xdr:rowOff>127000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2C00A36-56B0-4BE3-92BD-07B24B8AC58D}"/>
            </a:ext>
          </a:extLst>
        </xdr:cNvPr>
        <xdr:cNvSpPr/>
      </xdr:nvSpPr>
      <xdr:spPr>
        <a:xfrm>
          <a:off x="6794500" y="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5</xdr:col>
      <xdr:colOff>1187450</xdr:colOff>
      <xdr:row>10</xdr:row>
      <xdr:rowOff>0</xdr:rowOff>
    </xdr:from>
    <xdr:to>
      <xdr:col>6</xdr:col>
      <xdr:colOff>88900</xdr:colOff>
      <xdr:row>12</xdr:row>
      <xdr:rowOff>127000</xdr:rowOff>
    </xdr:to>
    <xdr:sp macro="" textlink="">
      <xdr:nvSpPr>
        <xdr:cNvPr id="3" name="Flecha: hacia la izquierda 1">
          <a:hlinkClick xmlns:r="http://schemas.openxmlformats.org/officeDocument/2006/relationships" r:id="rId1"/>
          <a:extLst>
            <a:ext uri="{FF2B5EF4-FFF2-40B4-BE49-F238E27FC236}">
              <a16:creationId xmlns:a16="http://schemas.microsoft.com/office/drawing/2014/main" id="{4E5C6BB3-0703-4089-A65E-C664F34F55C3}"/>
            </a:ext>
            <a:ext uri="{147F2762-F138-4A5C-976F-8EAC2B608ADB}">
              <a16:predDERef xmlns:a16="http://schemas.microsoft.com/office/drawing/2014/main" pred="{F2C00A36-56B0-4BE3-92BD-07B24B8AC58D}"/>
            </a:ext>
          </a:extLst>
        </xdr:cNvPr>
        <xdr:cNvSpPr/>
      </xdr:nvSpPr>
      <xdr:spPr>
        <a:xfrm>
          <a:off x="6511925" y="0"/>
          <a:ext cx="996950" cy="4889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15</xdr:col>
      <xdr:colOff>0</xdr:colOff>
      <xdr:row>1</xdr:row>
      <xdr:rowOff>0</xdr:rowOff>
    </xdr:from>
    <xdr:to>
      <xdr:col>16</xdr:col>
      <xdr:colOff>336550</xdr:colOff>
      <xdr:row>3</xdr:row>
      <xdr:rowOff>127000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CEBCBF3-DBDF-4BCF-A58B-EC3ABE478578}"/>
            </a:ext>
          </a:extLst>
        </xdr:cNvPr>
        <xdr:cNvSpPr/>
      </xdr:nvSpPr>
      <xdr:spPr>
        <a:xfrm>
          <a:off x="8375650" y="18415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3</xdr:col>
      <xdr:colOff>9524</xdr:colOff>
      <xdr:row>9</xdr:row>
      <xdr:rowOff>12700</xdr:rowOff>
    </xdr:from>
    <xdr:to>
      <xdr:col>13</xdr:col>
      <xdr:colOff>638175</xdr:colOff>
      <xdr:row>25</xdr:row>
      <xdr:rowOff>101600</xdr:rowOff>
    </xdr:to>
    <xdr:graphicFrame macro="">
      <xdr:nvGraphicFramePr>
        <xdr:cNvPr id="5" name="Gráfico 2">
          <a:extLst>
            <a:ext uri="{FF2B5EF4-FFF2-40B4-BE49-F238E27FC236}">
              <a16:creationId xmlns:a16="http://schemas.microsoft.com/office/drawing/2014/main" id="{28E7264A-F4C0-8F36-AB33-D8D27F120F2A}"/>
            </a:ext>
            <a:ext uri="{147F2762-F138-4A5C-976F-8EAC2B608ADB}">
              <a16:predDERef xmlns:a16="http://schemas.microsoft.com/office/drawing/2014/main" pred="{0CEBCBF3-DBDF-4BCF-A58B-EC3ABE478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12700</xdr:colOff>
      <xdr:row>0</xdr:row>
      <xdr:rowOff>0</xdr:rowOff>
    </xdr:from>
    <xdr:to>
      <xdr:col>7</xdr:col>
      <xdr:colOff>311150</xdr:colOff>
      <xdr:row>2</xdr:row>
      <xdr:rowOff>127000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5BBA5A9-52F5-4AB0-A1BD-6F951730940D}"/>
            </a:ext>
          </a:extLst>
        </xdr:cNvPr>
        <xdr:cNvSpPr/>
      </xdr:nvSpPr>
      <xdr:spPr>
        <a:xfrm>
          <a:off x="7816850" y="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16</xdr:col>
      <xdr:colOff>76200</xdr:colOff>
      <xdr:row>0</xdr:row>
      <xdr:rowOff>0</xdr:rowOff>
    </xdr:from>
    <xdr:to>
      <xdr:col>17</xdr:col>
      <xdr:colOff>374650</xdr:colOff>
      <xdr:row>2</xdr:row>
      <xdr:rowOff>127000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45DFBAB-FDF3-4598-B22C-C771745CE411}"/>
            </a:ext>
          </a:extLst>
        </xdr:cNvPr>
        <xdr:cNvSpPr/>
      </xdr:nvSpPr>
      <xdr:spPr>
        <a:xfrm>
          <a:off x="6191250" y="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12</xdr:col>
      <xdr:colOff>381000</xdr:colOff>
      <xdr:row>0</xdr:row>
      <xdr:rowOff>12700</xdr:rowOff>
    </xdr:from>
    <xdr:to>
      <xdr:col>15</xdr:col>
      <xdr:colOff>717550</xdr:colOff>
      <xdr:row>2</xdr:row>
      <xdr:rowOff>139700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FBE116D-83C8-4347-B70A-BF9190FE89D5}"/>
            </a:ext>
          </a:extLst>
        </xdr:cNvPr>
        <xdr:cNvSpPr/>
      </xdr:nvSpPr>
      <xdr:spPr>
        <a:xfrm>
          <a:off x="7327900" y="1270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4</xdr:col>
      <xdr:colOff>111124</xdr:colOff>
      <xdr:row>12</xdr:row>
      <xdr:rowOff>107950</xdr:rowOff>
    </xdr:from>
    <xdr:to>
      <xdr:col>15</xdr:col>
      <xdr:colOff>355599</xdr:colOff>
      <xdr:row>26</xdr:row>
      <xdr:rowOff>158750</xdr:rowOff>
    </xdr:to>
    <xdr:graphicFrame macro="">
      <xdr:nvGraphicFramePr>
        <xdr:cNvPr id="4" name="Gráfico 2">
          <a:extLst>
            <a:ext uri="{FF2B5EF4-FFF2-40B4-BE49-F238E27FC236}">
              <a16:creationId xmlns:a16="http://schemas.microsoft.com/office/drawing/2014/main" id="{B86D7512-9312-F428-C1F3-B8D683D6F70F}"/>
            </a:ext>
            <a:ext uri="{147F2762-F138-4A5C-976F-8EAC2B608ADB}">
              <a16:predDERef xmlns:a16="http://schemas.microsoft.com/office/drawing/2014/main" pred="{BFBE116D-83C8-4347-B70A-BF9190FE8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16</xdr:col>
      <xdr:colOff>603250</xdr:colOff>
      <xdr:row>0</xdr:row>
      <xdr:rowOff>0</xdr:rowOff>
    </xdr:from>
    <xdr:to>
      <xdr:col>18</xdr:col>
      <xdr:colOff>101600</xdr:colOff>
      <xdr:row>2</xdr:row>
      <xdr:rowOff>127000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4EB5DA1-E8CD-4793-88CF-327415A384E2}"/>
            </a:ext>
          </a:extLst>
        </xdr:cNvPr>
        <xdr:cNvSpPr/>
      </xdr:nvSpPr>
      <xdr:spPr>
        <a:xfrm>
          <a:off x="6718300" y="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5</xdr:col>
      <xdr:colOff>330200</xdr:colOff>
      <xdr:row>1</xdr:row>
      <xdr:rowOff>133350</xdr:rowOff>
    </xdr:from>
    <xdr:to>
      <xdr:col>8</xdr:col>
      <xdr:colOff>285750</xdr:colOff>
      <xdr:row>4</xdr:row>
      <xdr:rowOff>63500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DD95594-333A-4E38-923E-08D2A36BCB23}"/>
            </a:ext>
          </a:extLst>
        </xdr:cNvPr>
        <xdr:cNvSpPr/>
      </xdr:nvSpPr>
      <xdr:spPr>
        <a:xfrm>
          <a:off x="4978400" y="31750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285750</xdr:colOff>
      <xdr:row>0</xdr:row>
      <xdr:rowOff>114300</xdr:rowOff>
    </xdr:from>
    <xdr:to>
      <xdr:col>6</xdr:col>
      <xdr:colOff>241300</xdr:colOff>
      <xdr:row>3</xdr:row>
      <xdr:rowOff>57150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8F247FC-9491-406B-8C21-36BBEB9D4914}"/>
            </a:ext>
          </a:extLst>
        </xdr:cNvPr>
        <xdr:cNvSpPr/>
      </xdr:nvSpPr>
      <xdr:spPr>
        <a:xfrm>
          <a:off x="3225800" y="11430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25400</xdr:colOff>
      <xdr:row>0</xdr:row>
      <xdr:rowOff>76200</xdr:rowOff>
    </xdr:from>
    <xdr:to>
      <xdr:col>13</xdr:col>
      <xdr:colOff>361950</xdr:colOff>
      <xdr:row>3</xdr:row>
      <xdr:rowOff>19050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85DEEF9-31DC-4CC8-9742-A764A3B63D8C}"/>
            </a:ext>
          </a:extLst>
        </xdr:cNvPr>
        <xdr:cNvSpPr/>
      </xdr:nvSpPr>
      <xdr:spPr>
        <a:xfrm>
          <a:off x="6648450" y="7620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11</xdr:col>
      <xdr:colOff>25400</xdr:colOff>
      <xdr:row>0</xdr:row>
      <xdr:rowOff>76200</xdr:rowOff>
    </xdr:from>
    <xdr:to>
      <xdr:col>13</xdr:col>
      <xdr:colOff>361950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0F2C2A6-CBBE-402D-AEEA-1E648EB40169}"/>
            </a:ext>
          </a:extLst>
        </xdr:cNvPr>
        <xdr:cNvSpPr/>
      </xdr:nvSpPr>
      <xdr:spPr>
        <a:xfrm>
          <a:off x="6648450" y="76200"/>
          <a:ext cx="109855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12</xdr:col>
      <xdr:colOff>679450</xdr:colOff>
      <xdr:row>0</xdr:row>
      <xdr:rowOff>76200</xdr:rowOff>
    </xdr:from>
    <xdr:to>
      <xdr:col>14</xdr:col>
      <xdr:colOff>177800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763273C-37EF-483C-9FBD-DAFE28EF838D}"/>
            </a:ext>
          </a:extLst>
        </xdr:cNvPr>
        <xdr:cNvSpPr/>
      </xdr:nvSpPr>
      <xdr:spPr>
        <a:xfrm>
          <a:off x="9658350" y="76200"/>
          <a:ext cx="109855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15</xdr:col>
      <xdr:colOff>382270</xdr:colOff>
      <xdr:row>1</xdr:row>
      <xdr:rowOff>38100</xdr:rowOff>
    </xdr:from>
    <xdr:to>
      <xdr:col>16</xdr:col>
      <xdr:colOff>558800</xdr:colOff>
      <xdr:row>3</xdr:row>
      <xdr:rowOff>163830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0CD0858-3B87-4C00-BAB6-356E9C4185FF}"/>
            </a:ext>
          </a:extLst>
        </xdr:cNvPr>
        <xdr:cNvSpPr/>
      </xdr:nvSpPr>
      <xdr:spPr>
        <a:xfrm>
          <a:off x="9046210" y="220980"/>
          <a:ext cx="1098550" cy="49911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16</xdr:col>
      <xdr:colOff>679450</xdr:colOff>
      <xdr:row>0</xdr:row>
      <xdr:rowOff>76200</xdr:rowOff>
    </xdr:from>
    <xdr:to>
      <xdr:col>18</xdr:col>
      <xdr:colOff>177800</xdr:colOff>
      <xdr:row>3</xdr:row>
      <xdr:rowOff>19050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175E4F2-2525-48EF-91F8-6990E08D6224}"/>
            </a:ext>
          </a:extLst>
        </xdr:cNvPr>
        <xdr:cNvSpPr/>
      </xdr:nvSpPr>
      <xdr:spPr>
        <a:xfrm>
          <a:off x="9645650" y="76200"/>
          <a:ext cx="109855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5</xdr:col>
      <xdr:colOff>31750</xdr:colOff>
      <xdr:row>0</xdr:row>
      <xdr:rowOff>38100</xdr:rowOff>
    </xdr:from>
    <xdr:to>
      <xdr:col>6</xdr:col>
      <xdr:colOff>330200</xdr:colOff>
      <xdr:row>2</xdr:row>
      <xdr:rowOff>171450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9D1EF60-404D-4EEA-B6E5-7E4C8FFB03C5}"/>
            </a:ext>
          </a:extLst>
        </xdr:cNvPr>
        <xdr:cNvSpPr/>
      </xdr:nvSpPr>
      <xdr:spPr>
        <a:xfrm>
          <a:off x="5073650" y="38100"/>
          <a:ext cx="109855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41</xdr:col>
      <xdr:colOff>361950</xdr:colOff>
      <xdr:row>0</xdr:row>
      <xdr:rowOff>0</xdr:rowOff>
    </xdr:from>
    <xdr:to>
      <xdr:col>47</xdr:col>
      <xdr:colOff>190500</xdr:colOff>
      <xdr:row>2</xdr:row>
      <xdr:rowOff>129540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BD00631-FCE1-45F2-8684-6B20A5FA7945}"/>
            </a:ext>
          </a:extLst>
        </xdr:cNvPr>
        <xdr:cNvSpPr/>
      </xdr:nvSpPr>
      <xdr:spPr>
        <a:xfrm>
          <a:off x="9534525" y="0"/>
          <a:ext cx="962025" cy="49149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10</xdr:col>
      <xdr:colOff>247650</xdr:colOff>
      <xdr:row>0</xdr:row>
      <xdr:rowOff>88900</xdr:rowOff>
    </xdr:from>
    <xdr:to>
      <xdr:col>12</xdr:col>
      <xdr:colOff>133350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9B974D5-A78B-4B8F-B662-5812DD588E34}"/>
            </a:ext>
          </a:extLst>
        </xdr:cNvPr>
        <xdr:cNvSpPr/>
      </xdr:nvSpPr>
      <xdr:spPr>
        <a:xfrm>
          <a:off x="5727700" y="88900"/>
          <a:ext cx="90805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7</xdr:col>
      <xdr:colOff>285750</xdr:colOff>
      <xdr:row>0</xdr:row>
      <xdr:rowOff>19050</xdr:rowOff>
    </xdr:from>
    <xdr:to>
      <xdr:col>10</xdr:col>
      <xdr:colOff>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BCDB488-45B6-488E-9810-0977F9C2D56C}"/>
            </a:ext>
          </a:extLst>
        </xdr:cNvPr>
        <xdr:cNvSpPr/>
      </xdr:nvSpPr>
      <xdr:spPr>
        <a:xfrm>
          <a:off x="4235450" y="19050"/>
          <a:ext cx="90170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11</xdr:col>
      <xdr:colOff>114300</xdr:colOff>
      <xdr:row>0</xdr:row>
      <xdr:rowOff>0</xdr:rowOff>
    </xdr:from>
    <xdr:to>
      <xdr:col>12</xdr:col>
      <xdr:colOff>603250</xdr:colOff>
      <xdr:row>2</xdr:row>
      <xdr:rowOff>133350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155D83D-897F-47E9-BC7F-F60141FBDB27}"/>
            </a:ext>
          </a:extLst>
        </xdr:cNvPr>
        <xdr:cNvSpPr/>
      </xdr:nvSpPr>
      <xdr:spPr>
        <a:xfrm>
          <a:off x="8369300" y="0"/>
          <a:ext cx="128905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7</xdr:col>
      <xdr:colOff>781050</xdr:colOff>
      <xdr:row>0</xdr:row>
      <xdr:rowOff>0</xdr:rowOff>
    </xdr:from>
    <xdr:to>
      <xdr:col>9</xdr:col>
      <xdr:colOff>279400</xdr:colOff>
      <xdr:row>2</xdr:row>
      <xdr:rowOff>133350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495DF83-B2AE-489E-9322-3E3B9088E65C}"/>
            </a:ext>
          </a:extLst>
        </xdr:cNvPr>
        <xdr:cNvSpPr/>
      </xdr:nvSpPr>
      <xdr:spPr>
        <a:xfrm>
          <a:off x="7423150" y="0"/>
          <a:ext cx="109855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5</xdr:col>
      <xdr:colOff>781050</xdr:colOff>
      <xdr:row>0</xdr:row>
      <xdr:rowOff>0</xdr:rowOff>
    </xdr:from>
    <xdr:to>
      <xdr:col>7</xdr:col>
      <xdr:colOff>279400</xdr:colOff>
      <xdr:row>2</xdr:row>
      <xdr:rowOff>133350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AA32EF5-BB7C-48E3-8903-DCFCAAB8F1E7}"/>
            </a:ext>
          </a:extLst>
        </xdr:cNvPr>
        <xdr:cNvSpPr/>
      </xdr:nvSpPr>
      <xdr:spPr>
        <a:xfrm>
          <a:off x="7423150" y="0"/>
          <a:ext cx="109855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7</xdr:col>
      <xdr:colOff>781050</xdr:colOff>
      <xdr:row>0</xdr:row>
      <xdr:rowOff>0</xdr:rowOff>
    </xdr:from>
    <xdr:to>
      <xdr:col>9</xdr:col>
      <xdr:colOff>279400</xdr:colOff>
      <xdr:row>2</xdr:row>
      <xdr:rowOff>133350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2BA6734-8853-49EE-B9ED-8A8134C8E264}"/>
            </a:ext>
          </a:extLst>
        </xdr:cNvPr>
        <xdr:cNvSpPr/>
      </xdr:nvSpPr>
      <xdr:spPr>
        <a:xfrm>
          <a:off x="7423150" y="0"/>
          <a:ext cx="109855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15</xdr:col>
      <xdr:colOff>234950</xdr:colOff>
      <xdr:row>0</xdr:row>
      <xdr:rowOff>6350</xdr:rowOff>
    </xdr:from>
    <xdr:to>
      <xdr:col>16</xdr:col>
      <xdr:colOff>654050</xdr:colOff>
      <xdr:row>2</xdr:row>
      <xdr:rowOff>139700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F3059B2-823E-406E-B8BD-475165A10482}"/>
            </a:ext>
          </a:extLst>
        </xdr:cNvPr>
        <xdr:cNvSpPr/>
      </xdr:nvSpPr>
      <xdr:spPr>
        <a:xfrm>
          <a:off x="6858000" y="635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15</xdr:col>
      <xdr:colOff>234950</xdr:colOff>
      <xdr:row>0</xdr:row>
      <xdr:rowOff>6350</xdr:rowOff>
    </xdr:from>
    <xdr:to>
      <xdr:col>16</xdr:col>
      <xdr:colOff>654050</xdr:colOff>
      <xdr:row>2</xdr:row>
      <xdr:rowOff>139700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71BA83D-3C98-4DEE-A75A-FA17F63D2891}"/>
            </a:ext>
          </a:extLst>
        </xdr:cNvPr>
        <xdr:cNvSpPr/>
      </xdr:nvSpPr>
      <xdr:spPr>
        <a:xfrm>
          <a:off x="6432550" y="635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13</xdr:col>
      <xdr:colOff>234950</xdr:colOff>
      <xdr:row>0</xdr:row>
      <xdr:rowOff>6350</xdr:rowOff>
    </xdr:from>
    <xdr:to>
      <xdr:col>14</xdr:col>
      <xdr:colOff>654050</xdr:colOff>
      <xdr:row>2</xdr:row>
      <xdr:rowOff>139700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79FA7D8-6A04-479B-9FD1-584BB3A2EAA4}"/>
            </a:ext>
          </a:extLst>
        </xdr:cNvPr>
        <xdr:cNvSpPr/>
      </xdr:nvSpPr>
      <xdr:spPr>
        <a:xfrm>
          <a:off x="6432550" y="635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7</xdr:col>
      <xdr:colOff>285750</xdr:colOff>
      <xdr:row>0</xdr:row>
      <xdr:rowOff>19050</xdr:rowOff>
    </xdr:from>
    <xdr:to>
      <xdr:col>10</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7C00024-4943-4969-A552-A940D548B47B}"/>
            </a:ext>
          </a:extLst>
        </xdr:cNvPr>
        <xdr:cNvSpPr/>
      </xdr:nvSpPr>
      <xdr:spPr>
        <a:xfrm>
          <a:off x="4781550" y="19050"/>
          <a:ext cx="111760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4</xdr:col>
      <xdr:colOff>612775</xdr:colOff>
      <xdr:row>2</xdr:row>
      <xdr:rowOff>82550</xdr:rowOff>
    </xdr:from>
    <xdr:to>
      <xdr:col>16</xdr:col>
      <xdr:colOff>104775</xdr:colOff>
      <xdr:row>16</xdr:row>
      <xdr:rowOff>95250</xdr:rowOff>
    </xdr:to>
    <xdr:graphicFrame macro="">
      <xdr:nvGraphicFramePr>
        <xdr:cNvPr id="4" name="Gráfico 3">
          <a:extLst>
            <a:ext uri="{FF2B5EF4-FFF2-40B4-BE49-F238E27FC236}">
              <a16:creationId xmlns:a16="http://schemas.microsoft.com/office/drawing/2014/main" id="{A1BA03CA-BE74-CBDF-42D3-C9C2A4B5257E}"/>
            </a:ext>
            <a:ext uri="{147F2762-F138-4A5C-976F-8EAC2B608ADB}">
              <a16:predDERef xmlns:a16="http://schemas.microsoft.com/office/drawing/2014/main" pred="{D7C00024-4943-4969-A552-A940D548B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9</xdr:col>
      <xdr:colOff>133350</xdr:colOff>
      <xdr:row>0</xdr:row>
      <xdr:rowOff>95250</xdr:rowOff>
    </xdr:from>
    <xdr:to>
      <xdr:col>12</xdr:col>
      <xdr:colOff>107950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4C6E938-7C80-4FF9-BBB5-E382A36E53F6}"/>
            </a:ext>
          </a:extLst>
        </xdr:cNvPr>
        <xdr:cNvSpPr/>
      </xdr:nvSpPr>
      <xdr:spPr>
        <a:xfrm>
          <a:off x="5454650" y="95250"/>
          <a:ext cx="118745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11</xdr:col>
      <xdr:colOff>209550</xdr:colOff>
      <xdr:row>0</xdr:row>
      <xdr:rowOff>44450</xdr:rowOff>
    </xdr:from>
    <xdr:to>
      <xdr:col>14</xdr:col>
      <xdr:colOff>184150</xdr:colOff>
      <xdr:row>2</xdr:row>
      <xdr:rowOff>139700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DEE4443-FE87-44D0-AC70-3FC77FD598E7}"/>
            </a:ext>
          </a:extLst>
        </xdr:cNvPr>
        <xdr:cNvSpPr/>
      </xdr:nvSpPr>
      <xdr:spPr>
        <a:xfrm>
          <a:off x="5530850" y="44450"/>
          <a:ext cx="118745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10</xdr:col>
      <xdr:colOff>165100</xdr:colOff>
      <xdr:row>0</xdr:row>
      <xdr:rowOff>63500</xdr:rowOff>
    </xdr:from>
    <xdr:to>
      <xdr:col>13</xdr:col>
      <xdr:colOff>419100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B29807C-06BD-4611-9BC4-345F799035BD}"/>
            </a:ext>
          </a:extLst>
        </xdr:cNvPr>
        <xdr:cNvSpPr/>
      </xdr:nvSpPr>
      <xdr:spPr>
        <a:xfrm>
          <a:off x="5486400" y="63500"/>
          <a:ext cx="146685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5</xdr:col>
      <xdr:colOff>50800</xdr:colOff>
      <xdr:row>0</xdr:row>
      <xdr:rowOff>38100</xdr:rowOff>
    </xdr:from>
    <xdr:to>
      <xdr:col>6</xdr:col>
      <xdr:colOff>469900</xdr:colOff>
      <xdr:row>2</xdr:row>
      <xdr:rowOff>171450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C9EB2D9-176F-4F14-85F8-45078B5D625A}"/>
            </a:ext>
          </a:extLst>
        </xdr:cNvPr>
        <xdr:cNvSpPr/>
      </xdr:nvSpPr>
      <xdr:spPr>
        <a:xfrm>
          <a:off x="4616450" y="381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11</xdr:col>
      <xdr:colOff>50800</xdr:colOff>
      <xdr:row>0</xdr:row>
      <xdr:rowOff>38100</xdr:rowOff>
    </xdr:from>
    <xdr:to>
      <xdr:col>12</xdr:col>
      <xdr:colOff>469900</xdr:colOff>
      <xdr:row>2</xdr:row>
      <xdr:rowOff>171450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19F62BF-EF04-4C58-AA53-BA1106E8DE0E}"/>
            </a:ext>
          </a:extLst>
        </xdr:cNvPr>
        <xdr:cNvSpPr/>
      </xdr:nvSpPr>
      <xdr:spPr>
        <a:xfrm>
          <a:off x="4616450" y="381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7</xdr:col>
      <xdr:colOff>285750</xdr:colOff>
      <xdr:row>0</xdr:row>
      <xdr:rowOff>19050</xdr:rowOff>
    </xdr:from>
    <xdr:to>
      <xdr:col>10</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A7FA60A-05D5-4776-827E-C0C1AC74B4B6}"/>
            </a:ext>
          </a:extLst>
        </xdr:cNvPr>
        <xdr:cNvSpPr/>
      </xdr:nvSpPr>
      <xdr:spPr>
        <a:xfrm>
          <a:off x="4781550" y="19050"/>
          <a:ext cx="111760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8</xdr:col>
      <xdr:colOff>774700</xdr:colOff>
      <xdr:row>0</xdr:row>
      <xdr:rowOff>0</xdr:rowOff>
    </xdr:from>
    <xdr:to>
      <xdr:col>10</xdr:col>
      <xdr:colOff>408940</xdr:colOff>
      <xdr:row>2</xdr:row>
      <xdr:rowOff>133350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165A108-BF88-4955-B103-A5964D7B903C}"/>
            </a:ext>
          </a:extLst>
        </xdr:cNvPr>
        <xdr:cNvSpPr/>
      </xdr:nvSpPr>
      <xdr:spPr>
        <a:xfrm>
          <a:off x="11480800" y="0"/>
          <a:ext cx="1203960" cy="49911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7</xdr:col>
      <xdr:colOff>285750</xdr:colOff>
      <xdr:row>0</xdr:row>
      <xdr:rowOff>19050</xdr:rowOff>
    </xdr:from>
    <xdr:to>
      <xdr:col>10</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8F5B4FA-789E-4DE9-AC7A-5D6332C36935}"/>
            </a:ext>
          </a:extLst>
        </xdr:cNvPr>
        <xdr:cNvSpPr/>
      </xdr:nvSpPr>
      <xdr:spPr>
        <a:xfrm>
          <a:off x="4781550" y="19050"/>
          <a:ext cx="111760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7</xdr:col>
      <xdr:colOff>12700</xdr:colOff>
      <xdr:row>0</xdr:row>
      <xdr:rowOff>44450</xdr:rowOff>
    </xdr:from>
    <xdr:to>
      <xdr:col>17</xdr:col>
      <xdr:colOff>171450</xdr:colOff>
      <xdr:row>13</xdr:row>
      <xdr:rowOff>146050</xdr:rowOff>
    </xdr:to>
    <xdr:graphicFrame macro="">
      <xdr:nvGraphicFramePr>
        <xdr:cNvPr id="3" name="Gráfico 2">
          <a:extLst>
            <a:ext uri="{FF2B5EF4-FFF2-40B4-BE49-F238E27FC236}">
              <a16:creationId xmlns:a16="http://schemas.microsoft.com/office/drawing/2014/main" id="{DA88256B-B95E-1DC4-2142-0C13EFB45CE2}"/>
            </a:ext>
            <a:ext uri="{147F2762-F138-4A5C-976F-8EAC2B608ADB}">
              <a16:predDERef xmlns:a16="http://schemas.microsoft.com/office/drawing/2014/main" pred="{88F5B4FA-789E-4DE9-AC7A-5D6332C369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10</xdr:col>
      <xdr:colOff>50800</xdr:colOff>
      <xdr:row>0</xdr:row>
      <xdr:rowOff>38100</xdr:rowOff>
    </xdr:from>
    <xdr:to>
      <xdr:col>11</xdr:col>
      <xdr:colOff>469900</xdr:colOff>
      <xdr:row>2</xdr:row>
      <xdr:rowOff>171450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6F36044-8102-4FCD-98CA-1180235F9B82}"/>
            </a:ext>
          </a:extLst>
        </xdr:cNvPr>
        <xdr:cNvSpPr/>
      </xdr:nvSpPr>
      <xdr:spPr>
        <a:xfrm>
          <a:off x="4768850" y="381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15</xdr:col>
      <xdr:colOff>146050</xdr:colOff>
      <xdr:row>0</xdr:row>
      <xdr:rowOff>88900</xdr:rowOff>
    </xdr:from>
    <xdr:to>
      <xdr:col>16</xdr:col>
      <xdr:colOff>565150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F69EF2A-572D-491D-9CF2-A207D18835EE}"/>
            </a:ext>
          </a:extLst>
        </xdr:cNvPr>
        <xdr:cNvSpPr/>
      </xdr:nvSpPr>
      <xdr:spPr>
        <a:xfrm>
          <a:off x="653415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15</xdr:col>
      <xdr:colOff>146050</xdr:colOff>
      <xdr:row>0</xdr:row>
      <xdr:rowOff>88900</xdr:rowOff>
    </xdr:from>
    <xdr:to>
      <xdr:col>16</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6125D55-6B95-4984-A52F-BC4ED36E2DA1}"/>
            </a:ext>
          </a:extLst>
        </xdr:cNvPr>
        <xdr:cNvSpPr/>
      </xdr:nvSpPr>
      <xdr:spPr>
        <a:xfrm>
          <a:off x="104648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9A38D6D-399F-4133-896B-8A092A9957F4}"/>
            </a:ext>
          </a:extLst>
        </xdr:cNvPr>
        <xdr:cNvSpPr/>
      </xdr:nvSpPr>
      <xdr:spPr>
        <a:xfrm>
          <a:off x="653415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DC905E7-4230-4BAD-848F-E65CC5D065DC}"/>
            </a:ext>
          </a:extLst>
        </xdr:cNvPr>
        <xdr:cNvSpPr/>
      </xdr:nvSpPr>
      <xdr:spPr>
        <a:xfrm>
          <a:off x="5613400" y="88900"/>
          <a:ext cx="121920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FF61248-8F96-4B9A-A292-9BE3B613CC7A}"/>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3E84713-0488-471E-B575-B6D2021BB751}"/>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2A662B5-ACA6-4313-B7E7-3786284EC0EB}"/>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90128B7-872D-4C4B-B69E-7A53E819F455}"/>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4</xdr:col>
      <xdr:colOff>285750</xdr:colOff>
      <xdr:row>0</xdr:row>
      <xdr:rowOff>19050</xdr:rowOff>
    </xdr:from>
    <xdr:to>
      <xdr:col>7</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AFF6B93-EB55-4334-8475-10B055F25B74}"/>
            </a:ext>
          </a:extLst>
        </xdr:cNvPr>
        <xdr:cNvSpPr/>
      </xdr:nvSpPr>
      <xdr:spPr>
        <a:xfrm>
          <a:off x="4781550" y="19050"/>
          <a:ext cx="111760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6</xdr:col>
      <xdr:colOff>28575</xdr:colOff>
      <xdr:row>7</xdr:row>
      <xdr:rowOff>203200</xdr:rowOff>
    </xdr:from>
    <xdr:to>
      <xdr:col>15</xdr:col>
      <xdr:colOff>231775</xdr:colOff>
      <xdr:row>20</xdr:row>
      <xdr:rowOff>107950</xdr:rowOff>
    </xdr:to>
    <xdr:graphicFrame macro="">
      <xdr:nvGraphicFramePr>
        <xdr:cNvPr id="3" name="Gráfico 2">
          <a:extLst>
            <a:ext uri="{FF2B5EF4-FFF2-40B4-BE49-F238E27FC236}">
              <a16:creationId xmlns:a16="http://schemas.microsoft.com/office/drawing/2014/main" id="{48747639-C0A0-BFF3-0552-7F35D37AF12D}"/>
            </a:ext>
            <a:ext uri="{147F2762-F138-4A5C-976F-8EAC2B608ADB}">
              <a16:predDERef xmlns:a16="http://schemas.microsoft.com/office/drawing/2014/main" pred="{0AFF6B93-EB55-4334-8475-10B055F25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7.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49364EE-43BD-4671-A841-1A4FD33384EF}"/>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10</xdr:col>
      <xdr:colOff>631824</xdr:colOff>
      <xdr:row>6</xdr:row>
      <xdr:rowOff>139700</xdr:rowOff>
    </xdr:from>
    <xdr:to>
      <xdr:col>16</xdr:col>
      <xdr:colOff>711199</xdr:colOff>
      <xdr:row>17</xdr:row>
      <xdr:rowOff>57150</xdr:rowOff>
    </xdr:to>
    <xdr:graphicFrame macro="">
      <xdr:nvGraphicFramePr>
        <xdr:cNvPr id="3" name="Gráfico 2">
          <a:extLst>
            <a:ext uri="{FF2B5EF4-FFF2-40B4-BE49-F238E27FC236}">
              <a16:creationId xmlns:a16="http://schemas.microsoft.com/office/drawing/2014/main" id="{31F07D2D-228C-775D-0799-592779EDD67E}"/>
            </a:ext>
            <a:ext uri="{147F2762-F138-4A5C-976F-8EAC2B608ADB}">
              <a16:predDERef xmlns:a16="http://schemas.microsoft.com/office/drawing/2014/main" pred="{D49364EE-43BD-4671-A841-1A4FD33384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8.xml><?xml version="1.0" encoding="utf-8"?>
<xdr:wsDr xmlns:xdr="http://schemas.openxmlformats.org/drawingml/2006/spreadsheetDrawing" xmlns:a="http://schemas.openxmlformats.org/drawingml/2006/main">
  <xdr:twoCellAnchor>
    <xdr:from>
      <xdr:col>9</xdr:col>
      <xdr:colOff>245110</xdr:colOff>
      <xdr:row>0</xdr:row>
      <xdr:rowOff>88900</xdr:rowOff>
    </xdr:from>
    <xdr:to>
      <xdr:col>10</xdr:col>
      <xdr:colOff>664210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380AADC-E8E6-4D6C-9385-0B1955E148F8}"/>
            </a:ext>
          </a:extLst>
        </xdr:cNvPr>
        <xdr:cNvSpPr/>
      </xdr:nvSpPr>
      <xdr:spPr>
        <a:xfrm>
          <a:off x="6531610" y="88900"/>
          <a:ext cx="1203960" cy="49911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3AFA534-1C6F-49F2-B8D1-A0A61FD2AEFD}"/>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9D333F3-5546-4114-A64E-39A514CF7C30}"/>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CDDC7FB-6138-43B4-B974-0048249761BB}"/>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2.xml><?xml version="1.0" encoding="utf-8"?>
<xdr:wsDr xmlns:xdr="http://schemas.openxmlformats.org/drawingml/2006/spreadsheetDrawing" xmlns:a="http://schemas.openxmlformats.org/drawingml/2006/main">
  <xdr:twoCellAnchor>
    <xdr:from>
      <xdr:col>10</xdr:col>
      <xdr:colOff>146050</xdr:colOff>
      <xdr:row>0</xdr:row>
      <xdr:rowOff>88900</xdr:rowOff>
    </xdr:from>
    <xdr:to>
      <xdr:col>11</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1A1C3FD-8E09-4A6D-BBC5-690E65C6179D}"/>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3.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CC23F7C-48B7-4094-864D-F04837DC2180}"/>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4.xml><?xml version="1.0" encoding="utf-8"?>
<xdr:wsDr xmlns:xdr="http://schemas.openxmlformats.org/drawingml/2006/spreadsheetDrawing" xmlns:a="http://schemas.openxmlformats.org/drawingml/2006/main">
  <xdr:twoCellAnchor>
    <xdr:from>
      <xdr:col>7</xdr:col>
      <xdr:colOff>419100</xdr:colOff>
      <xdr:row>0</xdr:row>
      <xdr:rowOff>12700</xdr:rowOff>
    </xdr:from>
    <xdr:to>
      <xdr:col>10</xdr:col>
      <xdr:colOff>228600</xdr:colOff>
      <xdr:row>2</xdr:row>
      <xdr:rowOff>107950</xdr:rowOff>
    </xdr:to>
    <xdr:sp macro="" textlink="">
      <xdr:nvSpPr>
        <xdr:cNvPr id="3" name="Flecha: hacia la izquierda 1">
          <a:hlinkClick xmlns:r="http://schemas.openxmlformats.org/officeDocument/2006/relationships" r:id="rId1"/>
          <a:extLst>
            <a:ext uri="{FF2B5EF4-FFF2-40B4-BE49-F238E27FC236}">
              <a16:creationId xmlns:a16="http://schemas.microsoft.com/office/drawing/2014/main" id="{7721AF7E-B9EF-4997-BF94-3E9E49FCE53A}"/>
            </a:ext>
          </a:extLst>
        </xdr:cNvPr>
        <xdr:cNvSpPr/>
      </xdr:nvSpPr>
      <xdr:spPr>
        <a:xfrm>
          <a:off x="5264150" y="12700"/>
          <a:ext cx="111125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8</xdr:col>
      <xdr:colOff>288924</xdr:colOff>
      <xdr:row>10</xdr:row>
      <xdr:rowOff>0</xdr:rowOff>
    </xdr:from>
    <xdr:to>
      <xdr:col>17</xdr:col>
      <xdr:colOff>304799</xdr:colOff>
      <xdr:row>23</xdr:row>
      <xdr:rowOff>171450</xdr:rowOff>
    </xdr:to>
    <xdr:graphicFrame macro="">
      <xdr:nvGraphicFramePr>
        <xdr:cNvPr id="2" name="Gráfico 1">
          <a:extLst>
            <a:ext uri="{FF2B5EF4-FFF2-40B4-BE49-F238E27FC236}">
              <a16:creationId xmlns:a16="http://schemas.microsoft.com/office/drawing/2014/main" id="{F2DFB5D1-32BF-6780-5D93-53295B5831A8}"/>
            </a:ext>
            <a:ext uri="{147F2762-F138-4A5C-976F-8EAC2B608ADB}">
              <a16:predDERef xmlns:a16="http://schemas.microsoft.com/office/drawing/2014/main" pred="{7721AF7E-B9EF-4997-BF94-3E9E49FCE5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5.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BF750FE-CD51-426A-9026-F97D29235874}"/>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6.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7E075FB-0C5B-4CA2-ABEE-36F7370D6506}"/>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7.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1FC5A7A-A814-43E8-90F7-8E6D02B7849D}"/>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8.xml><?xml version="1.0" encoding="utf-8"?>
<xdr:wsDr xmlns:xdr="http://schemas.openxmlformats.org/drawingml/2006/spreadsheetDrawing" xmlns:a="http://schemas.openxmlformats.org/drawingml/2006/main">
  <xdr:twoCellAnchor>
    <xdr:from>
      <xdr:col>9</xdr:col>
      <xdr:colOff>146050</xdr:colOff>
      <xdr:row>0</xdr:row>
      <xdr:rowOff>88900</xdr:rowOff>
    </xdr:from>
    <xdr:to>
      <xdr:col>10</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1EB90E4-6DC1-46D5-A684-EC6C9E6DA2F8}"/>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59.xml><?xml version="1.0" encoding="utf-8"?>
<xdr:wsDr xmlns:xdr="http://schemas.openxmlformats.org/drawingml/2006/spreadsheetDrawing" xmlns:a="http://schemas.openxmlformats.org/drawingml/2006/main">
  <xdr:twoCellAnchor>
    <xdr:from>
      <xdr:col>5</xdr:col>
      <xdr:colOff>146050</xdr:colOff>
      <xdr:row>0</xdr:row>
      <xdr:rowOff>88900</xdr:rowOff>
    </xdr:from>
    <xdr:to>
      <xdr:col>6</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11BB06B-6C4A-4DC8-B514-AA4149B0369C}"/>
            </a:ext>
          </a:extLst>
        </xdr:cNvPr>
        <xdr:cNvSpPr/>
      </xdr:nvSpPr>
      <xdr:spPr>
        <a:xfrm>
          <a:off x="56134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0.xml><?xml version="1.0" encoding="utf-8"?>
<xdr:wsDr xmlns:xdr="http://schemas.openxmlformats.org/drawingml/2006/spreadsheetDrawing" xmlns:a="http://schemas.openxmlformats.org/drawingml/2006/main">
  <xdr:twoCellAnchor>
    <xdr:from>
      <xdr:col>4</xdr:col>
      <xdr:colOff>146050</xdr:colOff>
      <xdr:row>0</xdr:row>
      <xdr:rowOff>88900</xdr:rowOff>
    </xdr:from>
    <xdr:to>
      <xdr:col>5</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294D9C8-901D-4C6A-9384-9713F8B69573}"/>
            </a:ext>
          </a:extLst>
        </xdr:cNvPr>
        <xdr:cNvSpPr/>
      </xdr:nvSpPr>
      <xdr:spPr>
        <a:xfrm>
          <a:off x="64135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1.xml><?xml version="1.0" encoding="utf-8"?>
<xdr:wsDr xmlns:xdr="http://schemas.openxmlformats.org/drawingml/2006/spreadsheetDrawing" xmlns:a="http://schemas.openxmlformats.org/drawingml/2006/main">
  <xdr:twoCellAnchor>
    <xdr:from>
      <xdr:col>4</xdr:col>
      <xdr:colOff>146050</xdr:colOff>
      <xdr:row>0</xdr:row>
      <xdr:rowOff>88900</xdr:rowOff>
    </xdr:from>
    <xdr:to>
      <xdr:col>5</xdr:col>
      <xdr:colOff>565150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6F81CEC-90C0-47E4-9B94-1FB7B212E689}"/>
            </a:ext>
          </a:extLst>
        </xdr:cNvPr>
        <xdr:cNvSpPr/>
      </xdr:nvSpPr>
      <xdr:spPr>
        <a:xfrm>
          <a:off x="6413500" y="8890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2.xml><?xml version="1.0" encoding="utf-8"?>
<xdr:wsDr xmlns:xdr="http://schemas.openxmlformats.org/drawingml/2006/spreadsheetDrawing" xmlns:a="http://schemas.openxmlformats.org/drawingml/2006/main">
  <xdr:twoCellAnchor>
    <xdr:from>
      <xdr:col>4</xdr:col>
      <xdr:colOff>146050</xdr:colOff>
      <xdr:row>0</xdr:row>
      <xdr:rowOff>88900</xdr:rowOff>
    </xdr:from>
    <xdr:to>
      <xdr:col>5</xdr:col>
      <xdr:colOff>565150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F162067-CB08-4BDD-80D9-9B82FF01C565}"/>
            </a:ext>
          </a:extLst>
        </xdr:cNvPr>
        <xdr:cNvSpPr/>
      </xdr:nvSpPr>
      <xdr:spPr>
        <a:xfrm>
          <a:off x="6134100" y="88900"/>
          <a:ext cx="1219200" cy="4953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4</xdr:col>
      <xdr:colOff>22224</xdr:colOff>
      <xdr:row>3</xdr:row>
      <xdr:rowOff>203200</xdr:rowOff>
    </xdr:from>
    <xdr:to>
      <xdr:col>10</xdr:col>
      <xdr:colOff>742949</xdr:colOff>
      <xdr:row>17</xdr:row>
      <xdr:rowOff>19050</xdr:rowOff>
    </xdr:to>
    <xdr:graphicFrame macro="">
      <xdr:nvGraphicFramePr>
        <xdr:cNvPr id="4" name="Gráfico 2">
          <a:extLst>
            <a:ext uri="{FF2B5EF4-FFF2-40B4-BE49-F238E27FC236}">
              <a16:creationId xmlns:a16="http://schemas.microsoft.com/office/drawing/2014/main" id="{E1E78F1E-8AA6-9E3C-6468-F513A0A1ACF5}"/>
            </a:ext>
            <a:ext uri="{147F2762-F138-4A5C-976F-8EAC2B608ADB}">
              <a16:predDERef xmlns:a16="http://schemas.microsoft.com/office/drawing/2014/main" pred="{0F162067-CB08-4BDD-80D9-9B82FF01C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3.xml><?xml version="1.0" encoding="utf-8"?>
<xdr:wsDr xmlns:xdr="http://schemas.openxmlformats.org/drawingml/2006/spreadsheetDrawing" xmlns:a="http://schemas.openxmlformats.org/drawingml/2006/main">
  <xdr:twoCellAnchor>
    <xdr:from>
      <xdr:col>7</xdr:col>
      <xdr:colOff>371987</xdr:colOff>
      <xdr:row>0</xdr:row>
      <xdr:rowOff>35232</xdr:rowOff>
    </xdr:from>
    <xdr:to>
      <xdr:col>8</xdr:col>
      <xdr:colOff>791087</xdr:colOff>
      <xdr:row>2</xdr:row>
      <xdr:rowOff>136832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C5D0B2A-30EC-4AFD-AF43-C8E9E19108BE}"/>
            </a:ext>
          </a:extLst>
        </xdr:cNvPr>
        <xdr:cNvSpPr/>
      </xdr:nvSpPr>
      <xdr:spPr>
        <a:xfrm>
          <a:off x="7951019" y="35232"/>
          <a:ext cx="1217971" cy="47031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4.xml><?xml version="1.0" encoding="utf-8"?>
<xdr:wsDr xmlns:xdr="http://schemas.openxmlformats.org/drawingml/2006/spreadsheetDrawing" xmlns:a="http://schemas.openxmlformats.org/drawingml/2006/main">
  <xdr:twoCellAnchor>
    <xdr:from>
      <xdr:col>5</xdr:col>
      <xdr:colOff>88900</xdr:colOff>
      <xdr:row>2</xdr:row>
      <xdr:rowOff>101600</xdr:rowOff>
    </xdr:from>
    <xdr:to>
      <xdr:col>6</xdr:col>
      <xdr:colOff>508000</xdr:colOff>
      <xdr:row>4</xdr:row>
      <xdr:rowOff>50800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EFD513F2-07C9-4736-8AF4-38EC53A736BB}"/>
            </a:ext>
          </a:extLst>
        </xdr:cNvPr>
        <xdr:cNvSpPr/>
      </xdr:nvSpPr>
      <xdr:spPr>
        <a:xfrm>
          <a:off x="6223000" y="4699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5.xml><?xml version="1.0" encoding="utf-8"?>
<xdr:wsDr xmlns:xdr="http://schemas.openxmlformats.org/drawingml/2006/spreadsheetDrawing" xmlns:a="http://schemas.openxmlformats.org/drawingml/2006/main">
  <xdr:twoCellAnchor>
    <xdr:from>
      <xdr:col>3</xdr:col>
      <xdr:colOff>228600</xdr:colOff>
      <xdr:row>0</xdr:row>
      <xdr:rowOff>76200</xdr:rowOff>
    </xdr:from>
    <xdr:to>
      <xdr:col>4</xdr:col>
      <xdr:colOff>647700</xdr:colOff>
      <xdr:row>2</xdr:row>
      <xdr:rowOff>177800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A93486A-5154-47F4-9EDE-C1CC5765DC5E}"/>
            </a:ext>
          </a:extLst>
        </xdr:cNvPr>
        <xdr:cNvSpPr/>
      </xdr:nvSpPr>
      <xdr:spPr>
        <a:xfrm>
          <a:off x="4775200" y="762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6.xml><?xml version="1.0" encoding="utf-8"?>
<xdr:wsDr xmlns:xdr="http://schemas.openxmlformats.org/drawingml/2006/spreadsheetDrawing" xmlns:a="http://schemas.openxmlformats.org/drawingml/2006/main">
  <xdr:twoCellAnchor>
    <xdr:from>
      <xdr:col>13</xdr:col>
      <xdr:colOff>190500</xdr:colOff>
      <xdr:row>0</xdr:row>
      <xdr:rowOff>0</xdr:rowOff>
    </xdr:from>
    <xdr:to>
      <xdr:col>14</xdr:col>
      <xdr:colOff>609600</xdr:colOff>
      <xdr:row>2</xdr:row>
      <xdr:rowOff>101600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ECA62268-7172-494C-ACE8-D70E1A0B5164}"/>
            </a:ext>
          </a:extLst>
        </xdr:cNvPr>
        <xdr:cNvSpPr/>
      </xdr:nvSpPr>
      <xdr:spPr>
        <a:xfrm>
          <a:off x="6584950" y="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7.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14DC7FF-6665-4795-8D54-15645369D20C}"/>
            </a:ext>
          </a:extLst>
        </xdr:cNvPr>
        <xdr:cNvSpPr/>
      </xdr:nvSpPr>
      <xdr:spPr>
        <a:xfrm>
          <a:off x="100012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8.xml><?xml version="1.0" encoding="utf-8"?>
<xdr:wsDr xmlns:xdr="http://schemas.openxmlformats.org/drawingml/2006/spreadsheetDrawing" xmlns:a="http://schemas.openxmlformats.org/drawingml/2006/main">
  <xdr:twoCellAnchor>
    <xdr:from>
      <xdr:col>15</xdr:col>
      <xdr:colOff>463550</xdr:colOff>
      <xdr:row>0</xdr:row>
      <xdr:rowOff>88900</xdr:rowOff>
    </xdr:from>
    <xdr:to>
      <xdr:col>17</xdr:col>
      <xdr:colOff>82550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0AAF9BA-053A-46A2-BC29-3BE1F88B8BF3}"/>
            </a:ext>
          </a:extLst>
        </xdr:cNvPr>
        <xdr:cNvSpPr/>
      </xdr:nvSpPr>
      <xdr:spPr>
        <a:xfrm>
          <a:off x="8458200" y="889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69.xml><?xml version="1.0" encoding="utf-8"?>
<xdr:wsDr xmlns:xdr="http://schemas.openxmlformats.org/drawingml/2006/spreadsheetDrawing" xmlns:a="http://schemas.openxmlformats.org/drawingml/2006/main">
  <xdr:twoCellAnchor>
    <xdr:from>
      <xdr:col>10</xdr:col>
      <xdr:colOff>463550</xdr:colOff>
      <xdr:row>0</xdr:row>
      <xdr:rowOff>88900</xdr:rowOff>
    </xdr:from>
    <xdr:to>
      <xdr:col>12</xdr:col>
      <xdr:colOff>82550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2CA47BB-FFE1-4256-90E8-78B1810E6163}"/>
            </a:ext>
          </a:extLst>
        </xdr:cNvPr>
        <xdr:cNvSpPr/>
      </xdr:nvSpPr>
      <xdr:spPr>
        <a:xfrm>
          <a:off x="6438900" y="889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0.xml><?xml version="1.0" encoding="utf-8"?>
<xdr:wsDr xmlns:xdr="http://schemas.openxmlformats.org/drawingml/2006/spreadsheetDrawing" xmlns:a="http://schemas.openxmlformats.org/drawingml/2006/main">
  <xdr:twoCellAnchor>
    <xdr:from>
      <xdr:col>9</xdr:col>
      <xdr:colOff>463550</xdr:colOff>
      <xdr:row>0</xdr:row>
      <xdr:rowOff>88900</xdr:rowOff>
    </xdr:from>
    <xdr:to>
      <xdr:col>11</xdr:col>
      <xdr:colOff>82550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57EB735-C8C9-4EB7-8AB8-F0CCCFEA6803}"/>
            </a:ext>
          </a:extLst>
        </xdr:cNvPr>
        <xdr:cNvSpPr/>
      </xdr:nvSpPr>
      <xdr:spPr>
        <a:xfrm>
          <a:off x="5149850" y="889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1.xml><?xml version="1.0" encoding="utf-8"?>
<xdr:wsDr xmlns:xdr="http://schemas.openxmlformats.org/drawingml/2006/spreadsheetDrawing" xmlns:a="http://schemas.openxmlformats.org/drawingml/2006/main">
  <xdr:twoCellAnchor>
    <xdr:from>
      <xdr:col>8</xdr:col>
      <xdr:colOff>463550</xdr:colOff>
      <xdr:row>0</xdr:row>
      <xdr:rowOff>88900</xdr:rowOff>
    </xdr:from>
    <xdr:to>
      <xdr:col>10</xdr:col>
      <xdr:colOff>82550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77643F2-8753-4AD1-8300-5CC17CC210A8}"/>
            </a:ext>
          </a:extLst>
        </xdr:cNvPr>
        <xdr:cNvSpPr/>
      </xdr:nvSpPr>
      <xdr:spPr>
        <a:xfrm>
          <a:off x="5499100" y="88900"/>
          <a:ext cx="1219200" cy="4635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2.xml><?xml version="1.0" encoding="utf-8"?>
<xdr:wsDr xmlns:xdr="http://schemas.openxmlformats.org/drawingml/2006/spreadsheetDrawing" xmlns:a="http://schemas.openxmlformats.org/drawingml/2006/main">
  <xdr:twoCellAnchor>
    <xdr:from>
      <xdr:col>5</xdr:col>
      <xdr:colOff>736600</xdr:colOff>
      <xdr:row>2</xdr:row>
      <xdr:rowOff>101600</xdr:rowOff>
    </xdr:from>
    <xdr:to>
      <xdr:col>7</xdr:col>
      <xdr:colOff>355600</xdr:colOff>
      <xdr:row>5</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35BABF2-CBE0-4739-93B4-B3944E7D7C65}"/>
            </a:ext>
          </a:extLst>
        </xdr:cNvPr>
        <xdr:cNvSpPr/>
      </xdr:nvSpPr>
      <xdr:spPr>
        <a:xfrm>
          <a:off x="7232650" y="4699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3.xml><?xml version="1.0" encoding="utf-8"?>
<xdr:wsDr xmlns:xdr="http://schemas.openxmlformats.org/drawingml/2006/spreadsheetDrawing" xmlns:a="http://schemas.openxmlformats.org/drawingml/2006/main">
  <xdr:twoCellAnchor>
    <xdr:from>
      <xdr:col>5</xdr:col>
      <xdr:colOff>463550</xdr:colOff>
      <xdr:row>0</xdr:row>
      <xdr:rowOff>88900</xdr:rowOff>
    </xdr:from>
    <xdr:to>
      <xdr:col>7</xdr:col>
      <xdr:colOff>82550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BA32D51-33ED-42CF-8485-98BC2FE6D990}"/>
            </a:ext>
          </a:extLst>
        </xdr:cNvPr>
        <xdr:cNvSpPr/>
      </xdr:nvSpPr>
      <xdr:spPr>
        <a:xfrm>
          <a:off x="6959600" y="889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4.xml><?xml version="1.0" encoding="utf-8"?>
<xdr:wsDr xmlns:xdr="http://schemas.openxmlformats.org/drawingml/2006/spreadsheetDrawing" xmlns:a="http://schemas.openxmlformats.org/drawingml/2006/main">
  <xdr:twoCellAnchor>
    <xdr:from>
      <xdr:col>5</xdr:col>
      <xdr:colOff>463550</xdr:colOff>
      <xdr:row>0</xdr:row>
      <xdr:rowOff>88900</xdr:rowOff>
    </xdr:from>
    <xdr:to>
      <xdr:col>7</xdr:col>
      <xdr:colOff>82550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3338916-9F33-48D0-A8FC-9DAB77736CE6}"/>
            </a:ext>
          </a:extLst>
        </xdr:cNvPr>
        <xdr:cNvSpPr/>
      </xdr:nvSpPr>
      <xdr:spPr>
        <a:xfrm>
          <a:off x="4946650" y="8890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5.xml><?xml version="1.0" encoding="utf-8"?>
<xdr:wsDr xmlns:xdr="http://schemas.openxmlformats.org/drawingml/2006/spreadsheetDrawing" xmlns:a="http://schemas.openxmlformats.org/drawingml/2006/main">
  <xdr:twoCellAnchor>
    <xdr:from>
      <xdr:col>8</xdr:col>
      <xdr:colOff>101600</xdr:colOff>
      <xdr:row>0</xdr:row>
      <xdr:rowOff>120650</xdr:rowOff>
    </xdr:from>
    <xdr:to>
      <xdr:col>9</xdr:col>
      <xdr:colOff>520700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F3D88A2-E8F5-4EC6-B7B7-AA51BB2CA9F0}"/>
            </a:ext>
          </a:extLst>
        </xdr:cNvPr>
        <xdr:cNvSpPr/>
      </xdr:nvSpPr>
      <xdr:spPr>
        <a:xfrm>
          <a:off x="7785100" y="12065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6.xml><?xml version="1.0" encoding="utf-8"?>
<xdr:wsDr xmlns:xdr="http://schemas.openxmlformats.org/drawingml/2006/spreadsheetDrawing" xmlns:a="http://schemas.openxmlformats.org/drawingml/2006/main">
  <xdr:twoCellAnchor>
    <xdr:from>
      <xdr:col>9</xdr:col>
      <xdr:colOff>101600</xdr:colOff>
      <xdr:row>0</xdr:row>
      <xdr:rowOff>120650</xdr:rowOff>
    </xdr:from>
    <xdr:to>
      <xdr:col>10</xdr:col>
      <xdr:colOff>520700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4E42734-920D-49B0-9626-D5EC364DF363}"/>
            </a:ext>
          </a:extLst>
        </xdr:cNvPr>
        <xdr:cNvSpPr/>
      </xdr:nvSpPr>
      <xdr:spPr>
        <a:xfrm>
          <a:off x="4229100" y="120650"/>
          <a:ext cx="121920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7.xml><?xml version="1.0" encoding="utf-8"?>
<xdr:wsDr xmlns:xdr="http://schemas.openxmlformats.org/drawingml/2006/spreadsheetDrawing" xmlns:a="http://schemas.openxmlformats.org/drawingml/2006/main">
  <xdr:twoCellAnchor>
    <xdr:from>
      <xdr:col>10</xdr:col>
      <xdr:colOff>101600</xdr:colOff>
      <xdr:row>0</xdr:row>
      <xdr:rowOff>120650</xdr:rowOff>
    </xdr:from>
    <xdr:to>
      <xdr:col>11</xdr:col>
      <xdr:colOff>520700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EEBCB672-D1AE-4E7A-80C0-C9E9D87DBBC8}"/>
            </a:ext>
          </a:extLst>
        </xdr:cNvPr>
        <xdr:cNvSpPr/>
      </xdr:nvSpPr>
      <xdr:spPr>
        <a:xfrm>
          <a:off x="5029200" y="120650"/>
          <a:ext cx="121920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8.xml><?xml version="1.0" encoding="utf-8"?>
<xdr:wsDr xmlns:xdr="http://schemas.openxmlformats.org/drawingml/2006/spreadsheetDrawing" xmlns:a="http://schemas.openxmlformats.org/drawingml/2006/main">
  <xdr:twoCellAnchor>
    <xdr:from>
      <xdr:col>7</xdr:col>
      <xdr:colOff>596900</xdr:colOff>
      <xdr:row>0</xdr:row>
      <xdr:rowOff>76200</xdr:rowOff>
    </xdr:from>
    <xdr:to>
      <xdr:col>9</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A705990-1649-4C02-B13D-3EF2ED37DF3E}"/>
            </a:ext>
          </a:extLst>
        </xdr:cNvPr>
        <xdr:cNvSpPr/>
      </xdr:nvSpPr>
      <xdr:spPr>
        <a:xfrm>
          <a:off x="81915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79.xml><?xml version="1.0" encoding="utf-8"?>
<xdr:wsDr xmlns:xdr="http://schemas.openxmlformats.org/drawingml/2006/spreadsheetDrawing" xmlns:a="http://schemas.openxmlformats.org/drawingml/2006/main">
  <xdr:twoCellAnchor>
    <xdr:from>
      <xdr:col>11</xdr:col>
      <xdr:colOff>101600</xdr:colOff>
      <xdr:row>0</xdr:row>
      <xdr:rowOff>120650</xdr:rowOff>
    </xdr:from>
    <xdr:to>
      <xdr:col>12</xdr:col>
      <xdr:colOff>520700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050883A-99A6-4636-A9A5-91E6F22E0DAB}"/>
            </a:ext>
          </a:extLst>
        </xdr:cNvPr>
        <xdr:cNvSpPr/>
      </xdr:nvSpPr>
      <xdr:spPr>
        <a:xfrm>
          <a:off x="6692900" y="120650"/>
          <a:ext cx="1219200" cy="4318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0.xml><?xml version="1.0" encoding="utf-8"?>
<xdr:wsDr xmlns:xdr="http://schemas.openxmlformats.org/drawingml/2006/spreadsheetDrawing" xmlns:a="http://schemas.openxmlformats.org/drawingml/2006/main">
  <xdr:twoCellAnchor>
    <xdr:from>
      <xdr:col>11</xdr:col>
      <xdr:colOff>101600</xdr:colOff>
      <xdr:row>0</xdr:row>
      <xdr:rowOff>120650</xdr:rowOff>
    </xdr:from>
    <xdr:to>
      <xdr:col>12</xdr:col>
      <xdr:colOff>520700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78EF454-E2CD-4CCC-92B9-1849E53F9460}"/>
            </a:ext>
          </a:extLst>
        </xdr:cNvPr>
        <xdr:cNvSpPr/>
      </xdr:nvSpPr>
      <xdr:spPr>
        <a:xfrm>
          <a:off x="6692900" y="120650"/>
          <a:ext cx="121920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1.xml><?xml version="1.0" encoding="utf-8"?>
<xdr:wsDr xmlns:xdr="http://schemas.openxmlformats.org/drawingml/2006/spreadsheetDrawing" xmlns:a="http://schemas.openxmlformats.org/drawingml/2006/main">
  <xdr:twoCellAnchor>
    <xdr:from>
      <xdr:col>7</xdr:col>
      <xdr:colOff>101600</xdr:colOff>
      <xdr:row>0</xdr:row>
      <xdr:rowOff>120650</xdr:rowOff>
    </xdr:from>
    <xdr:to>
      <xdr:col>8</xdr:col>
      <xdr:colOff>520700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63ED690-C6C7-48E6-A03E-72614BE0D383}"/>
            </a:ext>
          </a:extLst>
        </xdr:cNvPr>
        <xdr:cNvSpPr/>
      </xdr:nvSpPr>
      <xdr:spPr>
        <a:xfrm>
          <a:off x="7169150" y="120650"/>
          <a:ext cx="121920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2.xml><?xml version="1.0" encoding="utf-8"?>
<xdr:wsDr xmlns:xdr="http://schemas.openxmlformats.org/drawingml/2006/spreadsheetDrawing" xmlns:a="http://schemas.openxmlformats.org/drawingml/2006/main">
  <xdr:twoCellAnchor>
    <xdr:from>
      <xdr:col>15</xdr:col>
      <xdr:colOff>431800</xdr:colOff>
      <xdr:row>0</xdr:row>
      <xdr:rowOff>152400</xdr:rowOff>
    </xdr:from>
    <xdr:to>
      <xdr:col>17</xdr:col>
      <xdr:colOff>50800</xdr:colOff>
      <xdr:row>3</xdr:row>
      <xdr:rowOff>31750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BE3C8A8-915D-4CEA-AFB8-624BC6E4C496}"/>
            </a:ext>
          </a:extLst>
        </xdr:cNvPr>
        <xdr:cNvSpPr/>
      </xdr:nvSpPr>
      <xdr:spPr>
        <a:xfrm>
          <a:off x="8756650" y="152400"/>
          <a:ext cx="121920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3.xml><?xml version="1.0" encoding="utf-8"?>
<xdr:wsDr xmlns:xdr="http://schemas.openxmlformats.org/drawingml/2006/spreadsheetDrawing" xmlns:a="http://schemas.openxmlformats.org/drawingml/2006/main">
  <xdr:twoCellAnchor>
    <xdr:from>
      <xdr:col>13</xdr:col>
      <xdr:colOff>431800</xdr:colOff>
      <xdr:row>0</xdr:row>
      <xdr:rowOff>152400</xdr:rowOff>
    </xdr:from>
    <xdr:to>
      <xdr:col>17</xdr:col>
      <xdr:colOff>50800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5572802-5B1A-4930-B063-73FC3E790E6C}"/>
            </a:ext>
          </a:extLst>
        </xdr:cNvPr>
        <xdr:cNvSpPr/>
      </xdr:nvSpPr>
      <xdr:spPr>
        <a:xfrm>
          <a:off x="7404100" y="152400"/>
          <a:ext cx="121920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4.xml><?xml version="1.0" encoding="utf-8"?>
<xdr:wsDr xmlns:xdr="http://schemas.openxmlformats.org/drawingml/2006/spreadsheetDrawing" xmlns:a="http://schemas.openxmlformats.org/drawingml/2006/main">
  <xdr:twoCellAnchor>
    <xdr:from>
      <xdr:col>12</xdr:col>
      <xdr:colOff>456711</xdr:colOff>
      <xdr:row>1</xdr:row>
      <xdr:rowOff>158262</xdr:rowOff>
    </xdr:from>
    <xdr:to>
      <xdr:col>13</xdr:col>
      <xdr:colOff>605693</xdr:colOff>
      <xdr:row>4</xdr:row>
      <xdr:rowOff>31262</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6410147-1435-484B-9DF5-A6C6C31C2684}"/>
            </a:ext>
          </a:extLst>
        </xdr:cNvPr>
        <xdr:cNvSpPr/>
      </xdr:nvSpPr>
      <xdr:spPr>
        <a:xfrm flipH="1">
          <a:off x="8447942" y="343877"/>
          <a:ext cx="930520" cy="429847"/>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10</xdr:col>
      <xdr:colOff>315057</xdr:colOff>
      <xdr:row>5</xdr:row>
      <xdr:rowOff>53079</xdr:rowOff>
    </xdr:from>
    <xdr:to>
      <xdr:col>16</xdr:col>
      <xdr:colOff>100134</xdr:colOff>
      <xdr:row>19</xdr:row>
      <xdr:rowOff>60894</xdr:rowOff>
    </xdr:to>
    <xdr:graphicFrame macro="">
      <xdr:nvGraphicFramePr>
        <xdr:cNvPr id="3" name="Gráfico 2">
          <a:extLst>
            <a:ext uri="{FF2B5EF4-FFF2-40B4-BE49-F238E27FC236}">
              <a16:creationId xmlns:a16="http://schemas.microsoft.com/office/drawing/2014/main" id="{767907EE-A4FD-9067-C8B0-484E7AD8AA87}"/>
            </a:ext>
            <a:ext uri="{147F2762-F138-4A5C-976F-8EAC2B608ADB}">
              <a16:predDERef xmlns:a16="http://schemas.microsoft.com/office/drawing/2014/main" pred="{46410147-1435-484B-9DF5-A6C6C31C26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5.xml><?xml version="1.0" encoding="utf-8"?>
<xdr:wsDr xmlns:xdr="http://schemas.openxmlformats.org/drawingml/2006/spreadsheetDrawing" xmlns:a="http://schemas.openxmlformats.org/drawingml/2006/main">
  <xdr:twoCellAnchor>
    <xdr:from>
      <xdr:col>17</xdr:col>
      <xdr:colOff>431800</xdr:colOff>
      <xdr:row>0</xdr:row>
      <xdr:rowOff>152400</xdr:rowOff>
    </xdr:from>
    <xdr:to>
      <xdr:col>19</xdr:col>
      <xdr:colOff>50800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4E1D167-E676-451F-BE3C-29EA67EC57B1}"/>
            </a:ext>
          </a:extLst>
        </xdr:cNvPr>
        <xdr:cNvSpPr/>
      </xdr:nvSpPr>
      <xdr:spPr>
        <a:xfrm>
          <a:off x="7264400" y="152400"/>
          <a:ext cx="1219200" cy="4318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6.xml><?xml version="1.0" encoding="utf-8"?>
<xdr:wsDr xmlns:xdr="http://schemas.openxmlformats.org/drawingml/2006/spreadsheetDrawing" xmlns:a="http://schemas.openxmlformats.org/drawingml/2006/main">
  <xdr:twoCellAnchor>
    <xdr:from>
      <xdr:col>17</xdr:col>
      <xdr:colOff>596900</xdr:colOff>
      <xdr:row>0</xdr:row>
      <xdr:rowOff>76200</xdr:rowOff>
    </xdr:from>
    <xdr:to>
      <xdr:col>19</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5128C9A-2AE4-4F2B-8991-8449933E8E33}"/>
            </a:ext>
          </a:extLst>
        </xdr:cNvPr>
        <xdr:cNvSpPr/>
      </xdr:nvSpPr>
      <xdr:spPr>
        <a:xfrm>
          <a:off x="86741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7.xml><?xml version="1.0" encoding="utf-8"?>
<xdr:wsDr xmlns:xdr="http://schemas.openxmlformats.org/drawingml/2006/spreadsheetDrawing" xmlns:a="http://schemas.openxmlformats.org/drawingml/2006/main">
  <xdr:twoCellAnchor>
    <xdr:from>
      <xdr:col>18</xdr:col>
      <xdr:colOff>596900</xdr:colOff>
      <xdr:row>0</xdr:row>
      <xdr:rowOff>76200</xdr:rowOff>
    </xdr:from>
    <xdr:to>
      <xdr:col>20</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728FDC9-A3E7-487E-9A30-FB3DB906C737}"/>
            </a:ext>
          </a:extLst>
        </xdr:cNvPr>
        <xdr:cNvSpPr/>
      </xdr:nvSpPr>
      <xdr:spPr>
        <a:xfrm>
          <a:off x="86741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8.xml><?xml version="1.0" encoding="utf-8"?>
<xdr:wsDr xmlns:xdr="http://schemas.openxmlformats.org/drawingml/2006/spreadsheetDrawing" xmlns:a="http://schemas.openxmlformats.org/drawingml/2006/main">
  <xdr:twoCellAnchor>
    <xdr:from>
      <xdr:col>14</xdr:col>
      <xdr:colOff>596900</xdr:colOff>
      <xdr:row>0</xdr:row>
      <xdr:rowOff>76200</xdr:rowOff>
    </xdr:from>
    <xdr:to>
      <xdr:col>16</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921285E-0ED4-4DCF-B28C-BAF5B535363F}"/>
            </a:ext>
          </a:extLst>
        </xdr:cNvPr>
        <xdr:cNvSpPr/>
      </xdr:nvSpPr>
      <xdr:spPr>
        <a:xfrm>
          <a:off x="91186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89.xml><?xml version="1.0" encoding="utf-8"?>
<xdr:wsDr xmlns:xdr="http://schemas.openxmlformats.org/drawingml/2006/spreadsheetDrawing" xmlns:a="http://schemas.openxmlformats.org/drawingml/2006/main">
  <xdr:twoCellAnchor>
    <xdr:from>
      <xdr:col>19</xdr:col>
      <xdr:colOff>596900</xdr:colOff>
      <xdr:row>0</xdr:row>
      <xdr:rowOff>76200</xdr:rowOff>
    </xdr:from>
    <xdr:to>
      <xdr:col>21</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96FD178-FD48-4AC6-B47F-80ADD0E72039}"/>
            </a:ext>
          </a:extLst>
        </xdr:cNvPr>
        <xdr:cNvSpPr/>
      </xdr:nvSpPr>
      <xdr:spPr>
        <a:xfrm>
          <a:off x="73406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0.xml><?xml version="1.0" encoding="utf-8"?>
<xdr:wsDr xmlns:xdr="http://schemas.openxmlformats.org/drawingml/2006/spreadsheetDrawing" xmlns:a="http://schemas.openxmlformats.org/drawingml/2006/main">
  <xdr:twoCellAnchor>
    <xdr:from>
      <xdr:col>9</xdr:col>
      <xdr:colOff>596900</xdr:colOff>
      <xdr:row>0</xdr:row>
      <xdr:rowOff>76200</xdr:rowOff>
    </xdr:from>
    <xdr:to>
      <xdr:col>11</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33766B1-B4B0-4804-83BF-AB615A87AEEB}"/>
            </a:ext>
          </a:extLst>
        </xdr:cNvPr>
        <xdr:cNvSpPr/>
      </xdr:nvSpPr>
      <xdr:spPr>
        <a:xfrm>
          <a:off x="91186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10</xdr:col>
      <xdr:colOff>384175</xdr:colOff>
      <xdr:row>3</xdr:row>
      <xdr:rowOff>158750</xdr:rowOff>
    </xdr:from>
    <xdr:to>
      <xdr:col>16</xdr:col>
      <xdr:colOff>152400</xdr:colOff>
      <xdr:row>11</xdr:row>
      <xdr:rowOff>38100</xdr:rowOff>
    </xdr:to>
    <xdr:graphicFrame macro="">
      <xdr:nvGraphicFramePr>
        <xdr:cNvPr id="3" name="Gráfico 2">
          <a:extLst>
            <a:ext uri="{FF2B5EF4-FFF2-40B4-BE49-F238E27FC236}">
              <a16:creationId xmlns:a16="http://schemas.microsoft.com/office/drawing/2014/main" id="{7456C5A6-4BC7-7A21-9DB9-F0B0C3CA6939}"/>
            </a:ext>
            <a:ext uri="{147F2762-F138-4A5C-976F-8EAC2B608ADB}">
              <a16:predDERef xmlns:a16="http://schemas.microsoft.com/office/drawing/2014/main" pred="{B33766B1-B4B0-4804-83BF-AB615A87AE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1.xml><?xml version="1.0" encoding="utf-8"?>
<xdr:wsDr xmlns:xdr="http://schemas.openxmlformats.org/drawingml/2006/spreadsheetDrawing" xmlns:a="http://schemas.openxmlformats.org/drawingml/2006/main">
  <xdr:twoCellAnchor>
    <xdr:from>
      <xdr:col>8</xdr:col>
      <xdr:colOff>596900</xdr:colOff>
      <xdr:row>0</xdr:row>
      <xdr:rowOff>76200</xdr:rowOff>
    </xdr:from>
    <xdr:to>
      <xdr:col>10</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100E163-9442-408C-8F49-D8B4AE4440D9}"/>
            </a:ext>
          </a:extLst>
        </xdr:cNvPr>
        <xdr:cNvSpPr/>
      </xdr:nvSpPr>
      <xdr:spPr>
        <a:xfrm>
          <a:off x="91186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2.xml><?xml version="1.0" encoding="utf-8"?>
<xdr:wsDr xmlns:xdr="http://schemas.openxmlformats.org/drawingml/2006/spreadsheetDrawing" xmlns:a="http://schemas.openxmlformats.org/drawingml/2006/main">
  <xdr:twoCellAnchor>
    <xdr:from>
      <xdr:col>9</xdr:col>
      <xdr:colOff>596900</xdr:colOff>
      <xdr:row>0</xdr:row>
      <xdr:rowOff>76200</xdr:rowOff>
    </xdr:from>
    <xdr:to>
      <xdr:col>11</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456141A-C617-42D5-9A48-01E282258917}"/>
            </a:ext>
          </a:extLst>
        </xdr:cNvPr>
        <xdr:cNvSpPr/>
      </xdr:nvSpPr>
      <xdr:spPr>
        <a:xfrm>
          <a:off x="70612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3.xml><?xml version="1.0" encoding="utf-8"?>
<xdr:wsDr xmlns:xdr="http://schemas.openxmlformats.org/drawingml/2006/spreadsheetDrawing" xmlns:a="http://schemas.openxmlformats.org/drawingml/2006/main">
  <xdr:twoCellAnchor>
    <xdr:from>
      <xdr:col>7</xdr:col>
      <xdr:colOff>596900</xdr:colOff>
      <xdr:row>0</xdr:row>
      <xdr:rowOff>76200</xdr:rowOff>
    </xdr:from>
    <xdr:to>
      <xdr:col>10</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9DA4B94B-B0EF-4CDF-944D-A2A58ECDADC4}"/>
            </a:ext>
          </a:extLst>
        </xdr:cNvPr>
        <xdr:cNvSpPr/>
      </xdr:nvSpPr>
      <xdr:spPr>
        <a:xfrm>
          <a:off x="71120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4.xml><?xml version="1.0" encoding="utf-8"?>
<xdr:wsDr xmlns:xdr="http://schemas.openxmlformats.org/drawingml/2006/spreadsheetDrawing" xmlns:a="http://schemas.openxmlformats.org/drawingml/2006/main">
  <xdr:twoCellAnchor>
    <xdr:from>
      <xdr:col>11</xdr:col>
      <xdr:colOff>596900</xdr:colOff>
      <xdr:row>0</xdr:row>
      <xdr:rowOff>76200</xdr:rowOff>
    </xdr:from>
    <xdr:to>
      <xdr:col>13</xdr:col>
      <xdr:colOff>215900</xdr:colOff>
      <xdr:row>2</xdr:row>
      <xdr:rowOff>114300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4091735-FFED-4331-B83D-067A8AE9784C}"/>
            </a:ext>
          </a:extLst>
        </xdr:cNvPr>
        <xdr:cNvSpPr/>
      </xdr:nvSpPr>
      <xdr:spPr>
        <a:xfrm>
          <a:off x="7912100" y="7620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5.xml><?xml version="1.0" encoding="utf-8"?>
<xdr:wsDr xmlns:xdr="http://schemas.openxmlformats.org/drawingml/2006/spreadsheetDrawing" xmlns:a="http://schemas.openxmlformats.org/drawingml/2006/main">
  <xdr:twoCellAnchor>
    <xdr:from>
      <xdr:col>16</xdr:col>
      <xdr:colOff>336550</xdr:colOff>
      <xdr:row>0</xdr:row>
      <xdr:rowOff>120650</xdr:rowOff>
    </xdr:from>
    <xdr:to>
      <xdr:col>17</xdr:col>
      <xdr:colOff>755650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B9CB860-E885-4373-804B-A41B5744E94E}"/>
            </a:ext>
          </a:extLst>
        </xdr:cNvPr>
        <xdr:cNvSpPr/>
      </xdr:nvSpPr>
      <xdr:spPr>
        <a:xfrm>
          <a:off x="11252200" y="12065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6.xml><?xml version="1.0" encoding="utf-8"?>
<xdr:wsDr xmlns:xdr="http://schemas.openxmlformats.org/drawingml/2006/spreadsheetDrawing" xmlns:a="http://schemas.openxmlformats.org/drawingml/2006/main">
  <xdr:twoCellAnchor>
    <xdr:from>
      <xdr:col>16</xdr:col>
      <xdr:colOff>336550</xdr:colOff>
      <xdr:row>0</xdr:row>
      <xdr:rowOff>120650</xdr:rowOff>
    </xdr:from>
    <xdr:to>
      <xdr:col>17</xdr:col>
      <xdr:colOff>755650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C10860B-EAEB-4971-A7D5-ACC3D6A74FE9}"/>
            </a:ext>
          </a:extLst>
        </xdr:cNvPr>
        <xdr:cNvSpPr/>
      </xdr:nvSpPr>
      <xdr:spPr>
        <a:xfrm>
          <a:off x="7366000" y="12065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7.xml><?xml version="1.0" encoding="utf-8"?>
<xdr:wsDr xmlns:xdr="http://schemas.openxmlformats.org/drawingml/2006/spreadsheetDrawing" xmlns:a="http://schemas.openxmlformats.org/drawingml/2006/main">
  <xdr:twoCellAnchor>
    <xdr:from>
      <xdr:col>17</xdr:col>
      <xdr:colOff>336550</xdr:colOff>
      <xdr:row>0</xdr:row>
      <xdr:rowOff>120650</xdr:rowOff>
    </xdr:from>
    <xdr:to>
      <xdr:col>18</xdr:col>
      <xdr:colOff>755650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E3EB9DB-0FAD-4ED9-AF2B-E07E7F1A38D3}"/>
            </a:ext>
          </a:extLst>
        </xdr:cNvPr>
        <xdr:cNvSpPr/>
      </xdr:nvSpPr>
      <xdr:spPr>
        <a:xfrm>
          <a:off x="7404100" y="12065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8.xml><?xml version="1.0" encoding="utf-8"?>
<xdr:wsDr xmlns:xdr="http://schemas.openxmlformats.org/drawingml/2006/spreadsheetDrawing" xmlns:a="http://schemas.openxmlformats.org/drawingml/2006/main">
  <xdr:twoCellAnchor>
    <xdr:from>
      <xdr:col>15</xdr:col>
      <xdr:colOff>336550</xdr:colOff>
      <xdr:row>0</xdr:row>
      <xdr:rowOff>120650</xdr:rowOff>
    </xdr:from>
    <xdr:to>
      <xdr:col>16</xdr:col>
      <xdr:colOff>755650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8D79846-9B47-4C53-9904-E48864277167}"/>
            </a:ext>
          </a:extLst>
        </xdr:cNvPr>
        <xdr:cNvSpPr/>
      </xdr:nvSpPr>
      <xdr:spPr>
        <a:xfrm>
          <a:off x="7277100" y="12065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99.xml><?xml version="1.0" encoding="utf-8"?>
<xdr:wsDr xmlns:xdr="http://schemas.openxmlformats.org/drawingml/2006/spreadsheetDrawing" xmlns:a="http://schemas.openxmlformats.org/drawingml/2006/main">
  <xdr:twoCellAnchor>
    <xdr:from>
      <xdr:col>18</xdr:col>
      <xdr:colOff>336550</xdr:colOff>
      <xdr:row>0</xdr:row>
      <xdr:rowOff>120650</xdr:rowOff>
    </xdr:from>
    <xdr:to>
      <xdr:col>19</xdr:col>
      <xdr:colOff>755650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BF5861F-50B5-4D2B-AA7B-D2E5A32884BC}"/>
            </a:ext>
          </a:extLst>
        </xdr:cNvPr>
        <xdr:cNvSpPr/>
      </xdr:nvSpPr>
      <xdr:spPr>
        <a:xfrm>
          <a:off x="8331200" y="12065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0.xml><?xml version="1.0" encoding="utf-8"?>
<xdr:wsDr xmlns:xdr="http://schemas.openxmlformats.org/drawingml/2006/spreadsheetDrawing" xmlns:a="http://schemas.openxmlformats.org/drawingml/2006/main">
  <xdr:twoCellAnchor>
    <xdr:from>
      <xdr:col>15</xdr:col>
      <xdr:colOff>336550</xdr:colOff>
      <xdr:row>0</xdr:row>
      <xdr:rowOff>120650</xdr:rowOff>
    </xdr:from>
    <xdr:to>
      <xdr:col>16</xdr:col>
      <xdr:colOff>755650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DA46931-58E0-4EAE-B194-7BE8AC851D76}"/>
            </a:ext>
          </a:extLst>
        </xdr:cNvPr>
        <xdr:cNvSpPr/>
      </xdr:nvSpPr>
      <xdr:spPr>
        <a:xfrm>
          <a:off x="8743950" y="12065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1.xml><?xml version="1.0" encoding="utf-8"?>
<xdr:wsDr xmlns:xdr="http://schemas.openxmlformats.org/drawingml/2006/spreadsheetDrawing" xmlns:a="http://schemas.openxmlformats.org/drawingml/2006/main">
  <xdr:twoCellAnchor>
    <xdr:from>
      <xdr:col>15</xdr:col>
      <xdr:colOff>336550</xdr:colOff>
      <xdr:row>0</xdr:row>
      <xdr:rowOff>120650</xdr:rowOff>
    </xdr:from>
    <xdr:to>
      <xdr:col>16</xdr:col>
      <xdr:colOff>755650</xdr:colOff>
      <xdr:row>2</xdr:row>
      <xdr:rowOff>158750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40DBC36-6A5D-44F6-8C5A-60F6E6BD441E}"/>
            </a:ext>
          </a:extLst>
        </xdr:cNvPr>
        <xdr:cNvSpPr/>
      </xdr:nvSpPr>
      <xdr:spPr>
        <a:xfrm>
          <a:off x="8743950" y="120650"/>
          <a:ext cx="1219200" cy="4064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8</xdr:col>
      <xdr:colOff>60325</xdr:colOff>
      <xdr:row>3</xdr:row>
      <xdr:rowOff>120650</xdr:rowOff>
    </xdr:from>
    <xdr:to>
      <xdr:col>17</xdr:col>
      <xdr:colOff>187325</xdr:colOff>
      <xdr:row>17</xdr:row>
      <xdr:rowOff>31750</xdr:rowOff>
    </xdr:to>
    <xdr:graphicFrame macro="">
      <xdr:nvGraphicFramePr>
        <xdr:cNvPr id="5" name="Gráfico 2">
          <a:extLst>
            <a:ext uri="{FF2B5EF4-FFF2-40B4-BE49-F238E27FC236}">
              <a16:creationId xmlns:a16="http://schemas.microsoft.com/office/drawing/2014/main" id="{761CD929-5EF3-C0D9-C5E9-0A4CED648F15}"/>
            </a:ext>
            <a:ext uri="{147F2762-F138-4A5C-976F-8EAC2B608ADB}">
              <a16:predDERef xmlns:a16="http://schemas.microsoft.com/office/drawing/2014/main" pred="{F40DBC36-6A5D-44F6-8C5A-60F6E6BD4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2.xml><?xml version="1.0" encoding="utf-8"?>
<xdr:wsDr xmlns:xdr="http://schemas.openxmlformats.org/drawingml/2006/spreadsheetDrawing" xmlns:a="http://schemas.openxmlformats.org/drawingml/2006/main">
  <xdr:twoCellAnchor>
    <xdr:from>
      <xdr:col>19</xdr:col>
      <xdr:colOff>336550</xdr:colOff>
      <xdr:row>0</xdr:row>
      <xdr:rowOff>120650</xdr:rowOff>
    </xdr:from>
    <xdr:to>
      <xdr:col>20</xdr:col>
      <xdr:colOff>755650</xdr:colOff>
      <xdr:row>3</xdr:row>
      <xdr:rowOff>63500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85D8682-FFD1-421D-A1F1-D545DA60310D}"/>
            </a:ext>
          </a:extLst>
        </xdr:cNvPr>
        <xdr:cNvSpPr/>
      </xdr:nvSpPr>
      <xdr:spPr>
        <a:xfrm>
          <a:off x="8509000" y="12065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3.xml><?xml version="1.0" encoding="utf-8"?>
<xdr:wsDr xmlns:xdr="http://schemas.openxmlformats.org/drawingml/2006/spreadsheetDrawing" xmlns:a="http://schemas.openxmlformats.org/drawingml/2006/main">
  <xdr:twoCellAnchor>
    <xdr:from>
      <xdr:col>20</xdr:col>
      <xdr:colOff>336550</xdr:colOff>
      <xdr:row>0</xdr:row>
      <xdr:rowOff>120650</xdr:rowOff>
    </xdr:from>
    <xdr:to>
      <xdr:col>21</xdr:col>
      <xdr:colOff>755650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67769A8-E2C3-4CBB-B330-36A595E5E9CF}"/>
            </a:ext>
          </a:extLst>
        </xdr:cNvPr>
        <xdr:cNvSpPr/>
      </xdr:nvSpPr>
      <xdr:spPr>
        <a:xfrm>
          <a:off x="8509000" y="120650"/>
          <a:ext cx="1219200" cy="5016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4.xml><?xml version="1.0" encoding="utf-8"?>
<xdr:wsDr xmlns:xdr="http://schemas.openxmlformats.org/drawingml/2006/spreadsheetDrawing" xmlns:a="http://schemas.openxmlformats.org/drawingml/2006/main">
  <xdr:twoCellAnchor>
    <xdr:from>
      <xdr:col>4</xdr:col>
      <xdr:colOff>336550</xdr:colOff>
      <xdr:row>0</xdr:row>
      <xdr:rowOff>120650</xdr:rowOff>
    </xdr:from>
    <xdr:to>
      <xdr:col>4</xdr:col>
      <xdr:colOff>1485900</xdr:colOff>
      <xdr:row>3</xdr:row>
      <xdr:rowOff>38100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26BE199-4F31-494E-AE0C-9A683455368C}"/>
            </a:ext>
          </a:extLst>
        </xdr:cNvPr>
        <xdr:cNvSpPr/>
      </xdr:nvSpPr>
      <xdr:spPr>
        <a:xfrm>
          <a:off x="723900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5.xml><?xml version="1.0" encoding="utf-8"?>
<xdr:wsDr xmlns:xdr="http://schemas.openxmlformats.org/drawingml/2006/spreadsheetDrawing" xmlns:a="http://schemas.openxmlformats.org/drawingml/2006/main">
  <xdr:twoCellAnchor>
    <xdr:from>
      <xdr:col>18</xdr:col>
      <xdr:colOff>336550</xdr:colOff>
      <xdr:row>0</xdr:row>
      <xdr:rowOff>120650</xdr:rowOff>
    </xdr:from>
    <xdr:to>
      <xdr:col>18</xdr:col>
      <xdr:colOff>1485900</xdr:colOff>
      <xdr:row>3</xdr:row>
      <xdr:rowOff>38100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C5765C7-75DB-4E80-A1C8-81001486F1F9}"/>
            </a:ext>
          </a:extLst>
        </xdr:cNvPr>
        <xdr:cNvSpPr/>
      </xdr:nvSpPr>
      <xdr:spPr>
        <a:xfrm>
          <a:off x="723900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6.xml><?xml version="1.0" encoding="utf-8"?>
<xdr:wsDr xmlns:xdr="http://schemas.openxmlformats.org/drawingml/2006/spreadsheetDrawing" xmlns:a="http://schemas.openxmlformats.org/drawingml/2006/main">
  <xdr:twoCellAnchor>
    <xdr:from>
      <xdr:col>15</xdr:col>
      <xdr:colOff>336550</xdr:colOff>
      <xdr:row>0</xdr:row>
      <xdr:rowOff>120650</xdr:rowOff>
    </xdr:from>
    <xdr:to>
      <xdr:col>15</xdr:col>
      <xdr:colOff>1485900</xdr:colOff>
      <xdr:row>3</xdr:row>
      <xdr:rowOff>38100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E398230-1060-49B1-8063-E854BE273711}"/>
            </a:ext>
          </a:extLst>
        </xdr:cNvPr>
        <xdr:cNvSpPr/>
      </xdr:nvSpPr>
      <xdr:spPr>
        <a:xfrm>
          <a:off x="769620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7.xml><?xml version="1.0" encoding="utf-8"?>
<xdr:wsDr xmlns:xdr="http://schemas.openxmlformats.org/drawingml/2006/spreadsheetDrawing" xmlns:a="http://schemas.openxmlformats.org/drawingml/2006/main">
  <xdr:twoCellAnchor>
    <xdr:from>
      <xdr:col>15</xdr:col>
      <xdr:colOff>336550</xdr:colOff>
      <xdr:row>0</xdr:row>
      <xdr:rowOff>120650</xdr:rowOff>
    </xdr:from>
    <xdr:to>
      <xdr:col>15</xdr:col>
      <xdr:colOff>1485900</xdr:colOff>
      <xdr:row>3</xdr:row>
      <xdr:rowOff>38100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80296BC-672F-4596-B008-AA1D24E6F923}"/>
            </a:ext>
          </a:extLst>
        </xdr:cNvPr>
        <xdr:cNvSpPr/>
      </xdr:nvSpPr>
      <xdr:spPr>
        <a:xfrm>
          <a:off x="970280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8.xml><?xml version="1.0" encoding="utf-8"?>
<xdr:wsDr xmlns:xdr="http://schemas.openxmlformats.org/drawingml/2006/spreadsheetDrawing" xmlns:a="http://schemas.openxmlformats.org/drawingml/2006/main">
  <xdr:twoCellAnchor>
    <xdr:from>
      <xdr:col>15</xdr:col>
      <xdr:colOff>336550</xdr:colOff>
      <xdr:row>0</xdr:row>
      <xdr:rowOff>120650</xdr:rowOff>
    </xdr:from>
    <xdr:to>
      <xdr:col>15</xdr:col>
      <xdr:colOff>1485900</xdr:colOff>
      <xdr:row>3</xdr:row>
      <xdr:rowOff>38100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E990FE4-6EDC-48D8-ABAE-A16D5FB40AB4}"/>
            </a:ext>
          </a:extLst>
        </xdr:cNvPr>
        <xdr:cNvSpPr/>
      </xdr:nvSpPr>
      <xdr:spPr>
        <a:xfrm>
          <a:off x="970280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09.xml><?xml version="1.0" encoding="utf-8"?>
<xdr:wsDr xmlns:xdr="http://schemas.openxmlformats.org/drawingml/2006/spreadsheetDrawing" xmlns:a="http://schemas.openxmlformats.org/drawingml/2006/main">
  <xdr:twoCellAnchor>
    <xdr:from>
      <xdr:col>19</xdr:col>
      <xdr:colOff>336550</xdr:colOff>
      <xdr:row>0</xdr:row>
      <xdr:rowOff>120650</xdr:rowOff>
    </xdr:from>
    <xdr:to>
      <xdr:col>19</xdr:col>
      <xdr:colOff>1485900</xdr:colOff>
      <xdr:row>3</xdr:row>
      <xdr:rowOff>38100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5AF5F28-583D-4D35-B6AC-A0B2E2A99944}"/>
            </a:ext>
          </a:extLst>
        </xdr:cNvPr>
        <xdr:cNvSpPr/>
      </xdr:nvSpPr>
      <xdr:spPr>
        <a:xfrm>
          <a:off x="953770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0.xml><?xml version="1.0" encoding="utf-8"?>
<xdr:wsDr xmlns:xdr="http://schemas.openxmlformats.org/drawingml/2006/spreadsheetDrawing" xmlns:a="http://schemas.openxmlformats.org/drawingml/2006/main">
  <xdr:twoCellAnchor>
    <xdr:from>
      <xdr:col>20</xdr:col>
      <xdr:colOff>336550</xdr:colOff>
      <xdr:row>0</xdr:row>
      <xdr:rowOff>120650</xdr:rowOff>
    </xdr:from>
    <xdr:to>
      <xdr:col>20</xdr:col>
      <xdr:colOff>1485900</xdr:colOff>
      <xdr:row>3</xdr:row>
      <xdr:rowOff>38100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2615BED-AC3F-40EC-9427-72851B3A2265}"/>
            </a:ext>
          </a:extLst>
        </xdr:cNvPr>
        <xdr:cNvSpPr/>
      </xdr:nvSpPr>
      <xdr:spPr>
        <a:xfrm>
          <a:off x="1007745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1.xml><?xml version="1.0" encoding="utf-8"?>
<xdr:wsDr xmlns:xdr="http://schemas.openxmlformats.org/drawingml/2006/spreadsheetDrawing" xmlns:a="http://schemas.openxmlformats.org/drawingml/2006/main">
  <xdr:twoCellAnchor>
    <xdr:from>
      <xdr:col>19</xdr:col>
      <xdr:colOff>336550</xdr:colOff>
      <xdr:row>0</xdr:row>
      <xdr:rowOff>120650</xdr:rowOff>
    </xdr:from>
    <xdr:to>
      <xdr:col>19</xdr:col>
      <xdr:colOff>1485900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C4055BB-6F08-4011-B1F0-659B53C909C5}"/>
            </a:ext>
          </a:extLst>
        </xdr:cNvPr>
        <xdr:cNvSpPr/>
      </xdr:nvSpPr>
      <xdr:spPr>
        <a:xfrm>
          <a:off x="10668000" y="120650"/>
          <a:ext cx="1149350" cy="4699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2.xml><?xml version="1.0" encoding="utf-8"?>
<xdr:wsDr xmlns:xdr="http://schemas.openxmlformats.org/drawingml/2006/spreadsheetDrawing" xmlns:a="http://schemas.openxmlformats.org/drawingml/2006/main">
  <xdr:twoCellAnchor>
    <xdr:from>
      <xdr:col>11</xdr:col>
      <xdr:colOff>336550</xdr:colOff>
      <xdr:row>0</xdr:row>
      <xdr:rowOff>120650</xdr:rowOff>
    </xdr:from>
    <xdr:to>
      <xdr:col>11</xdr:col>
      <xdr:colOff>1485900</xdr:colOff>
      <xdr:row>3</xdr:row>
      <xdr:rowOff>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B3DE24C-7CFE-4F7A-A8E4-26CB7842A6C6}"/>
            </a:ext>
          </a:extLst>
        </xdr:cNvPr>
        <xdr:cNvSpPr/>
      </xdr:nvSpPr>
      <xdr:spPr>
        <a:xfrm>
          <a:off x="11258550" y="120650"/>
          <a:ext cx="1149350" cy="4318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3.xml><?xml version="1.0" encoding="utf-8"?>
<xdr:wsDr xmlns:xdr="http://schemas.openxmlformats.org/drawingml/2006/spreadsheetDrawing" xmlns:a="http://schemas.openxmlformats.org/drawingml/2006/main">
  <xdr:twoCellAnchor>
    <xdr:from>
      <xdr:col>16</xdr:col>
      <xdr:colOff>76200</xdr:colOff>
      <xdr:row>0</xdr:row>
      <xdr:rowOff>0</xdr:rowOff>
    </xdr:from>
    <xdr:to>
      <xdr:col>16</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5FC5AEF-5017-42D6-AEC7-0368539DCA81}"/>
            </a:ext>
          </a:extLst>
        </xdr:cNvPr>
        <xdr:cNvSpPr/>
      </xdr:nvSpPr>
      <xdr:spPr>
        <a:xfrm>
          <a:off x="105981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4.xml><?xml version="1.0" encoding="utf-8"?>
<xdr:wsDr xmlns:xdr="http://schemas.openxmlformats.org/drawingml/2006/spreadsheetDrawing" xmlns:a="http://schemas.openxmlformats.org/drawingml/2006/main">
  <xdr:twoCellAnchor>
    <xdr:from>
      <xdr:col>13</xdr:col>
      <xdr:colOff>76200</xdr:colOff>
      <xdr:row>0</xdr:row>
      <xdr:rowOff>0</xdr:rowOff>
    </xdr:from>
    <xdr:to>
      <xdr:col>13</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F6347F6-E2B9-43B7-ADDB-02CECEC8A394}"/>
            </a:ext>
          </a:extLst>
        </xdr:cNvPr>
        <xdr:cNvSpPr/>
      </xdr:nvSpPr>
      <xdr:spPr>
        <a:xfrm>
          <a:off x="83375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5.xml><?xml version="1.0" encoding="utf-8"?>
<xdr:wsDr xmlns:xdr="http://schemas.openxmlformats.org/drawingml/2006/spreadsheetDrawing" xmlns:a="http://schemas.openxmlformats.org/drawingml/2006/main">
  <xdr:twoCellAnchor>
    <xdr:from>
      <xdr:col>17</xdr:col>
      <xdr:colOff>76200</xdr:colOff>
      <xdr:row>0</xdr:row>
      <xdr:rowOff>0</xdr:rowOff>
    </xdr:from>
    <xdr:to>
      <xdr:col>17</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7194D6C-79AF-4703-90A4-E22F5BE9CE74}"/>
            </a:ext>
          </a:extLst>
        </xdr:cNvPr>
        <xdr:cNvSpPr/>
      </xdr:nvSpPr>
      <xdr:spPr>
        <a:xfrm>
          <a:off x="101282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6.xml><?xml version="1.0" encoding="utf-8"?>
<xdr:wsDr xmlns:xdr="http://schemas.openxmlformats.org/drawingml/2006/spreadsheetDrawing" xmlns:a="http://schemas.openxmlformats.org/drawingml/2006/main">
  <xdr:twoCellAnchor>
    <xdr:from>
      <xdr:col>18</xdr:col>
      <xdr:colOff>76200</xdr:colOff>
      <xdr:row>0</xdr:row>
      <xdr:rowOff>0</xdr:rowOff>
    </xdr:from>
    <xdr:to>
      <xdr:col>18</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06EF14C-BCF7-40DB-80B8-5AE2200E37EA}"/>
            </a:ext>
          </a:extLst>
        </xdr:cNvPr>
        <xdr:cNvSpPr/>
      </xdr:nvSpPr>
      <xdr:spPr>
        <a:xfrm>
          <a:off x="90233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7.xml><?xml version="1.0" encoding="utf-8"?>
<xdr:wsDr xmlns:xdr="http://schemas.openxmlformats.org/drawingml/2006/spreadsheetDrawing" xmlns:a="http://schemas.openxmlformats.org/drawingml/2006/main">
  <xdr:twoCellAnchor>
    <xdr:from>
      <xdr:col>8</xdr:col>
      <xdr:colOff>76200</xdr:colOff>
      <xdr:row>0</xdr:row>
      <xdr:rowOff>0</xdr:rowOff>
    </xdr:from>
    <xdr:to>
      <xdr:col>8</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2071C38-FBD7-45F1-A6E1-D6F597248F15}"/>
            </a:ext>
          </a:extLst>
        </xdr:cNvPr>
        <xdr:cNvSpPr/>
      </xdr:nvSpPr>
      <xdr:spPr>
        <a:xfrm>
          <a:off x="96075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8.xml><?xml version="1.0" encoding="utf-8"?>
<xdr:wsDr xmlns:xdr="http://schemas.openxmlformats.org/drawingml/2006/spreadsheetDrawing" xmlns:a="http://schemas.openxmlformats.org/drawingml/2006/main">
  <xdr:twoCellAnchor>
    <xdr:from>
      <xdr:col>9</xdr:col>
      <xdr:colOff>76200</xdr:colOff>
      <xdr:row>0</xdr:row>
      <xdr:rowOff>0</xdr:rowOff>
    </xdr:from>
    <xdr:to>
      <xdr:col>9</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3938F0C-41C0-415F-8192-6A16991B1BE1}"/>
            </a:ext>
          </a:extLst>
        </xdr:cNvPr>
        <xdr:cNvSpPr/>
      </xdr:nvSpPr>
      <xdr:spPr>
        <a:xfrm>
          <a:off x="81026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19.xml><?xml version="1.0" encoding="utf-8"?>
<xdr:wsDr xmlns:xdr="http://schemas.openxmlformats.org/drawingml/2006/spreadsheetDrawing" xmlns:a="http://schemas.openxmlformats.org/drawingml/2006/main">
  <xdr:twoCellAnchor>
    <xdr:from>
      <xdr:col>10</xdr:col>
      <xdr:colOff>76200</xdr:colOff>
      <xdr:row>0</xdr:row>
      <xdr:rowOff>0</xdr:rowOff>
    </xdr:from>
    <xdr:to>
      <xdr:col>10</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C5F11508-36F5-4451-B0E4-5ED3B85A0AAC}"/>
            </a:ext>
          </a:extLst>
        </xdr:cNvPr>
        <xdr:cNvSpPr/>
      </xdr:nvSpPr>
      <xdr:spPr>
        <a:xfrm>
          <a:off x="61468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0.xml><?xml version="1.0" encoding="utf-8"?>
<xdr:wsDr xmlns:xdr="http://schemas.openxmlformats.org/drawingml/2006/spreadsheetDrawing" xmlns:a="http://schemas.openxmlformats.org/drawingml/2006/main">
  <xdr:twoCellAnchor>
    <xdr:from>
      <xdr:col>11</xdr:col>
      <xdr:colOff>76200</xdr:colOff>
      <xdr:row>0</xdr:row>
      <xdr:rowOff>0</xdr:rowOff>
    </xdr:from>
    <xdr:to>
      <xdr:col>11</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F1A92EF-B2C7-4E29-8ECD-BC4AC656AC1A}"/>
            </a:ext>
          </a:extLst>
        </xdr:cNvPr>
        <xdr:cNvSpPr/>
      </xdr:nvSpPr>
      <xdr:spPr>
        <a:xfrm>
          <a:off x="67310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1.xml><?xml version="1.0" encoding="utf-8"?>
<xdr:wsDr xmlns:xdr="http://schemas.openxmlformats.org/drawingml/2006/spreadsheetDrawing" xmlns:a="http://schemas.openxmlformats.org/drawingml/2006/main">
  <xdr:twoCellAnchor>
    <xdr:from>
      <xdr:col>11</xdr:col>
      <xdr:colOff>76200</xdr:colOff>
      <xdr:row>0</xdr:row>
      <xdr:rowOff>0</xdr:rowOff>
    </xdr:from>
    <xdr:to>
      <xdr:col>11</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4EB3724-8131-47EE-9482-0B965B9761C1}"/>
            </a:ext>
          </a:extLst>
        </xdr:cNvPr>
        <xdr:cNvSpPr/>
      </xdr:nvSpPr>
      <xdr:spPr>
        <a:xfrm>
          <a:off x="67310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2.xml><?xml version="1.0" encoding="utf-8"?>
<xdr:wsDr xmlns:xdr="http://schemas.openxmlformats.org/drawingml/2006/spreadsheetDrawing" xmlns:a="http://schemas.openxmlformats.org/drawingml/2006/main">
  <xdr:twoCellAnchor>
    <xdr:from>
      <xdr:col>10</xdr:col>
      <xdr:colOff>76200</xdr:colOff>
      <xdr:row>0</xdr:row>
      <xdr:rowOff>0</xdr:rowOff>
    </xdr:from>
    <xdr:to>
      <xdr:col>10</xdr:col>
      <xdr:colOff>1225550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F0BFDD0-230C-4860-8059-4050A20DB788}"/>
            </a:ext>
          </a:extLst>
        </xdr:cNvPr>
        <xdr:cNvSpPr/>
      </xdr:nvSpPr>
      <xdr:spPr>
        <a:xfrm>
          <a:off x="67310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6</xdr:col>
      <xdr:colOff>365123</xdr:colOff>
      <xdr:row>5</xdr:row>
      <xdr:rowOff>63500</xdr:rowOff>
    </xdr:from>
    <xdr:to>
      <xdr:col>12</xdr:col>
      <xdr:colOff>104774</xdr:colOff>
      <xdr:row>19</xdr:row>
      <xdr:rowOff>88900</xdr:rowOff>
    </xdr:to>
    <xdr:graphicFrame macro="">
      <xdr:nvGraphicFramePr>
        <xdr:cNvPr id="4" name="Gráfico 2">
          <a:extLst>
            <a:ext uri="{FF2B5EF4-FFF2-40B4-BE49-F238E27FC236}">
              <a16:creationId xmlns:a16="http://schemas.microsoft.com/office/drawing/2014/main" id="{9A7B7710-B0D9-B674-873F-5266283DB3E4}"/>
            </a:ext>
            <a:ext uri="{147F2762-F138-4A5C-976F-8EAC2B608ADB}">
              <a16:predDERef xmlns:a16="http://schemas.microsoft.com/office/drawing/2014/main" pred="{1F0BFDD0-230C-4860-8059-4050A20DB7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3.xml><?xml version="1.0" encoding="utf-8"?>
<xdr:wsDr xmlns:xdr="http://schemas.openxmlformats.org/drawingml/2006/spreadsheetDrawing" xmlns:a="http://schemas.openxmlformats.org/drawingml/2006/main">
  <xdr:twoCellAnchor>
    <xdr:from>
      <xdr:col>15</xdr:col>
      <xdr:colOff>114300</xdr:colOff>
      <xdr:row>0</xdr:row>
      <xdr:rowOff>0</xdr:rowOff>
    </xdr:from>
    <xdr:to>
      <xdr:col>15</xdr:col>
      <xdr:colOff>1263650</xdr:colOff>
      <xdr:row>2</xdr:row>
      <xdr:rowOff>69850</xdr:rowOff>
    </xdr:to>
    <xdr:sp macro="" textlink="">
      <xdr:nvSpPr>
        <xdr:cNvPr id="3" name="Flecha: hacia la izquierda 1">
          <a:hlinkClick xmlns:r="http://schemas.openxmlformats.org/officeDocument/2006/relationships" r:id="rId1"/>
          <a:extLst>
            <a:ext uri="{FF2B5EF4-FFF2-40B4-BE49-F238E27FC236}">
              <a16:creationId xmlns:a16="http://schemas.microsoft.com/office/drawing/2014/main" id="{9876AC83-1B4C-47FE-9BFC-1F5D972340B2}"/>
            </a:ext>
          </a:extLst>
        </xdr:cNvPr>
        <xdr:cNvSpPr/>
      </xdr:nvSpPr>
      <xdr:spPr>
        <a:xfrm>
          <a:off x="107315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4.xml><?xml version="1.0" encoding="utf-8"?>
<xdr:wsDr xmlns:xdr="http://schemas.openxmlformats.org/drawingml/2006/spreadsheetDrawing" xmlns:a="http://schemas.openxmlformats.org/drawingml/2006/main">
  <xdr:twoCellAnchor>
    <xdr:from>
      <xdr:col>15</xdr:col>
      <xdr:colOff>0</xdr:colOff>
      <xdr:row>0</xdr:row>
      <xdr:rowOff>0</xdr:rowOff>
    </xdr:from>
    <xdr:to>
      <xdr:col>15</xdr:col>
      <xdr:colOff>1346200</xdr:colOff>
      <xdr:row>2</xdr:row>
      <xdr:rowOff>146050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B5C2874-D89F-4401-A7AF-2B8F769D2FEE}"/>
            </a:ext>
          </a:extLst>
        </xdr:cNvPr>
        <xdr:cNvSpPr/>
      </xdr:nvSpPr>
      <xdr:spPr>
        <a:xfrm>
          <a:off x="8591550" y="0"/>
          <a:ext cx="1346200" cy="5143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0</xdr:col>
      <xdr:colOff>285747</xdr:colOff>
      <xdr:row>14</xdr:row>
      <xdr:rowOff>180975</xdr:rowOff>
    </xdr:from>
    <xdr:to>
      <xdr:col>14</xdr:col>
      <xdr:colOff>200024</xdr:colOff>
      <xdr:row>30</xdr:row>
      <xdr:rowOff>22225</xdr:rowOff>
    </xdr:to>
    <xdr:graphicFrame macro="">
      <xdr:nvGraphicFramePr>
        <xdr:cNvPr id="5" name="Gráfico 3">
          <a:extLst>
            <a:ext uri="{FF2B5EF4-FFF2-40B4-BE49-F238E27FC236}">
              <a16:creationId xmlns:a16="http://schemas.microsoft.com/office/drawing/2014/main" id="{AAAE5CB3-92DB-2A88-EC5B-18D838C28E09}"/>
            </a:ext>
            <a:ext uri="{147F2762-F138-4A5C-976F-8EAC2B608ADB}">
              <a16:predDERef xmlns:a16="http://schemas.microsoft.com/office/drawing/2014/main" pred="{1B5C2874-D89F-4401-A7AF-2B8F769D2F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5.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E7361BB-87D8-4D3D-8703-9511B7785C50}"/>
            </a:ext>
          </a:extLst>
        </xdr:cNvPr>
        <xdr:cNvSpPr/>
      </xdr:nvSpPr>
      <xdr:spPr>
        <a:xfrm>
          <a:off x="75946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6.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FAD7B91-1D78-493B-ACF9-FE1FF28CAF74}"/>
            </a:ext>
          </a:extLst>
        </xdr:cNvPr>
        <xdr:cNvSpPr/>
      </xdr:nvSpPr>
      <xdr:spPr>
        <a:xfrm>
          <a:off x="80073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7.xml><?xml version="1.0" encoding="utf-8"?>
<xdr:wsDr xmlns:xdr="http://schemas.openxmlformats.org/drawingml/2006/spreadsheetDrawing" xmlns:a="http://schemas.openxmlformats.org/drawingml/2006/main">
  <xdr:twoCellAnchor>
    <xdr:from>
      <xdr:col>16</xdr:col>
      <xdr:colOff>1778000</xdr:colOff>
      <xdr:row>0</xdr:row>
      <xdr:rowOff>0</xdr:rowOff>
    </xdr:from>
    <xdr:to>
      <xdr:col>17</xdr:col>
      <xdr:colOff>946150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8AF65F4-36AA-498A-87CD-74A2ACD54DC6}"/>
            </a:ext>
          </a:extLst>
        </xdr:cNvPr>
        <xdr:cNvSpPr/>
      </xdr:nvSpPr>
      <xdr:spPr>
        <a:xfrm>
          <a:off x="143764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8.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37877D4-5945-429B-924F-255E3F1A1103}"/>
            </a:ext>
          </a:extLst>
        </xdr:cNvPr>
        <xdr:cNvSpPr/>
      </xdr:nvSpPr>
      <xdr:spPr>
        <a:xfrm>
          <a:off x="842010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29.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BF17A36-4011-40B2-885F-CE469A890454}"/>
            </a:ext>
          </a:extLst>
        </xdr:cNvPr>
        <xdr:cNvSpPr/>
      </xdr:nvSpPr>
      <xdr:spPr>
        <a:xfrm>
          <a:off x="883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0.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5016A5F-D371-4406-AF64-422766ADEDD9}"/>
            </a:ext>
          </a:extLst>
        </xdr:cNvPr>
        <xdr:cNvSpPr/>
      </xdr:nvSpPr>
      <xdr:spPr>
        <a:xfrm>
          <a:off x="883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1.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6C877F3-1F74-4A77-8F43-AA939E45F5B8}"/>
            </a:ext>
          </a:extLst>
        </xdr:cNvPr>
        <xdr:cNvSpPr/>
      </xdr:nvSpPr>
      <xdr:spPr>
        <a:xfrm>
          <a:off x="883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2.xml><?xml version="1.0" encoding="utf-8"?>
<xdr:wsDr xmlns:xdr="http://schemas.openxmlformats.org/drawingml/2006/spreadsheetDrawing" xmlns:a="http://schemas.openxmlformats.org/drawingml/2006/main">
  <xdr:twoCellAnchor>
    <xdr:from>
      <xdr:col>15</xdr:col>
      <xdr:colOff>114300</xdr:colOff>
      <xdr:row>0</xdr:row>
      <xdr:rowOff>0</xdr:rowOff>
    </xdr:from>
    <xdr:to>
      <xdr:col>15</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9EBFE70-6FB0-4A14-86D1-7893D8C6FA8C}"/>
            </a:ext>
          </a:extLst>
        </xdr:cNvPr>
        <xdr:cNvSpPr/>
      </xdr:nvSpPr>
      <xdr:spPr>
        <a:xfrm>
          <a:off x="883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3.xml><?xml version="1.0" encoding="utf-8"?>
<xdr:wsDr xmlns:xdr="http://schemas.openxmlformats.org/drawingml/2006/spreadsheetDrawing" xmlns:a="http://schemas.openxmlformats.org/drawingml/2006/main">
  <xdr:twoCellAnchor>
    <xdr:from>
      <xdr:col>15</xdr:col>
      <xdr:colOff>114300</xdr:colOff>
      <xdr:row>0</xdr:row>
      <xdr:rowOff>0</xdr:rowOff>
    </xdr:from>
    <xdr:to>
      <xdr:col>15</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DFCB100-BB58-42E4-B1B5-B29741D82CCB}"/>
            </a:ext>
          </a:extLst>
        </xdr:cNvPr>
        <xdr:cNvSpPr/>
      </xdr:nvSpPr>
      <xdr:spPr>
        <a:xfrm>
          <a:off x="883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4.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47003E7-15AC-498E-8CF7-F7A739286202}"/>
            </a:ext>
          </a:extLst>
        </xdr:cNvPr>
        <xdr:cNvSpPr/>
      </xdr:nvSpPr>
      <xdr:spPr>
        <a:xfrm>
          <a:off x="883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5.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11B42C2-3753-4450-BD9D-A2928C0C6185}"/>
            </a:ext>
          </a:extLst>
        </xdr:cNvPr>
        <xdr:cNvSpPr/>
      </xdr:nvSpPr>
      <xdr:spPr>
        <a:xfrm>
          <a:off x="883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6.xml><?xml version="1.0" encoding="utf-8"?>
<xdr:wsDr xmlns:xdr="http://schemas.openxmlformats.org/drawingml/2006/spreadsheetDrawing" xmlns:a="http://schemas.openxmlformats.org/drawingml/2006/main">
  <xdr:twoCellAnchor>
    <xdr:from>
      <xdr:col>20</xdr:col>
      <xdr:colOff>114300</xdr:colOff>
      <xdr:row>0</xdr:row>
      <xdr:rowOff>0</xdr:rowOff>
    </xdr:from>
    <xdr:to>
      <xdr:col>20</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D6F5288-4B8D-466A-991B-37F307D72AA3}"/>
            </a:ext>
          </a:extLst>
        </xdr:cNvPr>
        <xdr:cNvSpPr/>
      </xdr:nvSpPr>
      <xdr:spPr>
        <a:xfrm>
          <a:off x="94170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7.xml><?xml version="1.0" encoding="utf-8"?>
<xdr:wsDr xmlns:xdr="http://schemas.openxmlformats.org/drawingml/2006/spreadsheetDrawing" xmlns:a="http://schemas.openxmlformats.org/drawingml/2006/main">
  <xdr:twoCellAnchor>
    <xdr:from>
      <xdr:col>18</xdr:col>
      <xdr:colOff>114300</xdr:colOff>
      <xdr:row>0</xdr:row>
      <xdr:rowOff>0</xdr:rowOff>
    </xdr:from>
    <xdr:to>
      <xdr:col>18</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E86F61B7-F77C-4498-9FE6-37535498A85E}"/>
            </a:ext>
          </a:extLst>
        </xdr:cNvPr>
        <xdr:cNvSpPr/>
      </xdr:nvSpPr>
      <xdr:spPr>
        <a:xfrm>
          <a:off x="94170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38.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80ECD52B-F485-44D2-9F3B-D7330A94EB16}"/>
            </a:ext>
          </a:extLst>
        </xdr:cNvPr>
        <xdr:cNvSpPr/>
      </xdr:nvSpPr>
      <xdr:spPr>
        <a:xfrm>
          <a:off x="94170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editAs="oneCell">
    <xdr:from>
      <xdr:col>8</xdr:col>
      <xdr:colOff>190501</xdr:colOff>
      <xdr:row>21</xdr:row>
      <xdr:rowOff>78066</xdr:rowOff>
    </xdr:from>
    <xdr:to>
      <xdr:col>18</xdr:col>
      <xdr:colOff>1871383</xdr:colOff>
      <xdr:row>41</xdr:row>
      <xdr:rowOff>4218</xdr:rowOff>
    </xdr:to>
    <xdr:pic>
      <xdr:nvPicPr>
        <xdr:cNvPr id="4" name="Imagen 3" descr="Gráfico, Gráfico de líneas&#10;&#10;El contenido generado por IA puede ser incorrecto.">
          <a:extLst>
            <a:ext uri="{FF2B5EF4-FFF2-40B4-BE49-F238E27FC236}">
              <a16:creationId xmlns:a16="http://schemas.microsoft.com/office/drawing/2014/main" id="{E8ABB5F4-020B-E9A5-8E27-A36001FEDC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3648" y="4269066"/>
          <a:ext cx="7664823" cy="3726627"/>
        </a:xfrm>
        <a:prstGeom prst="rect">
          <a:avLst/>
        </a:prstGeom>
      </xdr:spPr>
    </xdr:pic>
    <xdr:clientData/>
  </xdr:twoCellAnchor>
  <xdr:twoCellAnchor>
    <xdr:from>
      <xdr:col>8</xdr:col>
      <xdr:colOff>85724</xdr:colOff>
      <xdr:row>3</xdr:row>
      <xdr:rowOff>271462</xdr:rowOff>
    </xdr:from>
    <xdr:to>
      <xdr:col>18</xdr:col>
      <xdr:colOff>1609725</xdr:colOff>
      <xdr:row>20</xdr:row>
      <xdr:rowOff>44824</xdr:rowOff>
    </xdr:to>
    <xdr:graphicFrame macro="">
      <xdr:nvGraphicFramePr>
        <xdr:cNvPr id="6" name="Gráfico 5">
          <a:extLst>
            <a:ext uri="{FF2B5EF4-FFF2-40B4-BE49-F238E27FC236}">
              <a16:creationId xmlns:a16="http://schemas.microsoft.com/office/drawing/2014/main" id="{FD95B66F-A3A6-1469-5D57-6AAEC8644C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9.xml><?xml version="1.0" encoding="utf-8"?>
<xdr:wsDr xmlns:xdr="http://schemas.openxmlformats.org/drawingml/2006/spreadsheetDrawing" xmlns:a="http://schemas.openxmlformats.org/drawingml/2006/main">
  <xdr:twoCellAnchor>
    <xdr:from>
      <xdr:col>10</xdr:col>
      <xdr:colOff>114300</xdr:colOff>
      <xdr:row>0</xdr:row>
      <xdr:rowOff>0</xdr:rowOff>
    </xdr:from>
    <xdr:to>
      <xdr:col>10</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F7FF090-15CB-4AAF-8B42-9C8CE5154DAB}"/>
            </a:ext>
          </a:extLst>
        </xdr:cNvPr>
        <xdr:cNvSpPr/>
      </xdr:nvSpPr>
      <xdr:spPr>
        <a:xfrm>
          <a:off x="100012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0.xml><?xml version="1.0" encoding="utf-8"?>
<xdr:wsDr xmlns:xdr="http://schemas.openxmlformats.org/drawingml/2006/spreadsheetDrawing" xmlns:a="http://schemas.openxmlformats.org/drawingml/2006/main">
  <xdr:twoCellAnchor>
    <xdr:from>
      <xdr:col>19</xdr:col>
      <xdr:colOff>114300</xdr:colOff>
      <xdr:row>0</xdr:row>
      <xdr:rowOff>0</xdr:rowOff>
    </xdr:from>
    <xdr:to>
      <xdr:col>19</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C2B873F-5F3E-45EA-960A-36E12FA445E8}"/>
            </a:ext>
          </a:extLst>
        </xdr:cNvPr>
        <xdr:cNvSpPr/>
      </xdr:nvSpPr>
      <xdr:spPr>
        <a:xfrm>
          <a:off x="100012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1.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34D41B9-AE57-4E69-9892-4B2C58E4BF2C}"/>
            </a:ext>
          </a:extLst>
        </xdr:cNvPr>
        <xdr:cNvSpPr/>
      </xdr:nvSpPr>
      <xdr:spPr>
        <a:xfrm>
          <a:off x="100012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twoCellAnchor>
    <xdr:from>
      <xdr:col>7</xdr:col>
      <xdr:colOff>0</xdr:colOff>
      <xdr:row>0</xdr:row>
      <xdr:rowOff>0</xdr:rowOff>
    </xdr:from>
    <xdr:to>
      <xdr:col>7</xdr:col>
      <xdr:colOff>1149350</xdr:colOff>
      <xdr:row>2</xdr:row>
      <xdr:rowOff>69850</xdr:rowOff>
    </xdr:to>
    <xdr:sp macro="" textlink="">
      <xdr:nvSpPr>
        <xdr:cNvPr id="5" name="Flecha: hacia la izquierda 4">
          <a:hlinkClick xmlns:r="http://schemas.openxmlformats.org/officeDocument/2006/relationships" r:id="rId1"/>
          <a:extLst>
            <a:ext uri="{FF2B5EF4-FFF2-40B4-BE49-F238E27FC236}">
              <a16:creationId xmlns:a16="http://schemas.microsoft.com/office/drawing/2014/main" id="{5EE2663C-D432-47FC-9644-53C41A108603}"/>
            </a:ext>
          </a:extLst>
        </xdr:cNvPr>
        <xdr:cNvSpPr/>
      </xdr:nvSpPr>
      <xdr:spPr>
        <a:xfrm>
          <a:off x="6294120" y="0"/>
          <a:ext cx="1149350" cy="43561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2.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62A1B1D-EB23-4FC0-BC2E-45E7E58B84FC}"/>
            </a:ext>
          </a:extLst>
        </xdr:cNvPr>
        <xdr:cNvSpPr/>
      </xdr:nvSpPr>
      <xdr:spPr>
        <a:xfrm>
          <a:off x="100012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3.xml><?xml version="1.0" encoding="utf-8"?>
<xdr:wsDr xmlns:xdr="http://schemas.openxmlformats.org/drawingml/2006/spreadsheetDrawing" xmlns:a="http://schemas.openxmlformats.org/drawingml/2006/main">
  <xdr:twoCellAnchor>
    <xdr:from>
      <xdr:col>15</xdr:col>
      <xdr:colOff>349250</xdr:colOff>
      <xdr:row>3</xdr:row>
      <xdr:rowOff>88900</xdr:rowOff>
    </xdr:from>
    <xdr:to>
      <xdr:col>17</xdr:col>
      <xdr:colOff>508000</xdr:colOff>
      <xdr:row>5</xdr:row>
      <xdr:rowOff>95250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82AD42F-8531-4D7A-A171-F35F4999E4ED}"/>
            </a:ext>
          </a:extLst>
        </xdr:cNvPr>
        <xdr:cNvSpPr/>
      </xdr:nvSpPr>
      <xdr:spPr>
        <a:xfrm>
          <a:off x="9728200" y="730250"/>
          <a:ext cx="1149350" cy="38100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4.xml><?xml version="1.0" encoding="utf-8"?>
<xdr:wsDr xmlns:xdr="http://schemas.openxmlformats.org/drawingml/2006/spreadsheetDrawing" xmlns:a="http://schemas.openxmlformats.org/drawingml/2006/main">
  <xdr:twoCellAnchor>
    <xdr:from>
      <xdr:col>19</xdr:col>
      <xdr:colOff>114300</xdr:colOff>
      <xdr:row>0</xdr:row>
      <xdr:rowOff>0</xdr:rowOff>
    </xdr:from>
    <xdr:to>
      <xdr:col>19</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59B7C41-F167-4DD7-BD76-D88BF3B5BD91}"/>
            </a:ext>
          </a:extLst>
        </xdr:cNvPr>
        <xdr:cNvSpPr/>
      </xdr:nvSpPr>
      <xdr:spPr>
        <a:xfrm>
          <a:off x="95186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5.xml><?xml version="1.0" encoding="utf-8"?>
<xdr:wsDr xmlns:xdr="http://schemas.openxmlformats.org/drawingml/2006/spreadsheetDrawing" xmlns:a="http://schemas.openxmlformats.org/drawingml/2006/main">
  <xdr:twoCellAnchor>
    <xdr:from>
      <xdr:col>7</xdr:col>
      <xdr:colOff>114300</xdr:colOff>
      <xdr:row>0</xdr:row>
      <xdr:rowOff>0</xdr:rowOff>
    </xdr:from>
    <xdr:to>
      <xdr:col>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A99EF49-7690-4BE8-912F-E8198043F166}"/>
            </a:ext>
          </a:extLst>
        </xdr:cNvPr>
        <xdr:cNvSpPr/>
      </xdr:nvSpPr>
      <xdr:spPr>
        <a:xfrm>
          <a:off x="95186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6.xml><?xml version="1.0" encoding="utf-8"?>
<xdr:wsDr xmlns:xdr="http://schemas.openxmlformats.org/drawingml/2006/spreadsheetDrawing" xmlns:a="http://schemas.openxmlformats.org/drawingml/2006/main">
  <xdr:twoCellAnchor>
    <xdr:from>
      <xdr:col>5</xdr:col>
      <xdr:colOff>114300</xdr:colOff>
      <xdr:row>0</xdr:row>
      <xdr:rowOff>0</xdr:rowOff>
    </xdr:from>
    <xdr:to>
      <xdr:col>5</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B7E05FF-87C1-4AF3-AADB-A370C52E2B46}"/>
            </a:ext>
          </a:extLst>
        </xdr:cNvPr>
        <xdr:cNvSpPr/>
      </xdr:nvSpPr>
      <xdr:spPr>
        <a:xfrm>
          <a:off x="95186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7.xml><?xml version="1.0" encoding="utf-8"?>
<xdr:wsDr xmlns:xdr="http://schemas.openxmlformats.org/drawingml/2006/spreadsheetDrawing" xmlns:a="http://schemas.openxmlformats.org/drawingml/2006/main">
  <xdr:twoCellAnchor>
    <xdr:from>
      <xdr:col>19</xdr:col>
      <xdr:colOff>114300</xdr:colOff>
      <xdr:row>0</xdr:row>
      <xdr:rowOff>0</xdr:rowOff>
    </xdr:from>
    <xdr:to>
      <xdr:col>19</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FD740657-AA8D-4908-AEE9-10D5CB41E6B7}"/>
            </a:ext>
          </a:extLst>
        </xdr:cNvPr>
        <xdr:cNvSpPr/>
      </xdr:nvSpPr>
      <xdr:spPr>
        <a:xfrm>
          <a:off x="95186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8.xml><?xml version="1.0" encoding="utf-8"?>
<xdr:wsDr xmlns:xdr="http://schemas.openxmlformats.org/drawingml/2006/spreadsheetDrawing" xmlns:a="http://schemas.openxmlformats.org/drawingml/2006/main">
  <xdr:twoCellAnchor>
    <xdr:from>
      <xdr:col>14</xdr:col>
      <xdr:colOff>114300</xdr:colOff>
      <xdr:row>0</xdr:row>
      <xdr:rowOff>0</xdr:rowOff>
    </xdr:from>
    <xdr:to>
      <xdr:col>14</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5A7C786-7363-41CC-B029-3200C0124CB9}"/>
            </a:ext>
          </a:extLst>
        </xdr:cNvPr>
        <xdr:cNvSpPr/>
      </xdr:nvSpPr>
      <xdr:spPr>
        <a:xfrm>
          <a:off x="95186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49.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719F44FB-387E-42FD-BD29-3A1B0B69BA12}"/>
            </a:ext>
          </a:extLst>
        </xdr:cNvPr>
        <xdr:cNvSpPr/>
      </xdr:nvSpPr>
      <xdr:spPr>
        <a:xfrm>
          <a:off x="95186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0.xml><?xml version="1.0" encoding="utf-8"?>
<xdr:wsDr xmlns:xdr="http://schemas.openxmlformats.org/drawingml/2006/spreadsheetDrawing" xmlns:a="http://schemas.openxmlformats.org/drawingml/2006/main">
  <xdr:twoCellAnchor>
    <xdr:from>
      <xdr:col>5</xdr:col>
      <xdr:colOff>114300</xdr:colOff>
      <xdr:row>0</xdr:row>
      <xdr:rowOff>0</xdr:rowOff>
    </xdr:from>
    <xdr:to>
      <xdr:col>5</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5796BA8-B6E5-49B9-B0B3-2311034B8F9E}"/>
            </a:ext>
          </a:extLst>
        </xdr:cNvPr>
        <xdr:cNvSpPr/>
      </xdr:nvSpPr>
      <xdr:spPr>
        <a:xfrm>
          <a:off x="95186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1.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183F4A3-375F-4B98-B1A5-C81DF8531FD9}"/>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2.xml><?xml version="1.0" encoding="utf-8"?>
<xdr:wsDr xmlns:xdr="http://schemas.openxmlformats.org/drawingml/2006/spreadsheetDrawing" xmlns:a="http://schemas.openxmlformats.org/drawingml/2006/main">
  <xdr:twoCellAnchor>
    <xdr:from>
      <xdr:col>12</xdr:col>
      <xdr:colOff>114300</xdr:colOff>
      <xdr:row>0</xdr:row>
      <xdr:rowOff>0</xdr:rowOff>
    </xdr:from>
    <xdr:to>
      <xdr:col>12</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D0B4FAF-A377-4CCC-B130-88A81ABAA069}"/>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3.xml><?xml version="1.0" encoding="utf-8"?>
<xdr:wsDr xmlns:xdr="http://schemas.openxmlformats.org/drawingml/2006/spreadsheetDrawing" xmlns:a="http://schemas.openxmlformats.org/drawingml/2006/main">
  <xdr:twoCellAnchor>
    <xdr:from>
      <xdr:col>19</xdr:col>
      <xdr:colOff>114300</xdr:colOff>
      <xdr:row>0</xdr:row>
      <xdr:rowOff>0</xdr:rowOff>
    </xdr:from>
    <xdr:to>
      <xdr:col>19</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7592336-F02D-4135-A0DD-C5817D14A6FB}"/>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4.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91BD093-E692-4283-B04A-62BEFA9CC27C}"/>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5.xml><?xml version="1.0" encoding="utf-8"?>
<xdr:wsDr xmlns:xdr="http://schemas.openxmlformats.org/drawingml/2006/spreadsheetDrawing" xmlns:a="http://schemas.openxmlformats.org/drawingml/2006/main">
  <xdr:twoCellAnchor>
    <xdr:from>
      <xdr:col>20</xdr:col>
      <xdr:colOff>114300</xdr:colOff>
      <xdr:row>0</xdr:row>
      <xdr:rowOff>0</xdr:rowOff>
    </xdr:from>
    <xdr:to>
      <xdr:col>20</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6A581DA-B014-4CB6-BB57-BF68837BE83E}"/>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6.xml><?xml version="1.0" encoding="utf-8"?>
<xdr:wsDr xmlns:xdr="http://schemas.openxmlformats.org/drawingml/2006/spreadsheetDrawing" xmlns:a="http://schemas.openxmlformats.org/drawingml/2006/main">
  <xdr:twoCellAnchor>
    <xdr:from>
      <xdr:col>17</xdr:col>
      <xdr:colOff>114300</xdr:colOff>
      <xdr:row>0</xdr:row>
      <xdr:rowOff>0</xdr:rowOff>
    </xdr:from>
    <xdr:to>
      <xdr:col>17</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E400C54-D9B4-4D98-8726-4D237F703A66}"/>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7.xml><?xml version="1.0" encoding="utf-8"?>
<xdr:wsDr xmlns:xdr="http://schemas.openxmlformats.org/drawingml/2006/spreadsheetDrawing" xmlns:a="http://schemas.openxmlformats.org/drawingml/2006/main">
  <xdr:twoCellAnchor>
    <xdr:from>
      <xdr:col>12</xdr:col>
      <xdr:colOff>114300</xdr:colOff>
      <xdr:row>0</xdr:row>
      <xdr:rowOff>0</xdr:rowOff>
    </xdr:from>
    <xdr:to>
      <xdr:col>13</xdr:col>
      <xdr:colOff>297180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B94FF455-E6C9-4EDC-B64B-FFC9DBC54E9F}"/>
            </a:ext>
          </a:extLst>
        </xdr:cNvPr>
        <xdr:cNvSpPr/>
      </xdr:nvSpPr>
      <xdr:spPr>
        <a:xfrm>
          <a:off x="8161020" y="0"/>
          <a:ext cx="800100" cy="43561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8.xml><?xml version="1.0" encoding="utf-8"?>
<xdr:wsDr xmlns:xdr="http://schemas.openxmlformats.org/drawingml/2006/spreadsheetDrawing" xmlns:a="http://schemas.openxmlformats.org/drawingml/2006/main">
  <xdr:twoCellAnchor>
    <xdr:from>
      <xdr:col>18</xdr:col>
      <xdr:colOff>114300</xdr:colOff>
      <xdr:row>0</xdr:row>
      <xdr:rowOff>0</xdr:rowOff>
    </xdr:from>
    <xdr:to>
      <xdr:col>18</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0BED575A-E916-405D-9533-248D08BC8491}"/>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59.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505ECB1D-FFB8-4E06-94C3-E653748982E2}"/>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0.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CA3F103-5494-4CC0-BC67-791D7FE8D4FC}"/>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1.xml><?xml version="1.0" encoding="utf-8"?>
<xdr:wsDr xmlns:xdr="http://schemas.openxmlformats.org/drawingml/2006/spreadsheetDrawing" xmlns:a="http://schemas.openxmlformats.org/drawingml/2006/main">
  <xdr:twoCellAnchor>
    <xdr:from>
      <xdr:col>5</xdr:col>
      <xdr:colOff>114300</xdr:colOff>
      <xdr:row>0</xdr:row>
      <xdr:rowOff>0</xdr:rowOff>
    </xdr:from>
    <xdr:to>
      <xdr:col>5</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498ECC33-3B5E-4413-A1C6-06DF5AA23C48}"/>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2.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D297F00-396C-42BA-901D-BED73CA1BF7E}"/>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3.xml><?xml version="1.0" encoding="utf-8"?>
<xdr:wsDr xmlns:xdr="http://schemas.openxmlformats.org/drawingml/2006/spreadsheetDrawing" xmlns:a="http://schemas.openxmlformats.org/drawingml/2006/main">
  <xdr:twoCellAnchor>
    <xdr:from>
      <xdr:col>10</xdr:col>
      <xdr:colOff>628650</xdr:colOff>
      <xdr:row>0</xdr:row>
      <xdr:rowOff>25400</xdr:rowOff>
    </xdr:from>
    <xdr:to>
      <xdr:col>10</xdr:col>
      <xdr:colOff>1778000</xdr:colOff>
      <xdr:row>2</xdr:row>
      <xdr:rowOff>95250</xdr:rowOff>
    </xdr:to>
    <xdr:sp macro="" textlink="">
      <xdr:nvSpPr>
        <xdr:cNvPr id="3" name="Flecha: hacia la izquierda 1">
          <a:hlinkClick xmlns:r="http://schemas.openxmlformats.org/officeDocument/2006/relationships" r:id="rId1"/>
          <a:extLst>
            <a:ext uri="{FF2B5EF4-FFF2-40B4-BE49-F238E27FC236}">
              <a16:creationId xmlns:a16="http://schemas.microsoft.com/office/drawing/2014/main" id="{C16B1FB5-EAC7-4C92-8648-27753B7A4ED8}"/>
            </a:ext>
          </a:extLst>
        </xdr:cNvPr>
        <xdr:cNvSpPr/>
      </xdr:nvSpPr>
      <xdr:spPr>
        <a:xfrm>
          <a:off x="6350000" y="25400"/>
          <a:ext cx="1149350" cy="4508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4.xml><?xml version="1.0" encoding="utf-8"?>
<xdr:wsDr xmlns:xdr="http://schemas.openxmlformats.org/drawingml/2006/spreadsheetDrawing" xmlns:a="http://schemas.openxmlformats.org/drawingml/2006/main">
  <xdr:twoCellAnchor>
    <xdr:from>
      <xdr:col>16</xdr:col>
      <xdr:colOff>114300</xdr:colOff>
      <xdr:row>0</xdr:row>
      <xdr:rowOff>0</xdr:rowOff>
    </xdr:from>
    <xdr:to>
      <xdr:col>18</xdr:col>
      <xdr:colOff>723900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65C06F49-8AC6-49A7-AF52-D34DF12458DA}"/>
            </a:ext>
          </a:extLst>
        </xdr:cNvPr>
        <xdr:cNvSpPr/>
      </xdr:nvSpPr>
      <xdr:spPr>
        <a:xfrm>
          <a:off x="9083040" y="0"/>
          <a:ext cx="1112520" cy="43561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5.xml><?xml version="1.0" encoding="utf-8"?>
<xdr:wsDr xmlns:xdr="http://schemas.openxmlformats.org/drawingml/2006/spreadsheetDrawing" xmlns:a="http://schemas.openxmlformats.org/drawingml/2006/main">
  <xdr:twoCellAnchor>
    <xdr:from>
      <xdr:col>15</xdr:col>
      <xdr:colOff>114300</xdr:colOff>
      <xdr:row>0</xdr:row>
      <xdr:rowOff>0</xdr:rowOff>
    </xdr:from>
    <xdr:to>
      <xdr:col>15</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23EADA7-B61F-48A5-91C7-D23E2B9D22C6}"/>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6.xml><?xml version="1.0" encoding="utf-8"?>
<xdr:wsDr xmlns:xdr="http://schemas.openxmlformats.org/drawingml/2006/spreadsheetDrawing" xmlns:a="http://schemas.openxmlformats.org/drawingml/2006/main">
  <xdr:twoCellAnchor>
    <xdr:from>
      <xdr:col>12</xdr:col>
      <xdr:colOff>114300</xdr:colOff>
      <xdr:row>0</xdr:row>
      <xdr:rowOff>0</xdr:rowOff>
    </xdr:from>
    <xdr:to>
      <xdr:col>12</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9B5A7AC-58D4-45F9-8653-B22C20049A5A}"/>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drawings/drawing167.xml><?xml version="1.0" encoding="utf-8"?>
<xdr:wsDr xmlns:xdr="http://schemas.openxmlformats.org/drawingml/2006/spreadsheetDrawing" xmlns:a="http://schemas.openxmlformats.org/drawingml/2006/main">
  <xdr:twoCellAnchor>
    <xdr:from>
      <xdr:col>16</xdr:col>
      <xdr:colOff>114300</xdr:colOff>
      <xdr:row>0</xdr:row>
      <xdr:rowOff>0</xdr:rowOff>
    </xdr:from>
    <xdr:to>
      <xdr:col>16</xdr:col>
      <xdr:colOff>1263650</xdr:colOff>
      <xdr:row>2</xdr:row>
      <xdr:rowOff>69850</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37394E9A-0666-443E-AB99-1F392C10F4D2}"/>
            </a:ext>
          </a:extLst>
        </xdr:cNvPr>
        <xdr:cNvSpPr/>
      </xdr:nvSpPr>
      <xdr:spPr>
        <a:xfrm>
          <a:off x="10102850" y="0"/>
          <a:ext cx="1149350" cy="438150"/>
        </a:xfrm>
        <a:prstGeom prst="leftArrow">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t>Volver listado</a:t>
          </a:r>
        </a:p>
      </xdr:txBody>
    </xdr:sp>
    <xdr:clientData/>
  </xdr:twoCellAnchor>
</xdr:wsDr>
</file>

<file path=xl/persons/person.xml><?xml version="1.0" encoding="utf-8"?>
<personList xmlns="http://schemas.microsoft.com/office/spreadsheetml/2018/threadedcomments" xmlns:x="http://schemas.openxmlformats.org/spreadsheetml/2006/main">
  <person displayName="Brayan Sebastian Diaz Gomez" id="{E643DE6F-69B5-4F03-A70F-F12CF83C4D9F}" userId="bsediazg@poligran.edu.co" providerId="PeoplePicker"/>
  <person displayName="Carlos Gustavo Rincon Quinones" id="{87BDFB56-6C54-40A4-9C3B-432C1004FA74}" userId="cgrincon@poligran.edu.co" providerId="PeoplePicker"/>
  <person displayName="Jhordan Stiven Saenz Tibasosa" id="{D83AFB05-4520-8341-825D-1B36443B5B65}" userId="jstsaenzt@poligran.edu.co" providerId="PeoplePicker"/>
  <person displayName="Lina Vanessa Gonzalez Duran" id="{42921923-7C13-41B2-9B66-972F95319464}" userId="lvgonzalez@poligran.edu.co" providerId="PeoplePicker"/>
  <person displayName="Brayan Sebastian Diaz Gomez" id="{466B853F-247C-46A2-822B-90D51569B91C}" userId="S::bsediazg@poligran.edu.co::cf574df8-574b-4ab3-addb-82768fc974c4" providerId="AD"/>
  <person displayName="Carlos Gustavo Rincon Quinones" id="{D62FA2D2-AB55-4408-AECF-3AF642AC1D8F}" userId="S::cgrincon@poligran.edu.co::b0a26f32-2b7a-4b5b-b359-67c3b91947bd" providerId="AD"/>
  <person displayName="David Ricciulli Duarte" id="{C7A90D29-042F-9446-92C4-E01DB92E3C5A}" userId="S::dricciul@poligran.edu.co::b6c81d0d-d0d8-4447-9b72-69a126c5cb5b" providerId="AD"/>
  <person displayName="Andrea Carmona Guerra" id="{5BE3EBDB-C55A-4935-B73E-013A1B61BD13}" userId="S::accarmona@poligran.edu.co::c1106e70-5063-43ba-bfe9-5a1feeced35d" providerId="AD"/>
  <person displayName="Jhordan Stiven Saenz Tibasosa" id="{0F7F95E1-7109-491F-AA0B-7F38F316A090}" userId="S::jstsaenzt@poligran.edu.co::f2828b3b-1fbd-42fd-9695-e2639f1c3428" providerId="AD"/>
  <person displayName="Lina Vanessa Gonzalez Duran" id="{79EB2929-2D62-491D-805A-6E232AA5FD26}" userId="S::lvgonzalez@poligran.edu.co::19fdb4c4-61c4-463c-88b4-f903363fd94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89EB99-0998-4517-BAC0-4C5A0F76CC54}" name="TINDICADORES" displayName="TINDICADORES" ref="A1:J168" totalsRowShown="0" headerRowDxfId="13" headerRowBorderDxfId="12" tableBorderDxfId="11" totalsRowBorderDxfId="10">
  <autoFilter ref="A1:J168" xr:uid="{B789EB99-0998-4517-BAC0-4C5A0F76CC54}"/>
  <tableColumns count="10">
    <tableColumn id="1" xr3:uid="{463F5063-1E8D-42B7-9877-C3FE7F2C18AF}" name="Factor" dataDxfId="9" dataCellStyle="Normal 2"/>
    <tableColumn id="2" xr3:uid="{B681503F-0EF7-4E07-ACAC-929E57D45604}" name="SUBCAPÍTULO/CARACTERÍSTICA" dataDxfId="8" dataCellStyle="Normal 2"/>
    <tableColumn id="11" xr3:uid="{8246FF65-239B-4CA9-B556-0AC97FC43FFB}" name="Orden" dataDxfId="7" dataCellStyle="Normal 2"/>
    <tableColumn id="3" xr3:uid="{B3591847-E0B8-46E7-BCA0-5EE4C0AD1153}" name="Tabla No" dataDxfId="6"/>
    <tableColumn id="8" xr3:uid="{A0A95D6F-0B05-4E79-B21D-30E44AB6485A}" name="Gráfico" dataDxfId="5"/>
    <tableColumn id="4" xr3:uid="{F3F8766F-7DFE-4165-85A4-B91912C76649}" name="Nombre" dataDxfId="4" dataCellStyle="Normal 2"/>
    <tableColumn id="5" xr3:uid="{B75B9371-721F-4950-BE98-7B2182DD8241}" name="Fuente" dataDxfId="3" dataCellStyle="Normal 2"/>
    <tableColumn id="6" xr3:uid="{421DA0F1-BF5D-4FA5-98A8-8D8EF1DDCCC8}" name="Responsable Información" dataDxfId="2" dataCellStyle="Normal 2"/>
    <tableColumn id="7" xr3:uid="{858C85A5-52C1-4364-857C-A45A92F79F1F}" name="Enlace" dataDxfId="1" dataCellStyle="Normal 2"/>
    <tableColumn id="9" xr3:uid="{805696FA-E018-4147-83FF-F7F49C83F322}" name="Observaciones" dataDxfId="0" dataCellStyle="Normal 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42" dT="2025-08-22T22:50:19.79" personId="{5BE3EBDB-C55A-4935-B73E-013A1B61BD13}" id="{626C2689-5716-40F0-8280-3CB90ADAB05F}">
    <text xml:space="preserve">La tabla no corresponde al nombre en el indice </text>
  </threadedComment>
</ThreadedComments>
</file>

<file path=xl/threadedComments/threadedComment2.xml><?xml version="1.0" encoding="utf-8"?>
<ThreadedComments xmlns="http://schemas.microsoft.com/office/spreadsheetml/2018/threadedcomments" xmlns:x="http://schemas.openxmlformats.org/spreadsheetml/2006/main">
  <threadedComment ref="J4" dT="2025-08-21T22:43:30.16" personId="{D62FA2D2-AB55-4408-AECF-3AF642AC1D8F}" id="{FC2DC2B6-1274-478D-8CED-84CDBE778630}">
    <text xml:space="preserve">@Brayan Sebastian Diaz Gomez me puede echar una mano porfavor  actualizando a 2025-1, 
tengo acceso a los datos pero no se cuales son los oficiales reportados. </text>
    <mentions>
      <mention mentionpersonId="{E643DE6F-69B5-4F03-A70F-F12CF83C4D9F}" mentionId="{5E4D0E41-0183-4964-813D-496654BE8275}" startIndex="0" length="28"/>
    </mentions>
  </threadedComment>
  <threadedComment ref="J4" dT="2025-08-22T14:10:16.20" personId="{466B853F-247C-46A2-822B-90D51569B91C}" id="{63988C85-46CA-421C-846F-BB4AB7E8D9A7}" parentId="{FC2DC2B6-1274-478D-8CED-84CDBE778630}">
    <text>@Carlos Gustavo Rincon Quinones Listo</text>
    <mentions>
      <mention mentionpersonId="{87BDFB56-6C54-40A4-9C3B-432C1004FA74}" mentionId="{3CFB573A-CDFB-4880-A478-8E81A941AA9F}" startIndex="0" length="31"/>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A13" dT="2026-09-17T14:53:12.92" personId="{466B853F-247C-46A2-822B-90D51569B91C}" id="{D9B7782F-6EC5-48D9-A9D0-DE79EBAECF5A}">
    <text>@Carlos Gustavo Rincon Quinones 2026-1 revisar por fa estos son los datos que me dan</text>
    <mentions>
      <mention mentionpersonId="{87BDFB56-6C54-40A4-9C3B-432C1004FA74}" mentionId="{1FC8628F-6F39-4A7E-ADFB-53158D371C29}" startIndex="0" length="31"/>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5-05-19T20:54:14.15" personId="{5BE3EBDB-C55A-4935-B73E-013A1B61BD13}" id="{1F11D3BF-3541-47A0-A621-8054405CAE3E}">
    <text>Buenas tardes, 
@Lina Vanessa Gonzalez Duran 
Desde Huella se debe anexar las becas para familiares que no son contabilizadas por recursos humanos, estos 38 corresponden a colaboradores que recibieron auxilios educativos, becas impulso, y becas huella pregrado y posgrado (que firmaron pagare)</text>
    <mentions>
      <mention mentionpersonId="{42921923-7C13-41B2-9B66-972F95319464}" mentionId="{1CFDFA70-BDBA-439B-85D8-376A1A1DA732}" startIndex="17" length="28"/>
    </mentions>
  </threadedComment>
  <threadedComment ref="L6" dT="2025-05-22T22:41:51.08" personId="{79EB2929-2D62-491D-805A-6E232AA5FD26}" id="{1F839C55-E3B9-42F7-8455-CE196847D4BA}" parentId="{1F11D3BF-3541-47A0-A621-8054405CAE3E}">
    <text xml:space="preserve">Se agregan 26 beneficiados de beca por familiar de colaborador
</text>
  </threadedComment>
  <threadedComment ref="M6" dT="2025-08-20T21:07:32.98" personId="{5BE3EBDB-C55A-4935-B73E-013A1B61BD13}" id="{D218375D-21E8-42B2-A932-06AAC2FF169D}">
    <text xml:space="preserve">Desde Huella se debe anexar las becas para familiares que no son contabilizadas por recursos humanos, estos 82 corresponden a colaboradores que recibieron auxilios educativos, becas impulso, y becas huella pregrado y posgrado (que firmaron pagare) @Lina Vanessa Gonzalez Duran </text>
    <mentions>
      <mention mentionpersonId="{42921923-7C13-41B2-9B66-972F95319464}" mentionId="{B245926B-9344-4076-AA92-11BB6BF0EBD9}" startIndex="248" length="28"/>
    </mentions>
  </threadedComment>
  <threadedComment ref="M6" dT="2025-08-21T18:44:03.47" personId="{79EB2929-2D62-491D-805A-6E232AA5FD26}" id="{0E5F25CC-7517-48B8-96EE-4D6D5129579D}" parentId="{D218375D-21E8-42B2-A932-06AAC2FF169D}">
    <text>Confirmo se sumaron 38 becas de familiar de colaborador otorgadas en 2025-1</text>
  </threadedComment>
</ThreadedComments>
</file>

<file path=xl/threadedComments/threadedComment5.xml><?xml version="1.0" encoding="utf-8"?>
<ThreadedComments xmlns="http://schemas.microsoft.com/office/spreadsheetml/2018/threadedcomments" xmlns:x="http://schemas.openxmlformats.org/spreadsheetml/2006/main">
  <threadedComment ref="B2" dT="2025-09-09T13:25:43.07" personId="{D62FA2D2-AB55-4408-AECF-3AF642AC1D8F}" id="{3300AFA2-93C9-4C4D-8EA2-9B9AE1923681}">
    <text>@Carlos Gustavo Rincon Quinones actualizar datos</text>
    <mentions>
      <mention mentionpersonId="{87BDFB56-6C54-40A4-9C3B-432C1004FA74}" mentionId="{7FCCB6B3-80B1-4412-913F-4728ECA4583B}" startIndex="0" length="31"/>
    </mentions>
  </threadedComment>
  <threadedComment ref="B2" dT="2025-09-09T13:25:57.07" personId="{D62FA2D2-AB55-4408-AECF-3AF642AC1D8F}" id="{E883716B-3542-4C41-8A67-A0CA62803254}" parentId="{3300AFA2-93C9-4C4D-8EA2-9B9AE1923681}">
    <text>Y titulo</text>
  </threadedComment>
</ThreadedComments>
</file>

<file path=xl/threadedComments/threadedComment6.xml><?xml version="1.0" encoding="utf-8"?>
<ThreadedComments xmlns="http://schemas.microsoft.com/office/spreadsheetml/2018/threadedcomments" xmlns:x="http://schemas.openxmlformats.org/spreadsheetml/2006/main">
  <threadedComment ref="A4" dT="2025-09-11T19:40:18.43" personId="{C7A90D29-042F-9446-92C4-E01DB92E3C5A}" id="{AB43861E-1344-864D-A8B9-B60885629CC4}">
    <text>@Jhordan Stiven Saenz TibasosaHola, Jhordan. Debemos desglosar la información de los resultados por unidad académica aquí.</text>
    <mentions>
      <mention mentionpersonId="{D83AFB05-4520-8341-825D-1B36443B5B65}" mentionId="{EBD86B58-CEF0-5144-B334-D565CE156382}" startIndex="0" length="30"/>
    </mentions>
  </threadedComment>
  <threadedComment ref="A4" dT="2025-09-12T17:12:59.40" personId="{0F7F95E1-7109-491F-AA0B-7F38F316A090}" id="{44B4E840-D43E-4F99-B808-9522DFEF452A}" parentId="{AB43861E-1344-864D-A8B9-B60885629CC4}">
    <text>Listo, ya se actualizó en esta tabla la información, son 122 contando a Jenny que no se había contado en el cruce.</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5" Type="http://schemas.microsoft.com/office/2019/04/relationships/documenttask" Target="../documenttasks/documenttask1.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 Id="rId5" Type="http://schemas.microsoft.com/office/2019/04/relationships/documenttask" Target="../documenttasks/documenttask2.x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5.xml"/><Relationship Id="rId5" Type="http://schemas.microsoft.com/office/2019/04/relationships/documenttask" Target="../documenttasks/documenttask3.xml"/><Relationship Id="rId4" Type="http://schemas.microsoft.com/office/2017/10/relationships/threadedComment" Target="../threadedComments/threadedComment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6.xml"/><Relationship Id="rId4" Type="http://schemas.microsoft.com/office/2017/10/relationships/threadedComment" Target="../threadedComments/threadedComment5.xml"/></Relationships>
</file>

<file path=xl/worksheets/_rels/sheet30.xml.rels><?xml version="1.0" encoding="UTF-8" standalone="yes"?>
<Relationships xmlns="http://schemas.openxmlformats.org/package/2006/relationships"><Relationship Id="rId8" Type="http://schemas.openxmlformats.org/officeDocument/2006/relationships/hyperlink" Target="https://journal.poligran.edu.co/index.php/desafios" TargetMode="External"/><Relationship Id="rId3" Type="http://schemas.openxmlformats.org/officeDocument/2006/relationships/hyperlink" Target="https://journal.poligran.edu.co/index.php/poliantea" TargetMode="External"/><Relationship Id="rId7" Type="http://schemas.openxmlformats.org/officeDocument/2006/relationships/hyperlink" Target="https://journal.poligran.edu.co/index.php/gsst" TargetMode="External"/><Relationship Id="rId2" Type="http://schemas.openxmlformats.org/officeDocument/2006/relationships/hyperlink" Target="https://journal.poligran.edu.co/index.php/puntodevista" TargetMode="External"/><Relationship Id="rId1" Type="http://schemas.openxmlformats.org/officeDocument/2006/relationships/hyperlink" Target="https://journal.poligran.edu.co/index.php/panorama" TargetMode="External"/><Relationship Id="rId6" Type="http://schemas.openxmlformats.org/officeDocument/2006/relationships/hyperlink" Target="https://journal.poligran.edu.co/index.php/prototypo/index" TargetMode="External"/><Relationship Id="rId11" Type="http://schemas.openxmlformats.org/officeDocument/2006/relationships/drawing" Target="../drawings/drawing27.xml"/><Relationship Id="rId5" Type="http://schemas.openxmlformats.org/officeDocument/2006/relationships/hyperlink" Target="https://journal.poligran.edu.co/index.php/elementos" TargetMode="External"/><Relationship Id="rId10" Type="http://schemas.openxmlformats.org/officeDocument/2006/relationships/hyperlink" Target="https://journal.poligran.edu.co/index.php/posibilidades" TargetMode="External"/><Relationship Id="rId4" Type="http://schemas.openxmlformats.org/officeDocument/2006/relationships/hyperlink" Target="https://journal.poligran.edu.co/index.php/likan" TargetMode="External"/><Relationship Id="rId9" Type="http://schemas.openxmlformats.org/officeDocument/2006/relationships/hyperlink" Target="https://journal.poligran.edu.co/index.php/ods" TargetMode="Externa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1.bin"/></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5.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72.xml"/><Relationship Id="rId5" Type="http://schemas.microsoft.com/office/2019/04/relationships/documenttask" Target="../documenttasks/documenttask4.xml"/><Relationship Id="rId4" Type="http://schemas.microsoft.com/office/2017/10/relationships/threadedComment" Target="../threadedComments/threadedComment6.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3.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4.xml.rels><?xml version="1.0" encoding="UTF-8" standalone="yes"?>
<Relationships xmlns="http://schemas.openxmlformats.org/package/2006/relationships"><Relationship Id="rId1" Type="http://schemas.openxmlformats.org/officeDocument/2006/relationships/drawing" Target="../drawings/drawing111.xml"/></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112.xml"/></Relationships>
</file>

<file path=xl/worksheets/_rels/sheet116.xml.rels><?xml version="1.0" encoding="UTF-8" standalone="yes"?>
<Relationships xmlns="http://schemas.openxmlformats.org/package/2006/relationships"><Relationship Id="rId1" Type="http://schemas.openxmlformats.org/officeDocument/2006/relationships/drawing" Target="../drawings/drawing113.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14.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115.xml"/></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116.x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118.xml"/></Relationships>
</file>

<file path=xl/worksheets/_rels/sheet122.xml.rels><?xml version="1.0" encoding="UTF-8" standalone="yes"?>
<Relationships xmlns="http://schemas.openxmlformats.org/package/2006/relationships"><Relationship Id="rId1" Type="http://schemas.openxmlformats.org/officeDocument/2006/relationships/drawing" Target="../drawings/drawing119.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20.x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21.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122.xml"/></Relationships>
</file>

<file path=xl/worksheets/_rels/sheet126.xml.rels><?xml version="1.0" encoding="UTF-8" standalone="yes"?>
<Relationships xmlns="http://schemas.openxmlformats.org/package/2006/relationships"><Relationship Id="rId1" Type="http://schemas.openxmlformats.org/officeDocument/2006/relationships/drawing" Target="../drawings/drawing123.xml"/></Relationships>
</file>

<file path=xl/worksheets/_rels/sheet127.xml.rels><?xml version="1.0" encoding="UTF-8" standalone="yes"?>
<Relationships xmlns="http://schemas.openxmlformats.org/package/2006/relationships"><Relationship Id="rId1" Type="http://schemas.openxmlformats.org/officeDocument/2006/relationships/drawing" Target="../drawings/drawing124.xml"/></Relationships>
</file>

<file path=xl/worksheets/_rels/sheet128.xml.rels><?xml version="1.0" encoding="UTF-8" standalone="yes"?>
<Relationships xmlns="http://schemas.openxmlformats.org/package/2006/relationships"><Relationship Id="rId1" Type="http://schemas.openxmlformats.org/officeDocument/2006/relationships/drawing" Target="../drawings/drawing125.xml"/></Relationships>
</file>

<file path=xl/worksheets/_rels/sheet129.xml.rels><?xml version="1.0" encoding="UTF-8" standalone="yes"?>
<Relationships xmlns="http://schemas.openxmlformats.org/package/2006/relationships"><Relationship Id="rId1" Type="http://schemas.openxmlformats.org/officeDocument/2006/relationships/drawing" Target="../drawings/drawing126.xml"/></Relationships>
</file>

<file path=xl/worksheets/_rels/sheet130.xml.rels><?xml version="1.0" encoding="UTF-8" standalone="yes"?>
<Relationships xmlns="http://schemas.openxmlformats.org/package/2006/relationships"><Relationship Id="rId1" Type="http://schemas.openxmlformats.org/officeDocument/2006/relationships/drawing" Target="../drawings/drawing127.xml"/></Relationships>
</file>

<file path=xl/worksheets/_rels/sheet131.xml.rels><?xml version="1.0" encoding="UTF-8" standalone="yes"?>
<Relationships xmlns="http://schemas.openxmlformats.org/package/2006/relationships"><Relationship Id="rId1" Type="http://schemas.openxmlformats.org/officeDocument/2006/relationships/drawing" Target="../drawings/drawing128.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29.xml"/></Relationships>
</file>

<file path=xl/worksheets/_rels/sheet133.xml.rels><?xml version="1.0" encoding="UTF-8" standalone="yes"?>
<Relationships xmlns="http://schemas.openxmlformats.org/package/2006/relationships"><Relationship Id="rId1" Type="http://schemas.openxmlformats.org/officeDocument/2006/relationships/drawing" Target="../drawings/drawing130.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131.xml"/></Relationships>
</file>

<file path=xl/worksheets/_rels/sheet135.xml.rels><?xml version="1.0" encoding="UTF-8" standalone="yes"?>
<Relationships xmlns="http://schemas.openxmlformats.org/package/2006/relationships"><Relationship Id="rId1" Type="http://schemas.openxmlformats.org/officeDocument/2006/relationships/drawing" Target="../drawings/drawing132.xml"/></Relationships>
</file>

<file path=xl/worksheets/_rels/sheet136.xml.rels><?xml version="1.0" encoding="UTF-8" standalone="yes"?>
<Relationships xmlns="http://schemas.openxmlformats.org/package/2006/relationships"><Relationship Id="rId1" Type="http://schemas.openxmlformats.org/officeDocument/2006/relationships/drawing" Target="../drawings/drawing133.xml"/></Relationships>
</file>

<file path=xl/worksheets/_rels/sheet137.xml.rels><?xml version="1.0" encoding="UTF-8" standalone="yes"?>
<Relationships xmlns="http://schemas.openxmlformats.org/package/2006/relationships"><Relationship Id="rId1" Type="http://schemas.openxmlformats.org/officeDocument/2006/relationships/drawing" Target="../drawings/drawing134.x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135.xml"/></Relationships>
</file>

<file path=xl/worksheets/_rels/sheet139.xml.rels><?xml version="1.0" encoding="UTF-8" standalone="yes"?>
<Relationships xmlns="http://schemas.openxmlformats.org/package/2006/relationships"><Relationship Id="rId1" Type="http://schemas.openxmlformats.org/officeDocument/2006/relationships/drawing" Target="../drawings/drawing136.xml"/></Relationships>
</file>

<file path=xl/worksheets/_rels/sheet140.xml.rels><?xml version="1.0" encoding="UTF-8" standalone="yes"?>
<Relationships xmlns="http://schemas.openxmlformats.org/package/2006/relationships"><Relationship Id="rId1" Type="http://schemas.openxmlformats.org/officeDocument/2006/relationships/drawing" Target="../drawings/drawing137.xml"/></Relationships>
</file>

<file path=xl/worksheets/_rels/sheet141.xml.rels><?xml version="1.0" encoding="UTF-8" standalone="yes"?>
<Relationships xmlns="http://schemas.openxmlformats.org/package/2006/relationships"><Relationship Id="rId1" Type="http://schemas.openxmlformats.org/officeDocument/2006/relationships/drawing" Target="../drawings/drawing138.xml"/></Relationships>
</file>

<file path=xl/worksheets/_rels/sheet142.xml.rels><?xml version="1.0" encoding="UTF-8" standalone="yes"?>
<Relationships xmlns="http://schemas.openxmlformats.org/package/2006/relationships"><Relationship Id="rId1" Type="http://schemas.openxmlformats.org/officeDocument/2006/relationships/drawing" Target="../drawings/drawing139.xml"/></Relationships>
</file>

<file path=xl/worksheets/_rels/sheet143.xml.rels><?xml version="1.0" encoding="UTF-8" standalone="yes"?>
<Relationships xmlns="http://schemas.openxmlformats.org/package/2006/relationships"><Relationship Id="rId1" Type="http://schemas.openxmlformats.org/officeDocument/2006/relationships/drawing" Target="../drawings/drawing140.xml"/></Relationships>
</file>

<file path=xl/worksheets/_rels/sheet144.xml.rels><?xml version="1.0" encoding="UTF-8" standalone="yes"?>
<Relationships xmlns="http://schemas.openxmlformats.org/package/2006/relationships"><Relationship Id="rId1" Type="http://schemas.openxmlformats.org/officeDocument/2006/relationships/drawing" Target="../drawings/drawing141.xml"/></Relationships>
</file>

<file path=xl/worksheets/_rels/sheet145.xml.rels><?xml version="1.0" encoding="UTF-8" standalone="yes"?>
<Relationships xmlns="http://schemas.openxmlformats.org/package/2006/relationships"><Relationship Id="rId1" Type="http://schemas.openxmlformats.org/officeDocument/2006/relationships/drawing" Target="../drawings/drawing142.xml"/></Relationships>
</file>

<file path=xl/worksheets/_rels/sheet146.xml.rels><?xml version="1.0" encoding="UTF-8" standalone="yes"?>
<Relationships xmlns="http://schemas.openxmlformats.org/package/2006/relationships"><Relationship Id="rId1" Type="http://schemas.openxmlformats.org/officeDocument/2006/relationships/drawing" Target="../drawings/drawing143.xml"/></Relationships>
</file>

<file path=xl/worksheets/_rels/sheet147.xml.rels><?xml version="1.0" encoding="UTF-8" standalone="yes"?>
<Relationships xmlns="http://schemas.openxmlformats.org/package/2006/relationships"><Relationship Id="rId1" Type="http://schemas.openxmlformats.org/officeDocument/2006/relationships/drawing" Target="../drawings/drawing144.xml"/></Relationships>
</file>

<file path=xl/worksheets/_rels/sheet148.xml.rels><?xml version="1.0" encoding="UTF-8" standalone="yes"?>
<Relationships xmlns="http://schemas.openxmlformats.org/package/2006/relationships"><Relationship Id="rId1" Type="http://schemas.openxmlformats.org/officeDocument/2006/relationships/drawing" Target="../drawings/drawing145.xml"/></Relationships>
</file>

<file path=xl/worksheets/_rels/sheet149.xml.rels><?xml version="1.0" encoding="UTF-8" standalone="yes"?>
<Relationships xmlns="http://schemas.openxmlformats.org/package/2006/relationships"><Relationship Id="rId1" Type="http://schemas.openxmlformats.org/officeDocument/2006/relationships/drawing" Target="../drawings/drawing146.xml"/></Relationships>
</file>

<file path=xl/worksheets/_rels/sheet150.xml.rels><?xml version="1.0" encoding="UTF-8" standalone="yes"?>
<Relationships xmlns="http://schemas.openxmlformats.org/package/2006/relationships"><Relationship Id="rId1" Type="http://schemas.openxmlformats.org/officeDocument/2006/relationships/drawing" Target="../drawings/drawing147.xml"/></Relationships>
</file>

<file path=xl/worksheets/_rels/sheet151.xml.rels><?xml version="1.0" encoding="UTF-8" standalone="yes"?>
<Relationships xmlns="http://schemas.openxmlformats.org/package/2006/relationships"><Relationship Id="rId1" Type="http://schemas.openxmlformats.org/officeDocument/2006/relationships/drawing" Target="../drawings/drawing148.xml"/></Relationships>
</file>

<file path=xl/worksheets/_rels/sheet152.xml.rels><?xml version="1.0" encoding="UTF-8" standalone="yes"?>
<Relationships xmlns="http://schemas.openxmlformats.org/package/2006/relationships"><Relationship Id="rId1" Type="http://schemas.openxmlformats.org/officeDocument/2006/relationships/drawing" Target="../drawings/drawing149.xml"/></Relationships>
</file>

<file path=xl/worksheets/_rels/sheet153.xml.rels><?xml version="1.0" encoding="UTF-8" standalone="yes"?>
<Relationships xmlns="http://schemas.openxmlformats.org/package/2006/relationships"><Relationship Id="rId1" Type="http://schemas.openxmlformats.org/officeDocument/2006/relationships/drawing" Target="../drawings/drawing150.xml"/></Relationships>
</file>

<file path=xl/worksheets/_rels/sheet154.xml.rels><?xml version="1.0" encoding="UTF-8" standalone="yes"?>
<Relationships xmlns="http://schemas.openxmlformats.org/package/2006/relationships"><Relationship Id="rId1" Type="http://schemas.openxmlformats.org/officeDocument/2006/relationships/drawing" Target="../drawings/drawing151.xml"/></Relationships>
</file>

<file path=xl/worksheets/_rels/sheet155.xml.rels><?xml version="1.0" encoding="UTF-8" standalone="yes"?>
<Relationships xmlns="http://schemas.openxmlformats.org/package/2006/relationships"><Relationship Id="rId1" Type="http://schemas.openxmlformats.org/officeDocument/2006/relationships/drawing" Target="../drawings/drawing152.xml"/></Relationships>
</file>

<file path=xl/worksheets/_rels/sheet156.xml.rels><?xml version="1.0" encoding="UTF-8" standalone="yes"?>
<Relationships xmlns="http://schemas.openxmlformats.org/package/2006/relationships"><Relationship Id="rId1" Type="http://schemas.openxmlformats.org/officeDocument/2006/relationships/drawing" Target="../drawings/drawing153.xml"/></Relationships>
</file>

<file path=xl/worksheets/_rels/sheet157.xml.rels><?xml version="1.0" encoding="UTF-8" standalone="yes"?>
<Relationships xmlns="http://schemas.openxmlformats.org/package/2006/relationships"><Relationship Id="rId1" Type="http://schemas.openxmlformats.org/officeDocument/2006/relationships/drawing" Target="../drawings/drawing154.xml"/></Relationships>
</file>

<file path=xl/worksheets/_rels/sheet158.xml.rels><?xml version="1.0" encoding="UTF-8" standalone="yes"?>
<Relationships xmlns="http://schemas.openxmlformats.org/package/2006/relationships"><Relationship Id="rId1" Type="http://schemas.openxmlformats.org/officeDocument/2006/relationships/drawing" Target="../drawings/drawing155.xml"/></Relationships>
</file>

<file path=xl/worksheets/_rels/sheet159.xml.rels><?xml version="1.0" encoding="UTF-8" standalone="yes"?>
<Relationships xmlns="http://schemas.openxmlformats.org/package/2006/relationships"><Relationship Id="rId1" Type="http://schemas.openxmlformats.org/officeDocument/2006/relationships/drawing" Target="../drawings/drawing156.xml"/></Relationships>
</file>

<file path=xl/worksheets/_rels/sheet160.xml.rels><?xml version="1.0" encoding="UTF-8" standalone="yes"?>
<Relationships xmlns="http://schemas.openxmlformats.org/package/2006/relationships"><Relationship Id="rId1" Type="http://schemas.openxmlformats.org/officeDocument/2006/relationships/drawing" Target="../drawings/drawing157.xml"/></Relationships>
</file>

<file path=xl/worksheets/_rels/sheet161.xml.rels><?xml version="1.0" encoding="UTF-8" standalone="yes"?>
<Relationships xmlns="http://schemas.openxmlformats.org/package/2006/relationships"><Relationship Id="rId1" Type="http://schemas.openxmlformats.org/officeDocument/2006/relationships/drawing" Target="../drawings/drawing158.xml"/></Relationships>
</file>

<file path=xl/worksheets/_rels/sheet162.xml.rels><?xml version="1.0" encoding="UTF-8" standalone="yes"?>
<Relationships xmlns="http://schemas.openxmlformats.org/package/2006/relationships"><Relationship Id="rId1" Type="http://schemas.openxmlformats.org/officeDocument/2006/relationships/drawing" Target="../drawings/drawing159.xml"/></Relationships>
</file>

<file path=xl/worksheets/_rels/sheet163.xml.rels><?xml version="1.0" encoding="UTF-8" standalone="yes"?>
<Relationships xmlns="http://schemas.openxmlformats.org/package/2006/relationships"><Relationship Id="rId1" Type="http://schemas.openxmlformats.org/officeDocument/2006/relationships/drawing" Target="../drawings/drawing160.xml"/></Relationships>
</file>

<file path=xl/worksheets/_rels/sheet164.xml.rels><?xml version="1.0" encoding="UTF-8" standalone="yes"?>
<Relationships xmlns="http://schemas.openxmlformats.org/package/2006/relationships"><Relationship Id="rId1" Type="http://schemas.openxmlformats.org/officeDocument/2006/relationships/drawing" Target="../drawings/drawing161.xml"/></Relationships>
</file>

<file path=xl/worksheets/_rels/sheet165.xml.rels><?xml version="1.0" encoding="UTF-8" standalone="yes"?>
<Relationships xmlns="http://schemas.openxmlformats.org/package/2006/relationships"><Relationship Id="rId1" Type="http://schemas.openxmlformats.org/officeDocument/2006/relationships/drawing" Target="../drawings/drawing162.xml"/></Relationships>
</file>

<file path=xl/worksheets/_rels/sheet166.xml.rels><?xml version="1.0" encoding="UTF-8" standalone="yes"?>
<Relationships xmlns="http://schemas.openxmlformats.org/package/2006/relationships"><Relationship Id="rId1" Type="http://schemas.openxmlformats.org/officeDocument/2006/relationships/drawing" Target="../drawings/drawing163.xml"/></Relationships>
</file>

<file path=xl/worksheets/_rels/sheet167.xml.rels><?xml version="1.0" encoding="UTF-8" standalone="yes"?>
<Relationships xmlns="http://schemas.openxmlformats.org/package/2006/relationships"><Relationship Id="rId1" Type="http://schemas.openxmlformats.org/officeDocument/2006/relationships/drawing" Target="../drawings/drawing164.xml"/></Relationships>
</file>

<file path=xl/worksheets/_rels/sheet168.xml.rels><?xml version="1.0" encoding="UTF-8" standalone="yes"?>
<Relationships xmlns="http://schemas.openxmlformats.org/package/2006/relationships"><Relationship Id="rId1" Type="http://schemas.openxmlformats.org/officeDocument/2006/relationships/drawing" Target="../drawings/drawing165.xml"/></Relationships>
</file>

<file path=xl/worksheets/_rels/sheet169.xml.rels><?xml version="1.0" encoding="UTF-8" standalone="yes"?>
<Relationships xmlns="http://schemas.openxmlformats.org/package/2006/relationships"><Relationship Id="rId1" Type="http://schemas.openxmlformats.org/officeDocument/2006/relationships/drawing" Target="../drawings/drawing166.xml"/></Relationships>
</file>

<file path=xl/worksheets/_rels/sheet170.xml.rels><?xml version="1.0" encoding="UTF-8" standalone="yes"?>
<Relationships xmlns="http://schemas.openxmlformats.org/package/2006/relationships"><Relationship Id="rId1" Type="http://schemas.openxmlformats.org/officeDocument/2006/relationships/drawing" Target="../drawings/drawing16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6D4C0-E341-46DE-833A-649BCBBA3DCA}">
  <dimension ref="A1:I168"/>
  <sheetViews>
    <sheetView topLeftCell="A167" workbookViewId="0">
      <selection activeCell="B2" sqref="B2:I168"/>
    </sheetView>
  </sheetViews>
  <sheetFormatPr baseColWidth="10" defaultColWidth="11.44140625" defaultRowHeight="14.4" x14ac:dyDescent="0.3"/>
  <sheetData>
    <row r="1" spans="1:9" ht="43.2" x14ac:dyDescent="0.3">
      <c r="A1" s="327" t="s">
        <v>0</v>
      </c>
      <c r="B1" s="306" t="s">
        <v>1</v>
      </c>
      <c r="C1" s="306" t="s">
        <v>2</v>
      </c>
      <c r="D1" s="306" t="s">
        <v>3</v>
      </c>
      <c r="E1" s="306" t="s">
        <v>4</v>
      </c>
      <c r="F1" s="306" t="s">
        <v>5</v>
      </c>
      <c r="G1" s="306" t="s">
        <v>6</v>
      </c>
      <c r="H1" s="306" t="s">
        <v>7</v>
      </c>
      <c r="I1" s="306" t="s">
        <v>8</v>
      </c>
    </row>
    <row r="2" spans="1:9" ht="86.4" x14ac:dyDescent="0.3">
      <c r="A2" s="328">
        <v>1</v>
      </c>
      <c r="B2" s="307" t="s">
        <v>9</v>
      </c>
      <c r="C2" s="302" t="s">
        <v>10</v>
      </c>
      <c r="D2" s="308">
        <v>1</v>
      </c>
      <c r="E2" s="309"/>
      <c r="F2" s="302" t="s">
        <v>11</v>
      </c>
      <c r="G2" s="302" t="s">
        <v>12</v>
      </c>
      <c r="H2" s="302" t="s">
        <v>13</v>
      </c>
      <c r="I2" s="310" t="s">
        <v>14</v>
      </c>
    </row>
    <row r="3" spans="1:9" ht="72" x14ac:dyDescent="0.3">
      <c r="A3" s="328">
        <v>2</v>
      </c>
      <c r="B3" s="307" t="s">
        <v>9</v>
      </c>
      <c r="C3" s="302" t="s">
        <v>10</v>
      </c>
      <c r="D3" s="308">
        <v>2</v>
      </c>
      <c r="E3" s="309"/>
      <c r="F3" s="302" t="s">
        <v>15</v>
      </c>
      <c r="G3" s="302" t="s">
        <v>12</v>
      </c>
      <c r="H3" s="302" t="s">
        <v>13</v>
      </c>
      <c r="I3" s="310" t="s">
        <v>14</v>
      </c>
    </row>
    <row r="4" spans="1:9" ht="72" x14ac:dyDescent="0.3">
      <c r="A4" s="328">
        <v>3</v>
      </c>
      <c r="B4" s="307" t="s">
        <v>9</v>
      </c>
      <c r="C4" s="302" t="s">
        <v>10</v>
      </c>
      <c r="D4" s="308">
        <v>3</v>
      </c>
      <c r="E4" s="309"/>
      <c r="F4" s="302" t="s">
        <v>16</v>
      </c>
      <c r="G4" s="302" t="s">
        <v>12</v>
      </c>
      <c r="H4" s="302" t="s">
        <v>13</v>
      </c>
      <c r="I4" s="310" t="s">
        <v>14</v>
      </c>
    </row>
    <row r="5" spans="1:9" ht="86.4" x14ac:dyDescent="0.3">
      <c r="A5" s="328">
        <v>4</v>
      </c>
      <c r="B5" s="307" t="s">
        <v>9</v>
      </c>
      <c r="C5" s="302" t="s">
        <v>10</v>
      </c>
      <c r="D5" s="308">
        <v>4</v>
      </c>
      <c r="E5" s="309"/>
      <c r="F5" s="302" t="s">
        <v>17</v>
      </c>
      <c r="G5" s="302" t="s">
        <v>12</v>
      </c>
      <c r="H5" s="302" t="s">
        <v>13</v>
      </c>
      <c r="I5" s="310" t="s">
        <v>14</v>
      </c>
    </row>
    <row r="6" spans="1:9" ht="72" x14ac:dyDescent="0.3">
      <c r="A6" s="328">
        <v>5</v>
      </c>
      <c r="B6" s="307" t="s">
        <v>9</v>
      </c>
      <c r="C6" s="302" t="s">
        <v>10</v>
      </c>
      <c r="D6" s="308">
        <v>5</v>
      </c>
      <c r="E6" s="309"/>
      <c r="F6" s="302" t="s">
        <v>18</v>
      </c>
      <c r="G6" s="302" t="s">
        <v>12</v>
      </c>
      <c r="H6" s="302" t="s">
        <v>13</v>
      </c>
      <c r="I6" s="310" t="s">
        <v>14</v>
      </c>
    </row>
    <row r="7" spans="1:9" ht="57.6" x14ac:dyDescent="0.3">
      <c r="A7" s="328">
        <v>6</v>
      </c>
      <c r="B7" s="307" t="s">
        <v>9</v>
      </c>
      <c r="C7" s="302" t="s">
        <v>10</v>
      </c>
      <c r="D7" s="308">
        <v>6</v>
      </c>
      <c r="E7" s="309"/>
      <c r="F7" s="302" t="s">
        <v>19</v>
      </c>
      <c r="G7" s="302" t="s">
        <v>20</v>
      </c>
      <c r="H7" s="315" t="s">
        <v>21</v>
      </c>
      <c r="I7" s="310" t="s">
        <v>22</v>
      </c>
    </row>
    <row r="8" spans="1:9" ht="72" x14ac:dyDescent="0.3">
      <c r="A8" s="328">
        <v>7</v>
      </c>
      <c r="B8" s="307" t="s">
        <v>9</v>
      </c>
      <c r="C8" s="302" t="s">
        <v>10</v>
      </c>
      <c r="D8" s="309"/>
      <c r="E8" s="308">
        <v>1</v>
      </c>
      <c r="F8" s="302" t="s">
        <v>23</v>
      </c>
      <c r="G8" s="302" t="s">
        <v>24</v>
      </c>
      <c r="H8" s="315" t="s">
        <v>25</v>
      </c>
      <c r="I8" s="318" t="s">
        <v>26</v>
      </c>
    </row>
    <row r="9" spans="1:9" ht="43.2" x14ac:dyDescent="0.3">
      <c r="A9" s="328">
        <v>8</v>
      </c>
      <c r="B9" s="307" t="s">
        <v>9</v>
      </c>
      <c r="C9" s="302" t="s">
        <v>10</v>
      </c>
      <c r="D9" s="309"/>
      <c r="E9" s="308">
        <v>2</v>
      </c>
      <c r="F9" s="302" t="s">
        <v>27</v>
      </c>
      <c r="G9" s="302" t="s">
        <v>24</v>
      </c>
      <c r="H9" s="315" t="s">
        <v>25</v>
      </c>
      <c r="I9" s="318" t="s">
        <v>26</v>
      </c>
    </row>
    <row r="10" spans="1:9" ht="86.4" x14ac:dyDescent="0.3">
      <c r="A10" s="328">
        <v>9</v>
      </c>
      <c r="B10" s="307" t="s">
        <v>9</v>
      </c>
      <c r="C10" s="302" t="s">
        <v>10</v>
      </c>
      <c r="D10" s="308">
        <v>7</v>
      </c>
      <c r="E10" s="309"/>
      <c r="F10" s="302" t="s">
        <v>28</v>
      </c>
      <c r="G10" s="302" t="s">
        <v>20</v>
      </c>
      <c r="H10" s="315" t="s">
        <v>21</v>
      </c>
      <c r="I10" s="310" t="s">
        <v>22</v>
      </c>
    </row>
    <row r="11" spans="1:9" ht="144" x14ac:dyDescent="0.3">
      <c r="A11" s="328">
        <v>10</v>
      </c>
      <c r="B11" s="307" t="s">
        <v>9</v>
      </c>
      <c r="C11" s="302" t="s">
        <v>10</v>
      </c>
      <c r="D11" s="308">
        <v>8</v>
      </c>
      <c r="E11" s="309"/>
      <c r="F11" s="302" t="s">
        <v>29</v>
      </c>
      <c r="G11" s="302" t="s">
        <v>30</v>
      </c>
      <c r="H11" s="315" t="s">
        <v>31</v>
      </c>
      <c r="I11" s="310" t="s">
        <v>32</v>
      </c>
    </row>
    <row r="12" spans="1:9" ht="72" x14ac:dyDescent="0.3">
      <c r="A12" s="328">
        <v>11</v>
      </c>
      <c r="B12" s="307" t="s">
        <v>9</v>
      </c>
      <c r="C12" s="302" t="s">
        <v>10</v>
      </c>
      <c r="D12" s="308">
        <v>9</v>
      </c>
      <c r="E12" s="309"/>
      <c r="F12" s="302" t="s">
        <v>33</v>
      </c>
      <c r="G12" s="302" t="s">
        <v>30</v>
      </c>
      <c r="H12" s="315" t="s">
        <v>31</v>
      </c>
      <c r="I12" s="310" t="s">
        <v>32</v>
      </c>
    </row>
    <row r="13" spans="1:9" ht="57.6" x14ac:dyDescent="0.3">
      <c r="A13" s="328">
        <v>12</v>
      </c>
      <c r="B13" s="307" t="s">
        <v>9</v>
      </c>
      <c r="C13" s="302" t="s">
        <v>10</v>
      </c>
      <c r="D13" s="308">
        <v>10</v>
      </c>
      <c r="E13" s="309"/>
      <c r="F13" s="302" t="s">
        <v>34</v>
      </c>
      <c r="G13" s="302" t="s">
        <v>30</v>
      </c>
      <c r="H13" s="315" t="s">
        <v>31</v>
      </c>
      <c r="I13" s="310" t="s">
        <v>32</v>
      </c>
    </row>
    <row r="14" spans="1:9" ht="86.4" x14ac:dyDescent="0.3">
      <c r="A14" s="328">
        <v>13</v>
      </c>
      <c r="B14" s="310" t="s">
        <v>35</v>
      </c>
      <c r="C14" s="310" t="s">
        <v>36</v>
      </c>
      <c r="D14" s="308">
        <v>23</v>
      </c>
      <c r="E14" s="309"/>
      <c r="F14" s="310" t="s">
        <v>37</v>
      </c>
      <c r="G14" s="310" t="s">
        <v>12</v>
      </c>
      <c r="H14" s="310" t="s">
        <v>13</v>
      </c>
      <c r="I14" s="310" t="s">
        <v>38</v>
      </c>
    </row>
    <row r="15" spans="1:9" ht="72" x14ac:dyDescent="0.3">
      <c r="A15" s="328">
        <v>14</v>
      </c>
      <c r="B15" s="310" t="s">
        <v>35</v>
      </c>
      <c r="C15" s="310" t="s">
        <v>39</v>
      </c>
      <c r="D15" s="308">
        <v>29</v>
      </c>
      <c r="E15" s="309"/>
      <c r="F15" s="310" t="s">
        <v>40</v>
      </c>
      <c r="G15" s="310" t="s">
        <v>41</v>
      </c>
      <c r="H15" s="314" t="s">
        <v>42</v>
      </c>
      <c r="I15" s="310" t="s">
        <v>43</v>
      </c>
    </row>
    <row r="16" spans="1:9" ht="115.2" x14ac:dyDescent="0.3">
      <c r="A16" s="328">
        <v>15</v>
      </c>
      <c r="B16" s="310" t="s">
        <v>44</v>
      </c>
      <c r="C16" s="310" t="s">
        <v>45</v>
      </c>
      <c r="D16" s="308">
        <v>32</v>
      </c>
      <c r="E16" s="309"/>
      <c r="F16" s="310" t="s">
        <v>46</v>
      </c>
      <c r="G16" s="310" t="s">
        <v>47</v>
      </c>
      <c r="H16" s="313" t="s">
        <v>48</v>
      </c>
      <c r="I16" s="310" t="s">
        <v>49</v>
      </c>
    </row>
    <row r="17" spans="1:9" ht="86.4" x14ac:dyDescent="0.3">
      <c r="A17" s="328">
        <v>16</v>
      </c>
      <c r="B17" s="310" t="s">
        <v>44</v>
      </c>
      <c r="C17" s="310" t="s">
        <v>45</v>
      </c>
      <c r="D17" s="308">
        <v>33</v>
      </c>
      <c r="E17" s="309"/>
      <c r="F17" s="310" t="s">
        <v>50</v>
      </c>
      <c r="G17" s="310" t="s">
        <v>47</v>
      </c>
      <c r="H17" s="313" t="s">
        <v>48</v>
      </c>
      <c r="I17" s="310" t="s">
        <v>49</v>
      </c>
    </row>
    <row r="18" spans="1:9" ht="86.4" x14ac:dyDescent="0.3">
      <c r="A18" s="328">
        <v>17</v>
      </c>
      <c r="B18" s="310" t="s">
        <v>44</v>
      </c>
      <c r="C18" s="310" t="s">
        <v>45</v>
      </c>
      <c r="D18" s="308">
        <v>34</v>
      </c>
      <c r="E18" s="309"/>
      <c r="F18" s="310" t="s">
        <v>51</v>
      </c>
      <c r="G18" s="310" t="s">
        <v>47</v>
      </c>
      <c r="H18" s="314" t="s">
        <v>52</v>
      </c>
      <c r="I18" s="310" t="s">
        <v>52</v>
      </c>
    </row>
    <row r="19" spans="1:9" ht="86.4" x14ac:dyDescent="0.3">
      <c r="A19" s="328">
        <v>18</v>
      </c>
      <c r="B19" s="310" t="s">
        <v>44</v>
      </c>
      <c r="C19" s="311" t="s">
        <v>53</v>
      </c>
      <c r="D19" s="309"/>
      <c r="E19" s="308" t="s">
        <v>54</v>
      </c>
      <c r="F19" s="310" t="s">
        <v>55</v>
      </c>
      <c r="G19" s="312" t="s">
        <v>56</v>
      </c>
      <c r="H19" s="314" t="s">
        <v>57</v>
      </c>
      <c r="I19" s="310" t="s">
        <v>58</v>
      </c>
    </row>
    <row r="20" spans="1:9" ht="86.4" x14ac:dyDescent="0.3">
      <c r="A20" s="328">
        <v>19</v>
      </c>
      <c r="B20" s="310" t="s">
        <v>44</v>
      </c>
      <c r="C20" s="311" t="s">
        <v>53</v>
      </c>
      <c r="D20" s="309"/>
      <c r="E20" s="308" t="s">
        <v>59</v>
      </c>
      <c r="F20" s="310" t="s">
        <v>60</v>
      </c>
      <c r="G20" s="312" t="s">
        <v>56</v>
      </c>
      <c r="H20" s="314" t="s">
        <v>57</v>
      </c>
      <c r="I20" s="310" t="s">
        <v>58</v>
      </c>
    </row>
    <row r="21" spans="1:9" ht="86.4" x14ac:dyDescent="0.3">
      <c r="A21" s="328">
        <v>20</v>
      </c>
      <c r="B21" s="310" t="s">
        <v>44</v>
      </c>
      <c r="C21" s="311" t="s">
        <v>53</v>
      </c>
      <c r="D21" s="309"/>
      <c r="E21" s="308" t="s">
        <v>61</v>
      </c>
      <c r="F21" s="310" t="s">
        <v>62</v>
      </c>
      <c r="G21" s="310" t="s">
        <v>63</v>
      </c>
      <c r="H21" s="314" t="s">
        <v>57</v>
      </c>
      <c r="I21" s="310" t="s">
        <v>58</v>
      </c>
    </row>
    <row r="22" spans="1:9" ht="86.4" x14ac:dyDescent="0.3">
      <c r="A22" s="328">
        <v>21</v>
      </c>
      <c r="B22" s="310" t="s">
        <v>44</v>
      </c>
      <c r="C22" s="311" t="s">
        <v>53</v>
      </c>
      <c r="D22" s="308">
        <v>36</v>
      </c>
      <c r="E22" s="309"/>
      <c r="F22" s="310" t="s">
        <v>64</v>
      </c>
      <c r="G22" s="310" t="s">
        <v>63</v>
      </c>
      <c r="H22" s="314" t="s">
        <v>57</v>
      </c>
      <c r="I22" s="310" t="s">
        <v>58</v>
      </c>
    </row>
    <row r="23" spans="1:9" ht="86.4" x14ac:dyDescent="0.3">
      <c r="A23" s="328">
        <v>22</v>
      </c>
      <c r="B23" s="310" t="s">
        <v>44</v>
      </c>
      <c r="C23" s="311" t="s">
        <v>65</v>
      </c>
      <c r="D23" s="308">
        <v>39</v>
      </c>
      <c r="E23" s="309"/>
      <c r="F23" s="310" t="s">
        <v>66</v>
      </c>
      <c r="G23" s="310" t="s">
        <v>67</v>
      </c>
      <c r="H23" s="314" t="s">
        <v>68</v>
      </c>
      <c r="I23" s="310" t="s">
        <v>69</v>
      </c>
    </row>
    <row r="24" spans="1:9" ht="86.4" x14ac:dyDescent="0.3">
      <c r="A24" s="328">
        <v>23</v>
      </c>
      <c r="B24" s="310" t="s">
        <v>44</v>
      </c>
      <c r="C24" s="311" t="s">
        <v>65</v>
      </c>
      <c r="D24" s="308">
        <v>40</v>
      </c>
      <c r="E24" s="309"/>
      <c r="F24" s="310" t="s">
        <v>70</v>
      </c>
      <c r="G24" s="310" t="s">
        <v>67</v>
      </c>
      <c r="H24" s="314" t="s">
        <v>68</v>
      </c>
      <c r="I24" s="310" t="s">
        <v>69</v>
      </c>
    </row>
    <row r="25" spans="1:9" ht="86.4" x14ac:dyDescent="0.3">
      <c r="A25" s="328">
        <v>24</v>
      </c>
      <c r="B25" s="310" t="s">
        <v>44</v>
      </c>
      <c r="C25" s="311" t="s">
        <v>65</v>
      </c>
      <c r="D25" s="308">
        <v>41</v>
      </c>
      <c r="E25" s="309"/>
      <c r="F25" s="310" t="s">
        <v>71</v>
      </c>
      <c r="G25" s="310" t="s">
        <v>67</v>
      </c>
      <c r="H25" s="314" t="s">
        <v>68</v>
      </c>
      <c r="I25" s="310" t="s">
        <v>69</v>
      </c>
    </row>
    <row r="26" spans="1:9" ht="86.4" x14ac:dyDescent="0.3">
      <c r="A26" s="328">
        <v>25</v>
      </c>
      <c r="B26" s="310" t="s">
        <v>44</v>
      </c>
      <c r="C26" s="311" t="s">
        <v>65</v>
      </c>
      <c r="D26" s="308">
        <v>42</v>
      </c>
      <c r="E26" s="309"/>
      <c r="F26" s="310" t="s">
        <v>72</v>
      </c>
      <c r="G26" s="310" t="s">
        <v>67</v>
      </c>
      <c r="H26" s="314" t="s">
        <v>68</v>
      </c>
      <c r="I26" s="310" t="s">
        <v>69</v>
      </c>
    </row>
    <row r="27" spans="1:9" ht="86.4" x14ac:dyDescent="0.3">
      <c r="A27" s="328">
        <v>26</v>
      </c>
      <c r="B27" s="310" t="s">
        <v>44</v>
      </c>
      <c r="C27" s="311" t="s">
        <v>65</v>
      </c>
      <c r="D27" s="308">
        <v>43</v>
      </c>
      <c r="E27" s="309"/>
      <c r="F27" s="310" t="s">
        <v>73</v>
      </c>
      <c r="G27" s="310" t="s">
        <v>67</v>
      </c>
      <c r="H27" s="314" t="s">
        <v>68</v>
      </c>
      <c r="I27" s="310" t="s">
        <v>69</v>
      </c>
    </row>
    <row r="28" spans="1:9" ht="86.4" x14ac:dyDescent="0.3">
      <c r="A28" s="328">
        <v>27</v>
      </c>
      <c r="B28" s="310" t="s">
        <v>44</v>
      </c>
      <c r="C28" s="311" t="s">
        <v>65</v>
      </c>
      <c r="D28" s="308">
        <v>44</v>
      </c>
      <c r="E28" s="309"/>
      <c r="F28" s="310" t="s">
        <v>74</v>
      </c>
      <c r="G28" s="310" t="s">
        <v>75</v>
      </c>
      <c r="H28" s="314" t="s">
        <v>76</v>
      </c>
      <c r="I28" s="310" t="s">
        <v>77</v>
      </c>
    </row>
    <row r="29" spans="1:9" ht="86.4" x14ac:dyDescent="0.3">
      <c r="A29" s="328">
        <v>28</v>
      </c>
      <c r="B29" s="310" t="s">
        <v>44</v>
      </c>
      <c r="C29" s="311" t="s">
        <v>65</v>
      </c>
      <c r="D29" s="309"/>
      <c r="E29" s="308">
        <v>3</v>
      </c>
      <c r="F29" s="310" t="s">
        <v>78</v>
      </c>
      <c r="G29" s="310" t="s">
        <v>79</v>
      </c>
      <c r="H29" s="314" t="s">
        <v>80</v>
      </c>
      <c r="I29" s="310" t="s">
        <v>80</v>
      </c>
    </row>
    <row r="30" spans="1:9" ht="100.8" x14ac:dyDescent="0.3">
      <c r="A30" s="328">
        <v>29</v>
      </c>
      <c r="B30" s="310" t="s">
        <v>44</v>
      </c>
      <c r="C30" s="311" t="s">
        <v>65</v>
      </c>
      <c r="D30" s="308">
        <v>45</v>
      </c>
      <c r="E30" s="308"/>
      <c r="F30" s="310" t="s">
        <v>81</v>
      </c>
      <c r="G30" s="310" t="s">
        <v>79</v>
      </c>
      <c r="H30" s="314" t="s">
        <v>80</v>
      </c>
      <c r="I30" s="310" t="s">
        <v>80</v>
      </c>
    </row>
    <row r="31" spans="1:9" ht="100.8" x14ac:dyDescent="0.3">
      <c r="A31" s="328">
        <v>30</v>
      </c>
      <c r="B31" s="310" t="s">
        <v>44</v>
      </c>
      <c r="C31" s="311" t="s">
        <v>65</v>
      </c>
      <c r="D31" s="308">
        <v>46</v>
      </c>
      <c r="E31" s="309"/>
      <c r="F31" s="310" t="s">
        <v>82</v>
      </c>
      <c r="G31" s="310" t="s">
        <v>79</v>
      </c>
      <c r="H31" s="314" t="s">
        <v>80</v>
      </c>
      <c r="I31" s="310" t="s">
        <v>80</v>
      </c>
    </row>
    <row r="32" spans="1:9" ht="86.4" x14ac:dyDescent="0.3">
      <c r="A32" s="328">
        <v>31</v>
      </c>
      <c r="B32" s="310" t="s">
        <v>44</v>
      </c>
      <c r="C32" s="311" t="s">
        <v>65</v>
      </c>
      <c r="D32" s="308">
        <v>47</v>
      </c>
      <c r="E32" s="309"/>
      <c r="F32" s="310" t="s">
        <v>83</v>
      </c>
      <c r="G32" s="310" t="s">
        <v>79</v>
      </c>
      <c r="H32" s="314" t="s">
        <v>80</v>
      </c>
      <c r="I32" s="310" t="s">
        <v>80</v>
      </c>
    </row>
    <row r="33" spans="1:9" ht="86.4" x14ac:dyDescent="0.3">
      <c r="A33" s="328">
        <v>32</v>
      </c>
      <c r="B33" s="310" t="s">
        <v>44</v>
      </c>
      <c r="C33" s="311" t="s">
        <v>65</v>
      </c>
      <c r="D33" s="308">
        <v>48</v>
      </c>
      <c r="E33" s="309"/>
      <c r="F33" s="310" t="s">
        <v>84</v>
      </c>
      <c r="G33" s="310" t="s">
        <v>79</v>
      </c>
      <c r="H33" s="314" t="s">
        <v>80</v>
      </c>
      <c r="I33" s="310" t="s">
        <v>80</v>
      </c>
    </row>
    <row r="34" spans="1:9" ht="86.4" x14ac:dyDescent="0.3">
      <c r="A34" s="328">
        <v>33</v>
      </c>
      <c r="B34" s="310" t="s">
        <v>44</v>
      </c>
      <c r="C34" s="311" t="s">
        <v>65</v>
      </c>
      <c r="D34" s="309"/>
      <c r="E34" s="308">
        <v>4</v>
      </c>
      <c r="F34" s="310" t="s">
        <v>85</v>
      </c>
      <c r="G34" s="310" t="s">
        <v>79</v>
      </c>
      <c r="H34" s="314" t="s">
        <v>80</v>
      </c>
      <c r="I34" s="310" t="s">
        <v>80</v>
      </c>
    </row>
    <row r="35" spans="1:9" ht="86.4" x14ac:dyDescent="0.3">
      <c r="A35" s="328">
        <v>34</v>
      </c>
      <c r="B35" s="310" t="s">
        <v>44</v>
      </c>
      <c r="C35" s="311" t="s">
        <v>65</v>
      </c>
      <c r="D35" s="308">
        <v>49</v>
      </c>
      <c r="E35" s="309"/>
      <c r="F35" s="310" t="s">
        <v>86</v>
      </c>
      <c r="G35" s="310" t="s">
        <v>79</v>
      </c>
      <c r="H35" s="314" t="s">
        <v>80</v>
      </c>
      <c r="I35" s="310" t="s">
        <v>80</v>
      </c>
    </row>
    <row r="36" spans="1:9" ht="86.4" x14ac:dyDescent="0.3">
      <c r="A36" s="328">
        <v>35</v>
      </c>
      <c r="B36" s="310" t="s">
        <v>44</v>
      </c>
      <c r="C36" s="311" t="s">
        <v>65</v>
      </c>
      <c r="D36" s="308">
        <v>53</v>
      </c>
      <c r="E36" s="309"/>
      <c r="F36" s="310" t="s">
        <v>87</v>
      </c>
      <c r="G36" s="310" t="s">
        <v>88</v>
      </c>
      <c r="H36" s="314" t="s">
        <v>89</v>
      </c>
      <c r="I36" s="310" t="s">
        <v>90</v>
      </c>
    </row>
    <row r="37" spans="1:9" ht="86.4" x14ac:dyDescent="0.3">
      <c r="A37" s="328">
        <v>36</v>
      </c>
      <c r="B37" s="310" t="s">
        <v>44</v>
      </c>
      <c r="C37" s="311" t="s">
        <v>65</v>
      </c>
      <c r="D37" s="309"/>
      <c r="E37" s="308">
        <v>5</v>
      </c>
      <c r="F37" s="310" t="s">
        <v>91</v>
      </c>
      <c r="G37" s="310" t="s">
        <v>92</v>
      </c>
      <c r="H37" s="314" t="s">
        <v>93</v>
      </c>
      <c r="I37" s="310" t="s">
        <v>93</v>
      </c>
    </row>
    <row r="38" spans="1:9" ht="86.4" x14ac:dyDescent="0.3">
      <c r="A38" s="328">
        <v>37</v>
      </c>
      <c r="B38" s="310" t="s">
        <v>44</v>
      </c>
      <c r="C38" s="311" t="s">
        <v>94</v>
      </c>
      <c r="D38" s="308">
        <v>55</v>
      </c>
      <c r="E38" s="309"/>
      <c r="F38" s="310" t="s">
        <v>95</v>
      </c>
      <c r="G38" s="310" t="s">
        <v>88</v>
      </c>
      <c r="H38" s="314" t="s">
        <v>89</v>
      </c>
      <c r="I38" s="310" t="s">
        <v>90</v>
      </c>
    </row>
    <row r="39" spans="1:9" ht="86.4" x14ac:dyDescent="0.3">
      <c r="A39" s="328">
        <v>38</v>
      </c>
      <c r="B39" s="310" t="s">
        <v>44</v>
      </c>
      <c r="C39" s="311" t="s">
        <v>94</v>
      </c>
      <c r="D39" s="308">
        <v>57</v>
      </c>
      <c r="E39" s="309"/>
      <c r="F39" s="310" t="s">
        <v>96</v>
      </c>
      <c r="G39" s="310" t="s">
        <v>88</v>
      </c>
      <c r="H39" s="314" t="s">
        <v>89</v>
      </c>
      <c r="I39" s="310" t="s">
        <v>90</v>
      </c>
    </row>
    <row r="40" spans="1:9" ht="86.4" x14ac:dyDescent="0.3">
      <c r="A40" s="328">
        <v>39</v>
      </c>
      <c r="B40" s="310" t="s">
        <v>44</v>
      </c>
      <c r="C40" s="311" t="s">
        <v>94</v>
      </c>
      <c r="D40" s="308">
        <v>58</v>
      </c>
      <c r="E40" s="309"/>
      <c r="F40" s="310" t="s">
        <v>97</v>
      </c>
      <c r="G40" s="310" t="s">
        <v>88</v>
      </c>
      <c r="H40" s="314" t="s">
        <v>98</v>
      </c>
      <c r="I40" s="310" t="s">
        <v>99</v>
      </c>
    </row>
    <row r="41" spans="1:9" ht="86.4" x14ac:dyDescent="0.35">
      <c r="A41" s="328">
        <v>40</v>
      </c>
      <c r="B41" s="310" t="s">
        <v>44</v>
      </c>
      <c r="C41" s="311" t="s">
        <v>100</v>
      </c>
      <c r="D41" s="308">
        <v>61</v>
      </c>
      <c r="E41" s="309"/>
      <c r="F41" s="310" t="s">
        <v>101</v>
      </c>
      <c r="G41" s="337" t="s">
        <v>102</v>
      </c>
      <c r="H41" s="310" t="s">
        <v>103</v>
      </c>
      <c r="I41" s="310" t="s">
        <v>103</v>
      </c>
    </row>
    <row r="42" spans="1:9" ht="86.4" x14ac:dyDescent="0.35">
      <c r="A42" s="328">
        <v>41</v>
      </c>
      <c r="B42" s="310" t="s">
        <v>44</v>
      </c>
      <c r="C42" s="311" t="s">
        <v>100</v>
      </c>
      <c r="D42" s="308">
        <v>62</v>
      </c>
      <c r="E42" s="309"/>
      <c r="F42" s="310" t="s">
        <v>104</v>
      </c>
      <c r="G42" s="337" t="s">
        <v>102</v>
      </c>
      <c r="H42" s="310" t="s">
        <v>103</v>
      </c>
      <c r="I42" s="310" t="s">
        <v>103</v>
      </c>
    </row>
    <row r="43" spans="1:9" ht="86.4" x14ac:dyDescent="0.35">
      <c r="A43" s="328">
        <v>42</v>
      </c>
      <c r="B43" s="310" t="s">
        <v>44</v>
      </c>
      <c r="C43" s="311" t="s">
        <v>100</v>
      </c>
      <c r="D43" s="308">
        <v>63</v>
      </c>
      <c r="E43" s="309"/>
      <c r="F43" s="310" t="s">
        <v>105</v>
      </c>
      <c r="G43" s="337" t="s">
        <v>102</v>
      </c>
      <c r="H43" s="310" t="s">
        <v>103</v>
      </c>
      <c r="I43" s="310" t="s">
        <v>103</v>
      </c>
    </row>
    <row r="44" spans="1:9" ht="86.4" x14ac:dyDescent="0.35">
      <c r="A44" s="328">
        <v>43</v>
      </c>
      <c r="B44" s="310" t="s">
        <v>44</v>
      </c>
      <c r="C44" s="311" t="s">
        <v>100</v>
      </c>
      <c r="D44" s="308">
        <v>64</v>
      </c>
      <c r="E44" s="309"/>
      <c r="F44" s="310" t="s">
        <v>106</v>
      </c>
      <c r="G44" s="337" t="s">
        <v>102</v>
      </c>
      <c r="H44" s="310" t="s">
        <v>103</v>
      </c>
      <c r="I44" s="310" t="s">
        <v>103</v>
      </c>
    </row>
    <row r="45" spans="1:9" ht="86.4" x14ac:dyDescent="0.35">
      <c r="A45" s="328">
        <v>44</v>
      </c>
      <c r="B45" s="310" t="s">
        <v>44</v>
      </c>
      <c r="C45" s="311" t="s">
        <v>100</v>
      </c>
      <c r="D45" s="308">
        <v>65</v>
      </c>
      <c r="E45" s="309"/>
      <c r="F45" s="310" t="s">
        <v>107</v>
      </c>
      <c r="G45" s="337" t="s">
        <v>102</v>
      </c>
      <c r="H45" s="310" t="s">
        <v>103</v>
      </c>
      <c r="I45" s="310" t="s">
        <v>103</v>
      </c>
    </row>
    <row r="46" spans="1:9" ht="86.4" x14ac:dyDescent="0.35">
      <c r="A46" s="328">
        <v>45</v>
      </c>
      <c r="B46" s="310" t="s">
        <v>44</v>
      </c>
      <c r="C46" s="311" t="s">
        <v>100</v>
      </c>
      <c r="D46" s="308">
        <v>66</v>
      </c>
      <c r="E46" s="309"/>
      <c r="F46" s="310" t="s">
        <v>108</v>
      </c>
      <c r="G46" s="337" t="s">
        <v>102</v>
      </c>
      <c r="H46" s="310" t="s">
        <v>103</v>
      </c>
      <c r="I46" s="310" t="s">
        <v>103</v>
      </c>
    </row>
    <row r="47" spans="1:9" ht="86.4" x14ac:dyDescent="0.35">
      <c r="A47" s="328">
        <v>46</v>
      </c>
      <c r="B47" s="310" t="s">
        <v>44</v>
      </c>
      <c r="C47" s="311" t="s">
        <v>100</v>
      </c>
      <c r="D47" s="308">
        <v>67</v>
      </c>
      <c r="E47" s="309"/>
      <c r="F47" s="310" t="s">
        <v>109</v>
      </c>
      <c r="G47" s="337" t="s">
        <v>102</v>
      </c>
      <c r="H47" s="310" t="s">
        <v>103</v>
      </c>
      <c r="I47" s="310" t="s">
        <v>103</v>
      </c>
    </row>
    <row r="48" spans="1:9" ht="86.4" x14ac:dyDescent="0.35">
      <c r="A48" s="328">
        <v>47</v>
      </c>
      <c r="B48" s="310" t="s">
        <v>44</v>
      </c>
      <c r="C48" s="311" t="s">
        <v>100</v>
      </c>
      <c r="D48" s="309"/>
      <c r="E48" s="308">
        <v>6</v>
      </c>
      <c r="F48" s="310" t="s">
        <v>110</v>
      </c>
      <c r="G48" s="337" t="s">
        <v>102</v>
      </c>
      <c r="H48" s="310" t="s">
        <v>103</v>
      </c>
      <c r="I48" s="310" t="s">
        <v>103</v>
      </c>
    </row>
    <row r="49" spans="1:9" ht="86.4" x14ac:dyDescent="0.35">
      <c r="A49" s="328">
        <v>48</v>
      </c>
      <c r="B49" s="310" t="s">
        <v>44</v>
      </c>
      <c r="C49" s="311" t="s">
        <v>100</v>
      </c>
      <c r="D49" s="308">
        <v>68</v>
      </c>
      <c r="E49" s="309"/>
      <c r="F49" s="310" t="s">
        <v>111</v>
      </c>
      <c r="G49" s="337" t="s">
        <v>102</v>
      </c>
      <c r="H49" s="310" t="s">
        <v>103</v>
      </c>
      <c r="I49" s="310" t="s">
        <v>103</v>
      </c>
    </row>
    <row r="50" spans="1:9" ht="86.4" x14ac:dyDescent="0.35">
      <c r="A50" s="328">
        <v>49</v>
      </c>
      <c r="B50" s="310" t="s">
        <v>44</v>
      </c>
      <c r="C50" s="311" t="s">
        <v>100</v>
      </c>
      <c r="D50" s="308">
        <v>69</v>
      </c>
      <c r="E50" s="309"/>
      <c r="F50" s="310" t="s">
        <v>112</v>
      </c>
      <c r="G50" s="337" t="s">
        <v>102</v>
      </c>
      <c r="H50" s="310" t="s">
        <v>103</v>
      </c>
      <c r="I50" s="310" t="s">
        <v>103</v>
      </c>
    </row>
    <row r="51" spans="1:9" ht="86.4" x14ac:dyDescent="0.35">
      <c r="A51" s="328">
        <v>50</v>
      </c>
      <c r="B51" s="310" t="s">
        <v>44</v>
      </c>
      <c r="C51" s="311" t="s">
        <v>100</v>
      </c>
      <c r="D51" s="308">
        <v>70</v>
      </c>
      <c r="E51" s="309"/>
      <c r="F51" s="310" t="s">
        <v>113</v>
      </c>
      <c r="G51" s="337" t="s">
        <v>102</v>
      </c>
      <c r="H51" s="310" t="s">
        <v>103</v>
      </c>
      <c r="I51" s="310" t="s">
        <v>103</v>
      </c>
    </row>
    <row r="52" spans="1:9" ht="86.4" x14ac:dyDescent="0.35">
      <c r="A52" s="328">
        <v>51</v>
      </c>
      <c r="B52" s="310" t="s">
        <v>44</v>
      </c>
      <c r="C52" s="311" t="s">
        <v>100</v>
      </c>
      <c r="D52" s="308">
        <v>71</v>
      </c>
      <c r="E52" s="309"/>
      <c r="F52" s="310" t="s">
        <v>114</v>
      </c>
      <c r="G52" s="337" t="s">
        <v>102</v>
      </c>
      <c r="H52" s="310" t="s">
        <v>103</v>
      </c>
      <c r="I52" s="310" t="s">
        <v>103</v>
      </c>
    </row>
    <row r="53" spans="1:9" ht="86.4" x14ac:dyDescent="0.35">
      <c r="A53" s="328">
        <v>52</v>
      </c>
      <c r="B53" s="310" t="s">
        <v>44</v>
      </c>
      <c r="C53" s="311" t="s">
        <v>100</v>
      </c>
      <c r="D53" s="308">
        <v>72</v>
      </c>
      <c r="E53" s="309"/>
      <c r="F53" s="310" t="s">
        <v>115</v>
      </c>
      <c r="G53" s="337" t="s">
        <v>102</v>
      </c>
      <c r="H53" s="310" t="s">
        <v>103</v>
      </c>
      <c r="I53" s="310" t="s">
        <v>103</v>
      </c>
    </row>
    <row r="54" spans="1:9" ht="86.4" x14ac:dyDescent="0.35">
      <c r="A54" s="328">
        <v>53</v>
      </c>
      <c r="B54" s="310" t="s">
        <v>44</v>
      </c>
      <c r="C54" s="311" t="s">
        <v>100</v>
      </c>
      <c r="D54" s="308">
        <v>73</v>
      </c>
      <c r="E54" s="309"/>
      <c r="F54" s="310" t="s">
        <v>116</v>
      </c>
      <c r="G54" s="337" t="s">
        <v>102</v>
      </c>
      <c r="H54" s="310" t="s">
        <v>103</v>
      </c>
      <c r="I54" s="310" t="s">
        <v>103</v>
      </c>
    </row>
    <row r="55" spans="1:9" ht="86.4" x14ac:dyDescent="0.35">
      <c r="A55" s="328">
        <v>54</v>
      </c>
      <c r="B55" s="310" t="s">
        <v>44</v>
      </c>
      <c r="C55" s="311" t="s">
        <v>100</v>
      </c>
      <c r="D55" s="309"/>
      <c r="E55" s="308">
        <v>8</v>
      </c>
      <c r="F55" s="310" t="s">
        <v>117</v>
      </c>
      <c r="G55" s="337" t="s">
        <v>102</v>
      </c>
      <c r="H55" s="310" t="s">
        <v>103</v>
      </c>
      <c r="I55" s="310" t="s">
        <v>103</v>
      </c>
    </row>
    <row r="56" spans="1:9" ht="86.4" x14ac:dyDescent="0.35">
      <c r="A56" s="328">
        <v>55</v>
      </c>
      <c r="B56" s="310" t="s">
        <v>44</v>
      </c>
      <c r="C56" s="311" t="s">
        <v>100</v>
      </c>
      <c r="D56" s="308">
        <v>74</v>
      </c>
      <c r="E56" s="309"/>
      <c r="F56" s="310" t="s">
        <v>118</v>
      </c>
      <c r="G56" s="337" t="s">
        <v>102</v>
      </c>
      <c r="H56" s="310" t="s">
        <v>103</v>
      </c>
      <c r="I56" s="310" t="s">
        <v>103</v>
      </c>
    </row>
    <row r="57" spans="1:9" ht="86.4" x14ac:dyDescent="0.35">
      <c r="A57" s="328">
        <v>56</v>
      </c>
      <c r="B57" s="310" t="s">
        <v>44</v>
      </c>
      <c r="C57" s="311" t="s">
        <v>100</v>
      </c>
      <c r="D57" s="308">
        <v>75</v>
      </c>
      <c r="E57" s="309"/>
      <c r="F57" s="310" t="s">
        <v>119</v>
      </c>
      <c r="G57" s="337" t="s">
        <v>102</v>
      </c>
      <c r="H57" s="310" t="s">
        <v>103</v>
      </c>
      <c r="I57" s="310" t="s">
        <v>103</v>
      </c>
    </row>
    <row r="58" spans="1:9" ht="86.4" x14ac:dyDescent="0.35">
      <c r="A58" s="328">
        <v>57</v>
      </c>
      <c r="B58" s="310" t="s">
        <v>44</v>
      </c>
      <c r="C58" s="311" t="s">
        <v>100</v>
      </c>
      <c r="D58" s="308">
        <v>76</v>
      </c>
      <c r="E58" s="309"/>
      <c r="F58" s="310" t="s">
        <v>120</v>
      </c>
      <c r="G58" s="337" t="s">
        <v>102</v>
      </c>
      <c r="H58" s="310" t="s">
        <v>103</v>
      </c>
      <c r="I58" s="310" t="s">
        <v>103</v>
      </c>
    </row>
    <row r="59" spans="1:9" ht="86.4" x14ac:dyDescent="0.35">
      <c r="A59" s="328">
        <v>58</v>
      </c>
      <c r="B59" s="310" t="s">
        <v>44</v>
      </c>
      <c r="C59" s="311" t="s">
        <v>100</v>
      </c>
      <c r="D59" s="308">
        <v>77</v>
      </c>
      <c r="E59" s="309"/>
      <c r="F59" s="310" t="s">
        <v>121</v>
      </c>
      <c r="G59" s="337" t="s">
        <v>102</v>
      </c>
      <c r="H59" s="310" t="s">
        <v>103</v>
      </c>
      <c r="I59" s="310" t="s">
        <v>103</v>
      </c>
    </row>
    <row r="60" spans="1:9" ht="86.4" x14ac:dyDescent="0.35">
      <c r="A60" s="328">
        <v>59</v>
      </c>
      <c r="B60" s="310" t="s">
        <v>122</v>
      </c>
      <c r="C60" s="311" t="s">
        <v>123</v>
      </c>
      <c r="D60" s="308">
        <v>82</v>
      </c>
      <c r="E60" s="309"/>
      <c r="F60" s="310" t="s">
        <v>124</v>
      </c>
      <c r="G60" s="337" t="s">
        <v>41</v>
      </c>
      <c r="H60" s="314" t="s">
        <v>42</v>
      </c>
      <c r="I60" s="310" t="s">
        <v>125</v>
      </c>
    </row>
    <row r="61" spans="1:9" ht="86.4" x14ac:dyDescent="0.35">
      <c r="A61" s="328">
        <v>60</v>
      </c>
      <c r="B61" s="311" t="s">
        <v>122</v>
      </c>
      <c r="C61" s="311" t="s">
        <v>123</v>
      </c>
      <c r="D61" s="308">
        <v>83</v>
      </c>
      <c r="E61" s="309"/>
      <c r="F61" s="310" t="s">
        <v>126</v>
      </c>
      <c r="G61" s="337" t="s">
        <v>41</v>
      </c>
      <c r="H61" s="314" t="s">
        <v>42</v>
      </c>
      <c r="I61" s="310" t="s">
        <v>125</v>
      </c>
    </row>
    <row r="62" spans="1:9" ht="129.6" x14ac:dyDescent="0.3">
      <c r="A62" s="328">
        <v>61</v>
      </c>
      <c r="B62" s="311" t="s">
        <v>122</v>
      </c>
      <c r="C62" s="311" t="s">
        <v>127</v>
      </c>
      <c r="D62" s="308">
        <v>85</v>
      </c>
      <c r="E62" s="309"/>
      <c r="F62" s="310" t="s">
        <v>128</v>
      </c>
      <c r="G62" s="302" t="s">
        <v>12</v>
      </c>
      <c r="H62" s="302" t="s">
        <v>13</v>
      </c>
      <c r="I62" s="310" t="s">
        <v>14</v>
      </c>
    </row>
    <row r="63" spans="1:9" ht="129.6" x14ac:dyDescent="0.3">
      <c r="A63" s="328">
        <v>62</v>
      </c>
      <c r="B63" s="311" t="s">
        <v>122</v>
      </c>
      <c r="C63" s="311" t="s">
        <v>127</v>
      </c>
      <c r="D63" s="308">
        <v>87</v>
      </c>
      <c r="E63" s="309"/>
      <c r="F63" s="310" t="s">
        <v>129</v>
      </c>
      <c r="G63" s="310" t="s">
        <v>130</v>
      </c>
      <c r="H63" s="313" t="s">
        <v>48</v>
      </c>
      <c r="I63" s="310" t="s">
        <v>49</v>
      </c>
    </row>
    <row r="64" spans="1:9" ht="129.6" x14ac:dyDescent="0.3">
      <c r="A64" s="328">
        <v>63</v>
      </c>
      <c r="B64" s="311" t="s">
        <v>122</v>
      </c>
      <c r="C64" s="311" t="s">
        <v>127</v>
      </c>
      <c r="D64" s="309"/>
      <c r="E64" s="308">
        <v>9</v>
      </c>
      <c r="F64" s="310" t="s">
        <v>131</v>
      </c>
      <c r="G64" s="310" t="s">
        <v>130</v>
      </c>
      <c r="H64" s="314" t="s">
        <v>25</v>
      </c>
      <c r="I64" s="318" t="s">
        <v>26</v>
      </c>
    </row>
    <row r="65" spans="1:9" ht="172.8" x14ac:dyDescent="0.3">
      <c r="A65" s="328">
        <v>64</v>
      </c>
      <c r="B65" s="310" t="s">
        <v>132</v>
      </c>
      <c r="C65" s="311" t="s">
        <v>133</v>
      </c>
      <c r="D65" s="308">
        <v>98</v>
      </c>
      <c r="E65" s="309"/>
      <c r="F65" s="310" t="s">
        <v>134</v>
      </c>
      <c r="G65" s="310" t="s">
        <v>135</v>
      </c>
      <c r="H65" s="314" t="s">
        <v>136</v>
      </c>
      <c r="I65" s="310" t="s">
        <v>137</v>
      </c>
    </row>
    <row r="66" spans="1:9" ht="100.8" x14ac:dyDescent="0.3">
      <c r="A66" s="328">
        <v>65</v>
      </c>
      <c r="B66" s="310" t="s">
        <v>132</v>
      </c>
      <c r="C66" s="311" t="s">
        <v>133</v>
      </c>
      <c r="D66" s="308">
        <v>99</v>
      </c>
      <c r="E66" s="309"/>
      <c r="F66" s="310" t="s">
        <v>138</v>
      </c>
      <c r="G66" s="310" t="s">
        <v>135</v>
      </c>
      <c r="H66" s="314" t="s">
        <v>136</v>
      </c>
      <c r="I66" s="310" t="s">
        <v>137</v>
      </c>
    </row>
    <row r="67" spans="1:9" ht="144" x14ac:dyDescent="0.3">
      <c r="A67" s="328">
        <v>66</v>
      </c>
      <c r="B67" s="310" t="s">
        <v>132</v>
      </c>
      <c r="C67" s="311" t="s">
        <v>133</v>
      </c>
      <c r="D67" s="308">
        <v>100</v>
      </c>
      <c r="E67" s="309"/>
      <c r="F67" s="310" t="s">
        <v>139</v>
      </c>
      <c r="G67" s="310" t="s">
        <v>135</v>
      </c>
      <c r="H67" s="314" t="s">
        <v>136</v>
      </c>
      <c r="I67" s="310" t="s">
        <v>137</v>
      </c>
    </row>
    <row r="68" spans="1:9" ht="100.8" x14ac:dyDescent="0.3">
      <c r="A68" s="328">
        <v>67</v>
      </c>
      <c r="B68" s="310" t="s">
        <v>132</v>
      </c>
      <c r="C68" s="311" t="s">
        <v>133</v>
      </c>
      <c r="D68" s="308">
        <v>101</v>
      </c>
      <c r="E68" s="309"/>
      <c r="F68" s="310" t="s">
        <v>140</v>
      </c>
      <c r="G68" s="310" t="s">
        <v>135</v>
      </c>
      <c r="H68" s="313" t="s">
        <v>48</v>
      </c>
      <c r="I68" s="310" t="s">
        <v>49</v>
      </c>
    </row>
    <row r="69" spans="1:9" ht="144" x14ac:dyDescent="0.3">
      <c r="A69" s="328">
        <v>68</v>
      </c>
      <c r="B69" s="310" t="s">
        <v>132</v>
      </c>
      <c r="C69" s="311" t="s">
        <v>141</v>
      </c>
      <c r="D69" s="308">
        <v>105</v>
      </c>
      <c r="E69" s="309"/>
      <c r="F69" s="310" t="s">
        <v>142</v>
      </c>
      <c r="G69" s="302" t="s">
        <v>12</v>
      </c>
      <c r="H69" s="302" t="s">
        <v>13</v>
      </c>
      <c r="I69" s="310" t="s">
        <v>14</v>
      </c>
    </row>
    <row r="70" spans="1:9" ht="144" x14ac:dyDescent="0.3">
      <c r="A70" s="328">
        <v>69</v>
      </c>
      <c r="B70" s="310" t="s">
        <v>143</v>
      </c>
      <c r="C70" s="310" t="s">
        <v>144</v>
      </c>
      <c r="D70" s="308">
        <v>108</v>
      </c>
      <c r="E70" s="309"/>
      <c r="F70" s="310" t="s">
        <v>145</v>
      </c>
      <c r="G70" s="302" t="s">
        <v>30</v>
      </c>
      <c r="H70" s="315" t="s">
        <v>31</v>
      </c>
      <c r="I70" s="310" t="s">
        <v>32</v>
      </c>
    </row>
    <row r="71" spans="1:9" ht="158.4" x14ac:dyDescent="0.3">
      <c r="A71" s="328">
        <v>70</v>
      </c>
      <c r="B71" s="310" t="s">
        <v>143</v>
      </c>
      <c r="C71" s="310" t="s">
        <v>146</v>
      </c>
      <c r="D71" s="308">
        <v>110</v>
      </c>
      <c r="E71" s="309"/>
      <c r="F71" s="310" t="s">
        <v>147</v>
      </c>
      <c r="G71" s="302" t="s">
        <v>30</v>
      </c>
      <c r="H71" s="315" t="s">
        <v>31</v>
      </c>
      <c r="I71" s="310" t="s">
        <v>32</v>
      </c>
    </row>
    <row r="72" spans="1:9" ht="158.4" x14ac:dyDescent="0.3">
      <c r="A72" s="328">
        <v>71</v>
      </c>
      <c r="B72" s="310" t="s">
        <v>143</v>
      </c>
      <c r="C72" s="310" t="s">
        <v>146</v>
      </c>
      <c r="D72" s="308">
        <v>111</v>
      </c>
      <c r="E72" s="309"/>
      <c r="F72" s="310" t="s">
        <v>148</v>
      </c>
      <c r="G72" s="302" t="s">
        <v>30</v>
      </c>
      <c r="H72" s="315" t="s">
        <v>31</v>
      </c>
      <c r="I72" s="310" t="s">
        <v>32</v>
      </c>
    </row>
    <row r="73" spans="1:9" ht="144" x14ac:dyDescent="0.3">
      <c r="A73" s="328">
        <v>72</v>
      </c>
      <c r="B73" s="310" t="s">
        <v>143</v>
      </c>
      <c r="C73" s="310" t="s">
        <v>146</v>
      </c>
      <c r="D73" s="308">
        <v>112</v>
      </c>
      <c r="E73" s="309"/>
      <c r="F73" s="310" t="s">
        <v>149</v>
      </c>
      <c r="G73" s="302" t="s">
        <v>30</v>
      </c>
      <c r="H73" s="315" t="s">
        <v>31</v>
      </c>
      <c r="I73" s="310" t="s">
        <v>32</v>
      </c>
    </row>
    <row r="74" spans="1:9" ht="144" x14ac:dyDescent="0.3">
      <c r="A74" s="328">
        <v>73</v>
      </c>
      <c r="B74" s="310" t="s">
        <v>143</v>
      </c>
      <c r="C74" s="310" t="s">
        <v>146</v>
      </c>
      <c r="D74" s="308">
        <v>113</v>
      </c>
      <c r="E74" s="309"/>
      <c r="F74" s="310" t="s">
        <v>150</v>
      </c>
      <c r="G74" s="302" t="s">
        <v>30</v>
      </c>
      <c r="H74" s="315" t="s">
        <v>31</v>
      </c>
      <c r="I74" s="310" t="s">
        <v>32</v>
      </c>
    </row>
    <row r="75" spans="1:9" ht="144" x14ac:dyDescent="0.3">
      <c r="A75" s="328">
        <v>74</v>
      </c>
      <c r="B75" s="310" t="s">
        <v>143</v>
      </c>
      <c r="C75" s="310" t="s">
        <v>146</v>
      </c>
      <c r="D75" s="308">
        <v>114</v>
      </c>
      <c r="E75" s="309"/>
      <c r="F75" s="310" t="s">
        <v>151</v>
      </c>
      <c r="G75" s="302" t="s">
        <v>30</v>
      </c>
      <c r="H75" s="315" t="s">
        <v>31</v>
      </c>
      <c r="I75" s="310" t="s">
        <v>32</v>
      </c>
    </row>
    <row r="76" spans="1:9" ht="144" x14ac:dyDescent="0.3">
      <c r="A76" s="328">
        <v>75</v>
      </c>
      <c r="B76" s="310" t="s">
        <v>143</v>
      </c>
      <c r="C76" s="310" t="s">
        <v>146</v>
      </c>
      <c r="D76" s="308">
        <v>115</v>
      </c>
      <c r="E76" s="309"/>
      <c r="F76" s="310" t="s">
        <v>152</v>
      </c>
      <c r="G76" s="302" t="s">
        <v>30</v>
      </c>
      <c r="H76" s="315" t="s">
        <v>31</v>
      </c>
      <c r="I76" s="310" t="s">
        <v>32</v>
      </c>
    </row>
    <row r="77" spans="1:9" ht="144" x14ac:dyDescent="0.3">
      <c r="A77" s="328">
        <v>76</v>
      </c>
      <c r="B77" s="310" t="s">
        <v>143</v>
      </c>
      <c r="C77" s="310" t="s">
        <v>146</v>
      </c>
      <c r="D77" s="308">
        <v>116</v>
      </c>
      <c r="E77" s="309"/>
      <c r="F77" s="310" t="s">
        <v>153</v>
      </c>
      <c r="G77" s="302" t="s">
        <v>30</v>
      </c>
      <c r="H77" s="315" t="s">
        <v>31</v>
      </c>
      <c r="I77" s="310" t="s">
        <v>32</v>
      </c>
    </row>
    <row r="78" spans="1:9" ht="172.8" x14ac:dyDescent="0.3">
      <c r="A78" s="328">
        <v>77</v>
      </c>
      <c r="B78" s="310" t="s">
        <v>143</v>
      </c>
      <c r="C78" s="310" t="s">
        <v>146</v>
      </c>
      <c r="D78" s="308">
        <v>121</v>
      </c>
      <c r="E78" s="309"/>
      <c r="F78" s="310" t="s">
        <v>154</v>
      </c>
      <c r="G78" s="302" t="s">
        <v>30</v>
      </c>
      <c r="H78" s="315" t="s">
        <v>31</v>
      </c>
      <c r="I78" s="310" t="s">
        <v>155</v>
      </c>
    </row>
    <row r="79" spans="1:9" ht="144" x14ac:dyDescent="0.3">
      <c r="A79" s="328">
        <v>78</v>
      </c>
      <c r="B79" s="310" t="s">
        <v>143</v>
      </c>
      <c r="C79" s="310" t="s">
        <v>146</v>
      </c>
      <c r="D79" s="308">
        <v>122</v>
      </c>
      <c r="E79" s="309"/>
      <c r="F79" s="310" t="s">
        <v>156</v>
      </c>
      <c r="G79" s="302" t="s">
        <v>30</v>
      </c>
      <c r="H79" s="315" t="s">
        <v>31</v>
      </c>
      <c r="I79" s="310" t="s">
        <v>155</v>
      </c>
    </row>
    <row r="80" spans="1:9" ht="144" x14ac:dyDescent="0.3">
      <c r="A80" s="328">
        <v>79</v>
      </c>
      <c r="B80" s="310" t="s">
        <v>143</v>
      </c>
      <c r="C80" s="310" t="s">
        <v>146</v>
      </c>
      <c r="D80" s="308">
        <v>123</v>
      </c>
      <c r="E80" s="309"/>
      <c r="F80" s="310" t="s">
        <v>157</v>
      </c>
      <c r="G80" s="302" t="s">
        <v>30</v>
      </c>
      <c r="H80" s="315" t="s">
        <v>31</v>
      </c>
      <c r="I80" s="310" t="s">
        <v>32</v>
      </c>
    </row>
    <row r="81" spans="1:9" ht="100.8" x14ac:dyDescent="0.3">
      <c r="A81" s="328">
        <v>80</v>
      </c>
      <c r="B81" s="310" t="s">
        <v>158</v>
      </c>
      <c r="C81" s="310" t="s">
        <v>159</v>
      </c>
      <c r="D81" s="308">
        <v>126</v>
      </c>
      <c r="E81" s="309"/>
      <c r="F81" s="310" t="s">
        <v>160</v>
      </c>
      <c r="G81" s="310" t="s">
        <v>161</v>
      </c>
      <c r="H81" s="314" t="s">
        <v>162</v>
      </c>
      <c r="I81" s="310" t="s">
        <v>162</v>
      </c>
    </row>
    <row r="82" spans="1:9" ht="144" x14ac:dyDescent="0.3">
      <c r="A82" s="328">
        <v>81</v>
      </c>
      <c r="B82" s="310" t="s">
        <v>158</v>
      </c>
      <c r="C82" s="310" t="s">
        <v>159</v>
      </c>
      <c r="D82" s="308">
        <v>127</v>
      </c>
      <c r="E82" s="309"/>
      <c r="F82" s="310" t="s">
        <v>163</v>
      </c>
      <c r="G82" s="310" t="s">
        <v>92</v>
      </c>
      <c r="H82" s="314" t="s">
        <v>93</v>
      </c>
      <c r="I82" s="310" t="s">
        <v>93</v>
      </c>
    </row>
    <row r="83" spans="1:9" ht="129.6" x14ac:dyDescent="0.3">
      <c r="A83" s="328">
        <v>82</v>
      </c>
      <c r="B83" s="310" t="s">
        <v>158</v>
      </c>
      <c r="C83" s="310" t="s">
        <v>159</v>
      </c>
      <c r="D83" s="308"/>
      <c r="E83" s="308">
        <v>13</v>
      </c>
      <c r="F83" s="310" t="s">
        <v>164</v>
      </c>
      <c r="G83" s="310" t="s">
        <v>92</v>
      </c>
      <c r="H83" s="314" t="s">
        <v>93</v>
      </c>
      <c r="I83" s="310" t="s">
        <v>93</v>
      </c>
    </row>
    <row r="84" spans="1:9" ht="187.2" x14ac:dyDescent="0.3">
      <c r="A84" s="328">
        <v>83</v>
      </c>
      <c r="B84" s="310" t="s">
        <v>158</v>
      </c>
      <c r="C84" s="310" t="s">
        <v>159</v>
      </c>
      <c r="D84" s="308">
        <v>131</v>
      </c>
      <c r="E84" s="308"/>
      <c r="F84" s="310" t="s">
        <v>165</v>
      </c>
      <c r="G84" s="310" t="s">
        <v>92</v>
      </c>
      <c r="H84" s="314" t="s">
        <v>93</v>
      </c>
      <c r="I84" s="310" t="s">
        <v>93</v>
      </c>
    </row>
    <row r="85" spans="1:9" ht="187.2" x14ac:dyDescent="0.3">
      <c r="A85" s="328">
        <v>84</v>
      </c>
      <c r="B85" s="310" t="s">
        <v>158</v>
      </c>
      <c r="C85" s="310" t="s">
        <v>159</v>
      </c>
      <c r="D85" s="308">
        <v>132</v>
      </c>
      <c r="E85" s="308"/>
      <c r="F85" s="310" t="s">
        <v>166</v>
      </c>
      <c r="G85" s="310" t="s">
        <v>167</v>
      </c>
      <c r="H85" s="314" t="s">
        <v>93</v>
      </c>
      <c r="I85" s="310" t="s">
        <v>93</v>
      </c>
    </row>
    <row r="86" spans="1:9" ht="129.6" x14ac:dyDescent="0.3">
      <c r="A86" s="328">
        <v>85</v>
      </c>
      <c r="B86" s="310" t="s">
        <v>158</v>
      </c>
      <c r="C86" s="310" t="s">
        <v>159</v>
      </c>
      <c r="D86" s="308">
        <v>133</v>
      </c>
      <c r="E86" s="308"/>
      <c r="F86" s="310" t="s">
        <v>168</v>
      </c>
      <c r="G86" s="310" t="s">
        <v>92</v>
      </c>
      <c r="H86" s="314" t="s">
        <v>93</v>
      </c>
      <c r="I86" s="310" t="s">
        <v>93</v>
      </c>
    </row>
    <row r="87" spans="1:9" ht="158.4" x14ac:dyDescent="0.3">
      <c r="A87" s="328">
        <v>86</v>
      </c>
      <c r="B87" s="310" t="s">
        <v>158</v>
      </c>
      <c r="C87" s="310" t="s">
        <v>159</v>
      </c>
      <c r="D87" s="308">
        <v>134</v>
      </c>
      <c r="E87" s="309"/>
      <c r="F87" s="310" t="s">
        <v>169</v>
      </c>
      <c r="G87" s="310" t="s">
        <v>92</v>
      </c>
      <c r="H87" s="314" t="s">
        <v>93</v>
      </c>
      <c r="I87" s="310" t="s">
        <v>93</v>
      </c>
    </row>
    <row r="88" spans="1:9" ht="86.4" x14ac:dyDescent="0.3">
      <c r="A88" s="328">
        <v>87</v>
      </c>
      <c r="B88" s="310" t="s">
        <v>158</v>
      </c>
      <c r="C88" s="310" t="s">
        <v>159</v>
      </c>
      <c r="D88" s="308">
        <v>135</v>
      </c>
      <c r="E88" s="309"/>
      <c r="F88" s="310" t="s">
        <v>170</v>
      </c>
      <c r="G88" s="310" t="s">
        <v>171</v>
      </c>
      <c r="H88" s="314" t="s">
        <v>172</v>
      </c>
      <c r="I88" s="310" t="s">
        <v>173</v>
      </c>
    </row>
    <row r="89" spans="1:9" ht="100.8" x14ac:dyDescent="0.3">
      <c r="A89" s="328">
        <v>88</v>
      </c>
      <c r="B89" s="310" t="s">
        <v>158</v>
      </c>
      <c r="C89" s="310" t="s">
        <v>159</v>
      </c>
      <c r="D89" s="309"/>
      <c r="E89" s="308">
        <v>15</v>
      </c>
      <c r="F89" s="310" t="s">
        <v>174</v>
      </c>
      <c r="G89" s="310" t="s">
        <v>175</v>
      </c>
      <c r="H89" s="310" t="s">
        <v>176</v>
      </c>
      <c r="I89" s="310" t="s">
        <v>176</v>
      </c>
    </row>
    <row r="90" spans="1:9" ht="72" x14ac:dyDescent="0.3">
      <c r="A90" s="328">
        <v>89</v>
      </c>
      <c r="B90" s="310" t="s">
        <v>158</v>
      </c>
      <c r="C90" s="310" t="s">
        <v>159</v>
      </c>
      <c r="D90" s="308">
        <v>136</v>
      </c>
      <c r="E90" s="309"/>
      <c r="F90" s="310" t="s">
        <v>177</v>
      </c>
      <c r="G90" s="302" t="s">
        <v>30</v>
      </c>
      <c r="H90" s="314" t="s">
        <v>31</v>
      </c>
      <c r="I90" s="310" t="s">
        <v>32</v>
      </c>
    </row>
    <row r="91" spans="1:9" ht="72" x14ac:dyDescent="0.3">
      <c r="A91" s="328">
        <v>90</v>
      </c>
      <c r="B91" s="310" t="s">
        <v>158</v>
      </c>
      <c r="C91" s="310" t="s">
        <v>159</v>
      </c>
      <c r="D91" s="308">
        <v>137</v>
      </c>
      <c r="E91" s="309"/>
      <c r="F91" s="310" t="s">
        <v>178</v>
      </c>
      <c r="G91" s="310" t="s">
        <v>179</v>
      </c>
      <c r="H91" s="310" t="s">
        <v>180</v>
      </c>
      <c r="I91" s="310" t="s">
        <v>180</v>
      </c>
    </row>
    <row r="92" spans="1:9" ht="72" x14ac:dyDescent="0.3">
      <c r="A92" s="328">
        <v>91</v>
      </c>
      <c r="B92" s="310" t="s">
        <v>158</v>
      </c>
      <c r="C92" s="310" t="s">
        <v>159</v>
      </c>
      <c r="D92" s="308">
        <v>138</v>
      </c>
      <c r="E92" s="309"/>
      <c r="F92" s="310" t="s">
        <v>181</v>
      </c>
      <c r="G92" s="302" t="s">
        <v>30</v>
      </c>
      <c r="H92" s="314" t="s">
        <v>31</v>
      </c>
      <c r="I92" s="310" t="s">
        <v>182</v>
      </c>
    </row>
    <row r="93" spans="1:9" ht="129.6" x14ac:dyDescent="0.3">
      <c r="A93" s="328">
        <v>92</v>
      </c>
      <c r="B93" s="310" t="s">
        <v>158</v>
      </c>
      <c r="C93" s="310" t="s">
        <v>159</v>
      </c>
      <c r="D93" s="308">
        <v>139</v>
      </c>
      <c r="E93" s="309"/>
      <c r="F93" s="310" t="s">
        <v>183</v>
      </c>
      <c r="G93" s="302" t="s">
        <v>184</v>
      </c>
      <c r="H93" s="314" t="s">
        <v>185</v>
      </c>
      <c r="I93" s="310" t="s">
        <v>186</v>
      </c>
    </row>
    <row r="94" spans="1:9" ht="144" x14ac:dyDescent="0.3">
      <c r="A94" s="328">
        <v>93</v>
      </c>
      <c r="B94" s="310" t="s">
        <v>187</v>
      </c>
      <c r="C94" s="310" t="s">
        <v>188</v>
      </c>
      <c r="D94" s="308">
        <v>144</v>
      </c>
      <c r="E94" s="309"/>
      <c r="F94" s="310" t="s">
        <v>189</v>
      </c>
      <c r="G94" s="310" t="s">
        <v>190</v>
      </c>
      <c r="H94" s="314" t="s">
        <v>191</v>
      </c>
      <c r="I94" s="310" t="s">
        <v>191</v>
      </c>
    </row>
    <row r="95" spans="1:9" ht="144" x14ac:dyDescent="0.3">
      <c r="A95" s="328">
        <v>94</v>
      </c>
      <c r="B95" s="310" t="s">
        <v>187</v>
      </c>
      <c r="C95" s="310" t="s">
        <v>188</v>
      </c>
      <c r="D95" s="308">
        <v>145</v>
      </c>
      <c r="E95" s="309"/>
      <c r="F95" s="310" t="s">
        <v>192</v>
      </c>
      <c r="G95" s="310" t="s">
        <v>190</v>
      </c>
      <c r="H95" s="314" t="s">
        <v>191</v>
      </c>
      <c r="I95" s="310" t="s">
        <v>191</v>
      </c>
    </row>
    <row r="96" spans="1:9" ht="216" x14ac:dyDescent="0.3">
      <c r="A96" s="328">
        <v>95</v>
      </c>
      <c r="B96" s="310" t="s">
        <v>187</v>
      </c>
      <c r="C96" s="310" t="s">
        <v>188</v>
      </c>
      <c r="D96" s="308">
        <v>147</v>
      </c>
      <c r="E96" s="309"/>
      <c r="F96" s="310" t="s">
        <v>193</v>
      </c>
      <c r="G96" s="310" t="s">
        <v>190</v>
      </c>
      <c r="H96" s="314" t="s">
        <v>191</v>
      </c>
      <c r="I96" s="310" t="s">
        <v>191</v>
      </c>
    </row>
    <row r="97" spans="1:9" ht="144" x14ac:dyDescent="0.3">
      <c r="A97" s="328">
        <v>96</v>
      </c>
      <c r="B97" s="310" t="s">
        <v>187</v>
      </c>
      <c r="C97" s="310" t="s">
        <v>188</v>
      </c>
      <c r="D97" s="308">
        <v>148</v>
      </c>
      <c r="E97" s="309"/>
      <c r="F97" s="310" t="s">
        <v>194</v>
      </c>
      <c r="G97" s="310" t="s">
        <v>190</v>
      </c>
      <c r="H97" s="314" t="s">
        <v>191</v>
      </c>
      <c r="I97" s="310" t="s">
        <v>191</v>
      </c>
    </row>
    <row r="98" spans="1:9" ht="144" x14ac:dyDescent="0.3">
      <c r="A98" s="328">
        <v>97</v>
      </c>
      <c r="B98" s="310" t="s">
        <v>187</v>
      </c>
      <c r="C98" s="310" t="s">
        <v>188</v>
      </c>
      <c r="D98" s="308">
        <v>149</v>
      </c>
      <c r="E98" s="309"/>
      <c r="F98" s="310" t="s">
        <v>195</v>
      </c>
      <c r="G98" s="310" t="s">
        <v>190</v>
      </c>
      <c r="H98" s="314" t="s">
        <v>191</v>
      </c>
      <c r="I98" s="310" t="s">
        <v>191</v>
      </c>
    </row>
    <row r="99" spans="1:9" ht="144" x14ac:dyDescent="0.3">
      <c r="A99" s="328">
        <v>98</v>
      </c>
      <c r="B99" s="310" t="s">
        <v>187</v>
      </c>
      <c r="C99" s="310" t="s">
        <v>188</v>
      </c>
      <c r="D99" s="308">
        <v>150</v>
      </c>
      <c r="E99" s="309"/>
      <c r="F99" s="310" t="s">
        <v>196</v>
      </c>
      <c r="G99" s="310" t="s">
        <v>190</v>
      </c>
      <c r="H99" s="314" t="s">
        <v>191</v>
      </c>
      <c r="I99" s="310" t="s">
        <v>191</v>
      </c>
    </row>
    <row r="100" spans="1:9" ht="144" x14ac:dyDescent="0.3">
      <c r="A100" s="328">
        <v>99</v>
      </c>
      <c r="B100" s="310" t="s">
        <v>187</v>
      </c>
      <c r="C100" s="310" t="s">
        <v>188</v>
      </c>
      <c r="D100" s="308">
        <v>151</v>
      </c>
      <c r="E100" s="309"/>
      <c r="F100" s="310" t="s">
        <v>197</v>
      </c>
      <c r="G100" s="310" t="s">
        <v>190</v>
      </c>
      <c r="H100" s="314" t="s">
        <v>191</v>
      </c>
      <c r="I100" s="310" t="s">
        <v>191</v>
      </c>
    </row>
    <row r="101" spans="1:9" ht="144" x14ac:dyDescent="0.3">
      <c r="A101" s="328">
        <v>100</v>
      </c>
      <c r="B101" s="310" t="s">
        <v>187</v>
      </c>
      <c r="C101" s="310" t="s">
        <v>188</v>
      </c>
      <c r="D101" s="308"/>
      <c r="E101" s="308">
        <v>16</v>
      </c>
      <c r="F101" s="310" t="s">
        <v>198</v>
      </c>
      <c r="G101" s="310" t="s">
        <v>130</v>
      </c>
      <c r="H101" s="314" t="s">
        <v>191</v>
      </c>
      <c r="I101" s="310" t="s">
        <v>191</v>
      </c>
    </row>
    <row r="102" spans="1:9" ht="144" x14ac:dyDescent="0.3">
      <c r="A102" s="328">
        <v>101</v>
      </c>
      <c r="B102" s="310" t="s">
        <v>187</v>
      </c>
      <c r="C102" s="310" t="s">
        <v>188</v>
      </c>
      <c r="D102" s="308">
        <v>152</v>
      </c>
      <c r="E102" s="309"/>
      <c r="F102" s="310" t="s">
        <v>199</v>
      </c>
      <c r="G102" s="310" t="s">
        <v>190</v>
      </c>
      <c r="H102" s="314" t="s">
        <v>191</v>
      </c>
      <c r="I102" s="310" t="s">
        <v>191</v>
      </c>
    </row>
    <row r="103" spans="1:9" ht="144" x14ac:dyDescent="0.3">
      <c r="A103" s="328">
        <v>102</v>
      </c>
      <c r="B103" s="310" t="s">
        <v>187</v>
      </c>
      <c r="C103" s="310" t="s">
        <v>188</v>
      </c>
      <c r="D103" s="308">
        <v>153</v>
      </c>
      <c r="E103" s="309"/>
      <c r="F103" s="310" t="s">
        <v>200</v>
      </c>
      <c r="G103" s="310" t="s">
        <v>190</v>
      </c>
      <c r="H103" s="314" t="s">
        <v>191</v>
      </c>
      <c r="I103" s="310" t="s">
        <v>191</v>
      </c>
    </row>
    <row r="104" spans="1:9" ht="144" x14ac:dyDescent="0.3">
      <c r="A104" s="328">
        <v>103</v>
      </c>
      <c r="B104" s="310" t="s">
        <v>187</v>
      </c>
      <c r="C104" s="310" t="s">
        <v>188</v>
      </c>
      <c r="D104" s="308">
        <v>154</v>
      </c>
      <c r="E104" s="309"/>
      <c r="F104" s="310" t="s">
        <v>201</v>
      </c>
      <c r="G104" s="310" t="s">
        <v>190</v>
      </c>
      <c r="H104" s="314" t="s">
        <v>191</v>
      </c>
      <c r="I104" s="310" t="s">
        <v>191</v>
      </c>
    </row>
    <row r="105" spans="1:9" ht="86.4" x14ac:dyDescent="0.3">
      <c r="A105" s="328">
        <v>104</v>
      </c>
      <c r="B105" s="310" t="s">
        <v>187</v>
      </c>
      <c r="C105" s="310" t="s">
        <v>202</v>
      </c>
      <c r="D105" s="308">
        <v>156</v>
      </c>
      <c r="E105" s="309"/>
      <c r="F105" s="310" t="s">
        <v>203</v>
      </c>
      <c r="G105" s="310" t="s">
        <v>190</v>
      </c>
      <c r="H105" s="314" t="s">
        <v>191</v>
      </c>
      <c r="I105" s="310" t="s">
        <v>191</v>
      </c>
    </row>
    <row r="106" spans="1:9" ht="86.4" x14ac:dyDescent="0.3">
      <c r="A106" s="328">
        <v>105</v>
      </c>
      <c r="B106" s="310" t="s">
        <v>187</v>
      </c>
      <c r="C106" s="310" t="s">
        <v>202</v>
      </c>
      <c r="D106" s="308">
        <v>157</v>
      </c>
      <c r="E106" s="309"/>
      <c r="F106" s="310" t="s">
        <v>204</v>
      </c>
      <c r="G106" s="310" t="s">
        <v>190</v>
      </c>
      <c r="H106" s="314" t="s">
        <v>191</v>
      </c>
      <c r="I106" s="310" t="s">
        <v>191</v>
      </c>
    </row>
    <row r="107" spans="1:9" ht="86.4" x14ac:dyDescent="0.3">
      <c r="A107" s="328">
        <v>106</v>
      </c>
      <c r="B107" s="310" t="s">
        <v>187</v>
      </c>
      <c r="C107" s="310" t="s">
        <v>202</v>
      </c>
      <c r="D107" s="308">
        <v>159</v>
      </c>
      <c r="E107" s="309"/>
      <c r="F107" s="310" t="s">
        <v>205</v>
      </c>
      <c r="G107" s="310" t="s">
        <v>190</v>
      </c>
      <c r="H107" s="314" t="s">
        <v>191</v>
      </c>
      <c r="I107" s="310" t="s">
        <v>191</v>
      </c>
    </row>
    <row r="108" spans="1:9" ht="86.4" x14ac:dyDescent="0.3">
      <c r="A108" s="328">
        <v>107</v>
      </c>
      <c r="B108" s="310" t="s">
        <v>187</v>
      </c>
      <c r="C108" s="310" t="s">
        <v>202</v>
      </c>
      <c r="D108" s="308">
        <v>161</v>
      </c>
      <c r="E108" s="309"/>
      <c r="F108" s="310" t="s">
        <v>206</v>
      </c>
      <c r="G108" s="310" t="s">
        <v>190</v>
      </c>
      <c r="H108" s="314" t="s">
        <v>191</v>
      </c>
      <c r="I108" s="310" t="s">
        <v>191</v>
      </c>
    </row>
    <row r="109" spans="1:9" ht="100.8" x14ac:dyDescent="0.3">
      <c r="A109" s="328">
        <v>108</v>
      </c>
      <c r="B109" s="310" t="s">
        <v>207</v>
      </c>
      <c r="C109" s="310" t="s">
        <v>208</v>
      </c>
      <c r="D109" s="308">
        <v>164</v>
      </c>
      <c r="E109" s="309"/>
      <c r="F109" s="310" t="s">
        <v>209</v>
      </c>
      <c r="G109" s="310" t="s">
        <v>171</v>
      </c>
      <c r="H109" s="314" t="s">
        <v>42</v>
      </c>
      <c r="I109" s="310" t="s">
        <v>125</v>
      </c>
    </row>
    <row r="110" spans="1:9" ht="100.8" x14ac:dyDescent="0.3">
      <c r="A110" s="328">
        <v>109</v>
      </c>
      <c r="B110" s="310" t="s">
        <v>207</v>
      </c>
      <c r="C110" s="310" t="s">
        <v>208</v>
      </c>
      <c r="D110" s="308">
        <v>165</v>
      </c>
      <c r="E110" s="309"/>
      <c r="F110" s="310" t="s">
        <v>210</v>
      </c>
      <c r="G110" s="310" t="s">
        <v>171</v>
      </c>
      <c r="H110" s="314" t="s">
        <v>172</v>
      </c>
      <c r="I110" s="310" t="s">
        <v>211</v>
      </c>
    </row>
    <row r="111" spans="1:9" ht="100.8" x14ac:dyDescent="0.3">
      <c r="A111" s="328">
        <v>110</v>
      </c>
      <c r="B111" s="310" t="s">
        <v>207</v>
      </c>
      <c r="C111" s="310" t="s">
        <v>208</v>
      </c>
      <c r="D111" s="308">
        <v>166</v>
      </c>
      <c r="E111" s="309"/>
      <c r="F111" s="310" t="s">
        <v>212</v>
      </c>
      <c r="G111" s="310" t="s">
        <v>171</v>
      </c>
      <c r="H111" s="314" t="s">
        <v>172</v>
      </c>
      <c r="I111" s="310" t="s">
        <v>211</v>
      </c>
    </row>
    <row r="112" spans="1:9" ht="100.8" x14ac:dyDescent="0.3">
      <c r="A112" s="328">
        <v>111</v>
      </c>
      <c r="B112" s="310" t="s">
        <v>207</v>
      </c>
      <c r="C112" s="310" t="s">
        <v>208</v>
      </c>
      <c r="D112" s="308">
        <v>167</v>
      </c>
      <c r="E112" s="309"/>
      <c r="F112" s="310" t="s">
        <v>213</v>
      </c>
      <c r="G112" s="310" t="s">
        <v>171</v>
      </c>
      <c r="H112" s="314" t="s">
        <v>172</v>
      </c>
      <c r="I112" s="310" t="s">
        <v>211</v>
      </c>
    </row>
    <row r="113" spans="1:9" ht="100.8" x14ac:dyDescent="0.3">
      <c r="A113" s="328">
        <v>112</v>
      </c>
      <c r="B113" s="310" t="s">
        <v>207</v>
      </c>
      <c r="C113" s="310" t="s">
        <v>208</v>
      </c>
      <c r="D113" s="308">
        <v>168</v>
      </c>
      <c r="E113" s="309"/>
      <c r="F113" s="310" t="s">
        <v>214</v>
      </c>
      <c r="G113" s="310" t="s">
        <v>215</v>
      </c>
      <c r="H113" s="314" t="s">
        <v>216</v>
      </c>
      <c r="I113" s="310" t="s">
        <v>217</v>
      </c>
    </row>
    <row r="114" spans="1:9" ht="115.2" x14ac:dyDescent="0.3">
      <c r="A114" s="328">
        <v>113</v>
      </c>
      <c r="B114" s="310" t="s">
        <v>207</v>
      </c>
      <c r="C114" s="310" t="s">
        <v>208</v>
      </c>
      <c r="D114" s="308">
        <v>169</v>
      </c>
      <c r="E114" s="309"/>
      <c r="F114" s="311" t="s">
        <v>218</v>
      </c>
      <c r="G114" s="310" t="s">
        <v>171</v>
      </c>
      <c r="H114" s="314" t="s">
        <v>219</v>
      </c>
      <c r="I114" s="310" t="s">
        <v>219</v>
      </c>
    </row>
    <row r="115" spans="1:9" ht="100.8" x14ac:dyDescent="0.3">
      <c r="A115" s="328">
        <v>114</v>
      </c>
      <c r="B115" s="310" t="s">
        <v>207</v>
      </c>
      <c r="C115" s="310" t="s">
        <v>208</v>
      </c>
      <c r="D115" s="308">
        <v>170</v>
      </c>
      <c r="E115" s="309"/>
      <c r="F115" s="310" t="s">
        <v>220</v>
      </c>
      <c r="G115" s="310" t="s">
        <v>171</v>
      </c>
      <c r="H115" s="314" t="s">
        <v>172</v>
      </c>
      <c r="I115" s="310" t="s">
        <v>173</v>
      </c>
    </row>
    <row r="116" spans="1:9" ht="100.8" x14ac:dyDescent="0.3">
      <c r="A116" s="328">
        <v>115</v>
      </c>
      <c r="B116" s="310" t="s">
        <v>207</v>
      </c>
      <c r="C116" s="310" t="s">
        <v>208</v>
      </c>
      <c r="D116" s="308">
        <v>171</v>
      </c>
      <c r="E116" s="309"/>
      <c r="F116" s="310" t="s">
        <v>221</v>
      </c>
      <c r="G116" s="310" t="s">
        <v>171</v>
      </c>
      <c r="H116" s="314" t="s">
        <v>172</v>
      </c>
      <c r="I116" s="310" t="s">
        <v>173</v>
      </c>
    </row>
    <row r="117" spans="1:9" ht="100.8" x14ac:dyDescent="0.3">
      <c r="A117" s="328">
        <v>116</v>
      </c>
      <c r="B117" s="310" t="s">
        <v>207</v>
      </c>
      <c r="C117" s="310" t="s">
        <v>208</v>
      </c>
      <c r="D117" s="308">
        <v>172</v>
      </c>
      <c r="E117" s="309"/>
      <c r="F117" s="311" t="s">
        <v>222</v>
      </c>
      <c r="G117" s="310" t="s">
        <v>171</v>
      </c>
      <c r="H117" s="314" t="s">
        <v>216</v>
      </c>
      <c r="I117" s="310" t="s">
        <v>217</v>
      </c>
    </row>
    <row r="118" spans="1:9" ht="100.8" x14ac:dyDescent="0.3">
      <c r="A118" s="328">
        <v>117</v>
      </c>
      <c r="B118" s="310" t="s">
        <v>207</v>
      </c>
      <c r="C118" s="310" t="s">
        <v>208</v>
      </c>
      <c r="D118" s="308">
        <v>173</v>
      </c>
      <c r="E118" s="309"/>
      <c r="F118" s="311" t="s">
        <v>223</v>
      </c>
      <c r="G118" s="310" t="s">
        <v>171</v>
      </c>
      <c r="H118" s="314" t="s">
        <v>219</v>
      </c>
      <c r="I118" s="310" t="s">
        <v>219</v>
      </c>
    </row>
    <row r="119" spans="1:9" ht="100.8" x14ac:dyDescent="0.3">
      <c r="A119" s="328">
        <v>118</v>
      </c>
      <c r="B119" s="310" t="s">
        <v>207</v>
      </c>
      <c r="C119" s="310" t="s">
        <v>208</v>
      </c>
      <c r="D119" s="308">
        <v>174</v>
      </c>
      <c r="E119" s="309"/>
      <c r="F119" s="311" t="s">
        <v>224</v>
      </c>
      <c r="G119" s="310" t="s">
        <v>171</v>
      </c>
      <c r="H119" s="314" t="s">
        <v>219</v>
      </c>
      <c r="I119" s="310" t="s">
        <v>219</v>
      </c>
    </row>
    <row r="120" spans="1:9" ht="144" x14ac:dyDescent="0.3">
      <c r="A120" s="328">
        <v>119</v>
      </c>
      <c r="B120" s="310" t="s">
        <v>207</v>
      </c>
      <c r="C120" s="310" t="s">
        <v>208</v>
      </c>
      <c r="D120" s="308">
        <v>175</v>
      </c>
      <c r="E120" s="309"/>
      <c r="F120" s="311" t="s">
        <v>225</v>
      </c>
      <c r="G120" s="310" t="s">
        <v>171</v>
      </c>
      <c r="H120" s="314" t="s">
        <v>219</v>
      </c>
      <c r="I120" s="310" t="s">
        <v>219</v>
      </c>
    </row>
    <row r="121" spans="1:9" ht="100.8" x14ac:dyDescent="0.3">
      <c r="A121" s="328">
        <v>120</v>
      </c>
      <c r="B121" s="310" t="s">
        <v>226</v>
      </c>
      <c r="C121" s="311" t="s">
        <v>227</v>
      </c>
      <c r="D121" s="308">
        <v>179</v>
      </c>
      <c r="E121" s="309"/>
      <c r="F121" s="310" t="s">
        <v>228</v>
      </c>
      <c r="G121" s="310" t="s">
        <v>24</v>
      </c>
      <c r="H121" s="313" t="s">
        <v>48</v>
      </c>
      <c r="I121" s="310" t="s">
        <v>48</v>
      </c>
    </row>
    <row r="122" spans="1:9" ht="115.2" x14ac:dyDescent="0.3">
      <c r="A122" s="328">
        <v>121</v>
      </c>
      <c r="B122" s="310" t="s">
        <v>226</v>
      </c>
      <c r="C122" s="311" t="s">
        <v>227</v>
      </c>
      <c r="D122" s="309"/>
      <c r="E122" s="308">
        <v>17</v>
      </c>
      <c r="F122" s="310" t="s">
        <v>229</v>
      </c>
      <c r="G122" s="310" t="s">
        <v>24</v>
      </c>
      <c r="H122" s="314" t="s">
        <v>25</v>
      </c>
      <c r="I122" s="318" t="s">
        <v>26</v>
      </c>
    </row>
    <row r="123" spans="1:9" ht="72" x14ac:dyDescent="0.3">
      <c r="A123" s="328">
        <v>122</v>
      </c>
      <c r="B123" s="310" t="s">
        <v>226</v>
      </c>
      <c r="C123" s="311" t="s">
        <v>230</v>
      </c>
      <c r="D123" s="308">
        <v>181</v>
      </c>
      <c r="E123" s="309"/>
      <c r="F123" s="310" t="s">
        <v>231</v>
      </c>
      <c r="G123" s="310" t="s">
        <v>24</v>
      </c>
      <c r="H123" s="314" t="s">
        <v>25</v>
      </c>
      <c r="I123" s="318" t="s">
        <v>26</v>
      </c>
    </row>
    <row r="124" spans="1:9" ht="72" x14ac:dyDescent="0.3">
      <c r="A124" s="328">
        <v>123</v>
      </c>
      <c r="B124" s="310" t="s">
        <v>226</v>
      </c>
      <c r="C124" s="311" t="s">
        <v>230</v>
      </c>
      <c r="D124" s="309"/>
      <c r="E124" s="308">
        <v>18</v>
      </c>
      <c r="F124" s="310" t="s">
        <v>231</v>
      </c>
      <c r="G124" s="310" t="s">
        <v>24</v>
      </c>
      <c r="H124" s="314" t="s">
        <v>25</v>
      </c>
      <c r="I124" s="318" t="s">
        <v>26</v>
      </c>
    </row>
    <row r="125" spans="1:9" ht="115.2" x14ac:dyDescent="0.3">
      <c r="A125" s="328">
        <v>124</v>
      </c>
      <c r="B125" s="310" t="s">
        <v>226</v>
      </c>
      <c r="C125" s="311" t="s">
        <v>230</v>
      </c>
      <c r="D125" s="308">
        <v>182</v>
      </c>
      <c r="E125" s="309"/>
      <c r="F125" s="310" t="s">
        <v>232</v>
      </c>
      <c r="G125" s="310" t="s">
        <v>24</v>
      </c>
      <c r="H125" s="314" t="s">
        <v>25</v>
      </c>
      <c r="I125" s="318" t="s">
        <v>26</v>
      </c>
    </row>
    <row r="126" spans="1:9" ht="57.6" x14ac:dyDescent="0.3">
      <c r="A126" s="328">
        <v>125</v>
      </c>
      <c r="B126" s="310" t="s">
        <v>226</v>
      </c>
      <c r="C126" s="311" t="s">
        <v>230</v>
      </c>
      <c r="D126" s="308">
        <v>183</v>
      </c>
      <c r="E126" s="308"/>
      <c r="F126" s="310" t="s">
        <v>233</v>
      </c>
      <c r="G126" s="310" t="s">
        <v>24</v>
      </c>
      <c r="H126" s="314" t="s">
        <v>25</v>
      </c>
      <c r="I126" s="318" t="s">
        <v>26</v>
      </c>
    </row>
    <row r="127" spans="1:9" ht="57.6" x14ac:dyDescent="0.3">
      <c r="A127" s="328">
        <v>126</v>
      </c>
      <c r="B127" s="310" t="s">
        <v>226</v>
      </c>
      <c r="C127" s="311" t="s">
        <v>230</v>
      </c>
      <c r="D127" s="308"/>
      <c r="E127" s="308">
        <v>19</v>
      </c>
      <c r="F127" s="310" t="s">
        <v>234</v>
      </c>
      <c r="G127" s="310" t="s">
        <v>24</v>
      </c>
      <c r="H127" s="314" t="s">
        <v>25</v>
      </c>
      <c r="I127" s="318" t="s">
        <v>26</v>
      </c>
    </row>
    <row r="128" spans="1:9" ht="100.8" x14ac:dyDescent="0.3">
      <c r="A128" s="328">
        <v>127</v>
      </c>
      <c r="B128" s="310" t="s">
        <v>226</v>
      </c>
      <c r="C128" s="311" t="s">
        <v>230</v>
      </c>
      <c r="D128" s="308">
        <v>184</v>
      </c>
      <c r="E128" s="309"/>
      <c r="F128" s="310" t="s">
        <v>235</v>
      </c>
      <c r="G128" s="310" t="s">
        <v>24</v>
      </c>
      <c r="H128" s="314" t="s">
        <v>25</v>
      </c>
      <c r="I128" s="318" t="s">
        <v>26</v>
      </c>
    </row>
    <row r="129" spans="1:9" ht="72" x14ac:dyDescent="0.3">
      <c r="A129" s="328">
        <v>128</v>
      </c>
      <c r="B129" s="310" t="s">
        <v>226</v>
      </c>
      <c r="C129" s="311" t="s">
        <v>230</v>
      </c>
      <c r="D129" s="308">
        <v>185</v>
      </c>
      <c r="E129" s="309"/>
      <c r="F129" s="310" t="s">
        <v>236</v>
      </c>
      <c r="G129" s="310" t="s">
        <v>24</v>
      </c>
      <c r="H129" s="314" t="s">
        <v>25</v>
      </c>
      <c r="I129" s="318" t="s">
        <v>26</v>
      </c>
    </row>
    <row r="130" spans="1:9" ht="57.6" x14ac:dyDescent="0.3">
      <c r="A130" s="328">
        <v>129</v>
      </c>
      <c r="B130" s="310" t="s">
        <v>226</v>
      </c>
      <c r="C130" s="311" t="s">
        <v>230</v>
      </c>
      <c r="D130" s="308">
        <v>186</v>
      </c>
      <c r="E130" s="309"/>
      <c r="F130" s="310" t="s">
        <v>27</v>
      </c>
      <c r="G130" s="310" t="s">
        <v>24</v>
      </c>
      <c r="H130" s="314" t="s">
        <v>25</v>
      </c>
      <c r="I130" s="318" t="s">
        <v>26</v>
      </c>
    </row>
    <row r="131" spans="1:9" ht="86.4" x14ac:dyDescent="0.3">
      <c r="A131" s="328">
        <v>130</v>
      </c>
      <c r="B131" s="310" t="s">
        <v>226</v>
      </c>
      <c r="C131" s="311" t="s">
        <v>230</v>
      </c>
      <c r="D131" s="308">
        <v>187</v>
      </c>
      <c r="E131" s="309"/>
      <c r="F131" s="310" t="s">
        <v>237</v>
      </c>
      <c r="G131" s="310" t="s">
        <v>24</v>
      </c>
      <c r="H131" s="314" t="s">
        <v>25</v>
      </c>
      <c r="I131" s="318" t="s">
        <v>26</v>
      </c>
    </row>
    <row r="132" spans="1:9" ht="100.8" x14ac:dyDescent="0.3">
      <c r="A132" s="328">
        <v>131</v>
      </c>
      <c r="B132" s="310" t="s">
        <v>226</v>
      </c>
      <c r="C132" s="311" t="s">
        <v>230</v>
      </c>
      <c r="D132" s="308">
        <v>188</v>
      </c>
      <c r="E132" s="309"/>
      <c r="F132" s="310" t="s">
        <v>238</v>
      </c>
      <c r="G132" s="310" t="s">
        <v>24</v>
      </c>
      <c r="H132" s="314" t="s">
        <v>25</v>
      </c>
      <c r="I132" s="310" t="s">
        <v>239</v>
      </c>
    </row>
    <row r="133" spans="1:9" ht="57.6" x14ac:dyDescent="0.3">
      <c r="A133" s="328">
        <v>132</v>
      </c>
      <c r="B133" s="310" t="s">
        <v>226</v>
      </c>
      <c r="C133" s="311" t="s">
        <v>230</v>
      </c>
      <c r="D133" s="308">
        <v>189</v>
      </c>
      <c r="E133" s="309"/>
      <c r="F133" s="310" t="s">
        <v>240</v>
      </c>
      <c r="G133" s="310" t="s">
        <v>24</v>
      </c>
      <c r="H133" s="314" t="s">
        <v>25</v>
      </c>
      <c r="I133" s="310" t="s">
        <v>239</v>
      </c>
    </row>
    <row r="134" spans="1:9" ht="72" x14ac:dyDescent="0.3">
      <c r="A134" s="328">
        <v>133</v>
      </c>
      <c r="B134" s="310" t="s">
        <v>226</v>
      </c>
      <c r="C134" s="311" t="s">
        <v>230</v>
      </c>
      <c r="D134" s="308">
        <v>190</v>
      </c>
      <c r="E134" s="309"/>
      <c r="F134" s="310" t="s">
        <v>241</v>
      </c>
      <c r="G134" s="310" t="s">
        <v>24</v>
      </c>
      <c r="H134" s="314" t="s">
        <v>25</v>
      </c>
      <c r="I134" s="318" t="s">
        <v>26</v>
      </c>
    </row>
    <row r="135" spans="1:9" ht="86.4" x14ac:dyDescent="0.3">
      <c r="A135" s="328">
        <v>134</v>
      </c>
      <c r="B135" s="310" t="s">
        <v>226</v>
      </c>
      <c r="C135" s="311" t="s">
        <v>230</v>
      </c>
      <c r="D135" s="308">
        <v>191</v>
      </c>
      <c r="E135" s="309"/>
      <c r="F135" s="310" t="s">
        <v>242</v>
      </c>
      <c r="G135" s="310" t="s">
        <v>24</v>
      </c>
      <c r="H135" s="314" t="s">
        <v>25</v>
      </c>
      <c r="I135" s="318" t="s">
        <v>26</v>
      </c>
    </row>
    <row r="136" spans="1:9" ht="100.8" x14ac:dyDescent="0.3">
      <c r="A136" s="328">
        <v>135</v>
      </c>
      <c r="B136" s="310" t="s">
        <v>226</v>
      </c>
      <c r="C136" s="311" t="s">
        <v>243</v>
      </c>
      <c r="D136" s="308">
        <v>193</v>
      </c>
      <c r="E136" s="309"/>
      <c r="F136" s="310" t="s">
        <v>244</v>
      </c>
      <c r="G136" s="310" t="s">
        <v>245</v>
      </c>
      <c r="H136" s="314" t="s">
        <v>25</v>
      </c>
      <c r="I136" s="318" t="s">
        <v>26</v>
      </c>
    </row>
    <row r="137" spans="1:9" ht="100.8" x14ac:dyDescent="0.3">
      <c r="A137" s="328">
        <v>136</v>
      </c>
      <c r="B137" s="310" t="s">
        <v>226</v>
      </c>
      <c r="C137" s="311" t="s">
        <v>243</v>
      </c>
      <c r="D137" s="308">
        <v>194</v>
      </c>
      <c r="E137" s="309"/>
      <c r="F137" s="310" t="s">
        <v>246</v>
      </c>
      <c r="G137" s="310" t="s">
        <v>245</v>
      </c>
      <c r="H137" s="314" t="s">
        <v>25</v>
      </c>
      <c r="I137" s="318" t="s">
        <v>26</v>
      </c>
    </row>
    <row r="138" spans="1:9" ht="100.8" x14ac:dyDescent="0.3">
      <c r="A138" s="328">
        <v>137</v>
      </c>
      <c r="B138" s="310" t="s">
        <v>226</v>
      </c>
      <c r="C138" s="311" t="s">
        <v>243</v>
      </c>
      <c r="D138" s="309"/>
      <c r="E138" s="308">
        <v>20</v>
      </c>
      <c r="F138" s="310" t="s">
        <v>247</v>
      </c>
      <c r="G138" s="310" t="s">
        <v>245</v>
      </c>
      <c r="H138" s="314" t="s">
        <v>25</v>
      </c>
      <c r="I138" s="318" t="s">
        <v>26</v>
      </c>
    </row>
    <row r="139" spans="1:9" ht="100.8" x14ac:dyDescent="0.3">
      <c r="A139" s="328">
        <v>138</v>
      </c>
      <c r="B139" s="310" t="s">
        <v>226</v>
      </c>
      <c r="C139" s="311" t="s">
        <v>248</v>
      </c>
      <c r="D139" s="308">
        <v>196</v>
      </c>
      <c r="E139" s="309"/>
      <c r="F139" s="310" t="s">
        <v>249</v>
      </c>
      <c r="G139" s="310" t="s">
        <v>245</v>
      </c>
      <c r="H139" s="314" t="s">
        <v>25</v>
      </c>
      <c r="I139" s="310" t="s">
        <v>48</v>
      </c>
    </row>
    <row r="140" spans="1:9" ht="72" x14ac:dyDescent="0.3">
      <c r="A140" s="328">
        <v>139</v>
      </c>
      <c r="B140" s="310" t="s">
        <v>226</v>
      </c>
      <c r="C140" s="311" t="s">
        <v>248</v>
      </c>
      <c r="D140" s="308"/>
      <c r="E140" s="309">
        <v>21</v>
      </c>
      <c r="F140" s="310" t="s">
        <v>250</v>
      </c>
      <c r="G140" s="310" t="s">
        <v>245</v>
      </c>
      <c r="H140" s="314" t="s">
        <v>48</v>
      </c>
      <c r="I140" s="310" t="s">
        <v>48</v>
      </c>
    </row>
    <row r="141" spans="1:9" ht="86.4" x14ac:dyDescent="0.3">
      <c r="A141" s="328">
        <v>140</v>
      </c>
      <c r="B141" s="310" t="s">
        <v>226</v>
      </c>
      <c r="C141" s="311" t="s">
        <v>248</v>
      </c>
      <c r="D141" s="308">
        <v>197</v>
      </c>
      <c r="E141" s="309"/>
      <c r="F141" s="310" t="s">
        <v>251</v>
      </c>
      <c r="G141" s="310" t="s">
        <v>245</v>
      </c>
      <c r="H141" s="314" t="s">
        <v>25</v>
      </c>
      <c r="I141" s="310" t="s">
        <v>252</v>
      </c>
    </row>
    <row r="142" spans="1:9" ht="72" x14ac:dyDescent="0.3">
      <c r="A142" s="328">
        <v>141</v>
      </c>
      <c r="B142" s="310" t="s">
        <v>226</v>
      </c>
      <c r="C142" s="311" t="s">
        <v>248</v>
      </c>
      <c r="D142" s="308">
        <v>198</v>
      </c>
      <c r="E142" s="309"/>
      <c r="F142" s="310" t="s">
        <v>253</v>
      </c>
      <c r="G142" s="310" t="s">
        <v>245</v>
      </c>
      <c r="H142" s="314" t="s">
        <v>25</v>
      </c>
      <c r="I142" s="310" t="s">
        <v>254</v>
      </c>
    </row>
    <row r="143" spans="1:9" ht="100.8" x14ac:dyDescent="0.3">
      <c r="A143" s="328">
        <v>142</v>
      </c>
      <c r="B143" s="310" t="s">
        <v>226</v>
      </c>
      <c r="C143" s="311" t="s">
        <v>248</v>
      </c>
      <c r="D143" s="309">
        <v>199</v>
      </c>
      <c r="E143" s="308"/>
      <c r="F143" s="310" t="s">
        <v>255</v>
      </c>
      <c r="G143" s="310" t="s">
        <v>20</v>
      </c>
      <c r="H143" s="313" t="s">
        <v>136</v>
      </c>
      <c r="I143" s="310" t="s">
        <v>186</v>
      </c>
    </row>
    <row r="144" spans="1:9" ht="259.2" x14ac:dyDescent="0.3">
      <c r="A144" s="328">
        <v>143</v>
      </c>
      <c r="B144" s="310" t="s">
        <v>226</v>
      </c>
      <c r="C144" s="311" t="s">
        <v>256</v>
      </c>
      <c r="D144" s="308">
        <v>201</v>
      </c>
      <c r="E144" s="309"/>
      <c r="F144" s="310" t="s">
        <v>257</v>
      </c>
      <c r="G144" s="310" t="s">
        <v>20</v>
      </c>
      <c r="H144" s="314" t="s">
        <v>186</v>
      </c>
      <c r="I144" s="310" t="s">
        <v>186</v>
      </c>
    </row>
    <row r="145" spans="1:9" ht="100.8" x14ac:dyDescent="0.3">
      <c r="A145" s="328">
        <v>144</v>
      </c>
      <c r="B145" s="310" t="s">
        <v>258</v>
      </c>
      <c r="C145" s="311" t="s">
        <v>259</v>
      </c>
      <c r="D145" s="308">
        <v>204</v>
      </c>
      <c r="E145" s="309"/>
      <c r="F145" s="310" t="s">
        <v>260</v>
      </c>
      <c r="G145" s="310" t="s">
        <v>20</v>
      </c>
      <c r="H145" s="314" t="s">
        <v>21</v>
      </c>
      <c r="I145" s="310" t="s">
        <v>22</v>
      </c>
    </row>
    <row r="146" spans="1:9" ht="86.4" x14ac:dyDescent="0.3">
      <c r="A146" s="328">
        <v>145</v>
      </c>
      <c r="B146" s="310" t="s">
        <v>258</v>
      </c>
      <c r="C146" s="311" t="s">
        <v>259</v>
      </c>
      <c r="D146" s="308">
        <v>205</v>
      </c>
      <c r="E146" s="309"/>
      <c r="F146" s="310" t="s">
        <v>261</v>
      </c>
      <c r="G146" s="310" t="s">
        <v>262</v>
      </c>
      <c r="H146" s="314" t="s">
        <v>263</v>
      </c>
      <c r="I146" s="310" t="s">
        <v>263</v>
      </c>
    </row>
    <row r="147" spans="1:9" ht="86.4" x14ac:dyDescent="0.3">
      <c r="A147" s="328">
        <v>146</v>
      </c>
      <c r="B147" s="310" t="s">
        <v>258</v>
      </c>
      <c r="C147" s="311" t="s">
        <v>259</v>
      </c>
      <c r="D147" s="308">
        <v>206</v>
      </c>
      <c r="E147" s="309"/>
      <c r="F147" s="310" t="s">
        <v>264</v>
      </c>
      <c r="G147" s="310" t="s">
        <v>262</v>
      </c>
      <c r="H147" s="314" t="s">
        <v>263</v>
      </c>
      <c r="I147" s="310" t="s">
        <v>263</v>
      </c>
    </row>
    <row r="148" spans="1:9" ht="86.4" x14ac:dyDescent="0.3">
      <c r="A148" s="328">
        <v>147</v>
      </c>
      <c r="B148" s="310" t="s">
        <v>258</v>
      </c>
      <c r="C148" s="311" t="s">
        <v>259</v>
      </c>
      <c r="D148" s="308">
        <v>208</v>
      </c>
      <c r="E148" s="309"/>
      <c r="F148" s="310" t="s">
        <v>265</v>
      </c>
      <c r="G148" s="310" t="s">
        <v>262</v>
      </c>
      <c r="H148" s="314" t="s">
        <v>263</v>
      </c>
      <c r="I148" s="310" t="s">
        <v>263</v>
      </c>
    </row>
    <row r="149" spans="1:9" ht="86.4" x14ac:dyDescent="0.3">
      <c r="A149" s="328">
        <v>148</v>
      </c>
      <c r="B149" s="310" t="s">
        <v>258</v>
      </c>
      <c r="C149" s="311" t="s">
        <v>259</v>
      </c>
      <c r="D149" s="308">
        <v>209</v>
      </c>
      <c r="E149" s="309"/>
      <c r="F149" s="310" t="s">
        <v>266</v>
      </c>
      <c r="G149" s="310" t="s">
        <v>262</v>
      </c>
      <c r="H149" s="314" t="s">
        <v>263</v>
      </c>
      <c r="I149" s="310" t="s">
        <v>263</v>
      </c>
    </row>
    <row r="150" spans="1:9" ht="86.4" x14ac:dyDescent="0.3">
      <c r="A150" s="328">
        <v>149</v>
      </c>
      <c r="B150" s="310" t="s">
        <v>258</v>
      </c>
      <c r="C150" s="311" t="s">
        <v>259</v>
      </c>
      <c r="D150" s="308">
        <v>210</v>
      </c>
      <c r="E150" s="309"/>
      <c r="F150" s="310" t="s">
        <v>267</v>
      </c>
      <c r="G150" s="310" t="s">
        <v>262</v>
      </c>
      <c r="H150" s="314" t="s">
        <v>263</v>
      </c>
      <c r="I150" s="310" t="s">
        <v>263</v>
      </c>
    </row>
    <row r="151" spans="1:9" ht="86.4" x14ac:dyDescent="0.3">
      <c r="A151" s="328">
        <v>150</v>
      </c>
      <c r="B151" s="310" t="s">
        <v>258</v>
      </c>
      <c r="C151" s="311" t="s">
        <v>259</v>
      </c>
      <c r="D151" s="308">
        <v>212</v>
      </c>
      <c r="E151" s="309"/>
      <c r="F151" s="310" t="s">
        <v>268</v>
      </c>
      <c r="G151" s="310" t="s">
        <v>262</v>
      </c>
      <c r="H151" s="314" t="s">
        <v>263</v>
      </c>
      <c r="I151" s="310" t="s">
        <v>263</v>
      </c>
    </row>
    <row r="152" spans="1:9" ht="86.4" x14ac:dyDescent="0.3">
      <c r="A152" s="328">
        <v>151</v>
      </c>
      <c r="B152" s="310" t="s">
        <v>258</v>
      </c>
      <c r="C152" s="311" t="s">
        <v>269</v>
      </c>
      <c r="D152" s="308">
        <v>214</v>
      </c>
      <c r="E152" s="309"/>
      <c r="F152" s="310" t="s">
        <v>270</v>
      </c>
      <c r="G152" s="310" t="s">
        <v>20</v>
      </c>
      <c r="H152" s="314" t="s">
        <v>21</v>
      </c>
      <c r="I152" s="310" t="s">
        <v>22</v>
      </c>
    </row>
    <row r="153" spans="1:9" ht="86.4" x14ac:dyDescent="0.3">
      <c r="A153" s="328">
        <v>152</v>
      </c>
      <c r="B153" s="310" t="s">
        <v>258</v>
      </c>
      <c r="C153" s="311" t="s">
        <v>269</v>
      </c>
      <c r="D153" s="308">
        <v>215</v>
      </c>
      <c r="E153" s="309"/>
      <c r="F153" s="310" t="s">
        <v>271</v>
      </c>
      <c r="G153" s="310" t="s">
        <v>20</v>
      </c>
      <c r="H153" s="314" t="s">
        <v>21</v>
      </c>
      <c r="I153" s="310" t="s">
        <v>22</v>
      </c>
    </row>
    <row r="154" spans="1:9" ht="100.8" x14ac:dyDescent="0.3">
      <c r="A154" s="328">
        <v>153</v>
      </c>
      <c r="B154" s="310" t="s">
        <v>258</v>
      </c>
      <c r="C154" s="311" t="s">
        <v>269</v>
      </c>
      <c r="D154" s="308">
        <v>216</v>
      </c>
      <c r="E154" s="309"/>
      <c r="F154" s="310" t="s">
        <v>272</v>
      </c>
      <c r="G154" s="310" t="s">
        <v>20</v>
      </c>
      <c r="H154" s="314" t="s">
        <v>21</v>
      </c>
      <c r="I154" s="310" t="s">
        <v>22</v>
      </c>
    </row>
    <row r="155" spans="1:9" ht="100.8" x14ac:dyDescent="0.3">
      <c r="A155" s="328">
        <v>154</v>
      </c>
      <c r="B155" s="310" t="s">
        <v>258</v>
      </c>
      <c r="C155" s="311" t="s">
        <v>269</v>
      </c>
      <c r="D155" s="308">
        <v>217</v>
      </c>
      <c r="E155" s="309"/>
      <c r="F155" s="310" t="s">
        <v>273</v>
      </c>
      <c r="G155" s="310" t="s">
        <v>12</v>
      </c>
      <c r="H155" s="310" t="s">
        <v>274</v>
      </c>
      <c r="I155" s="310"/>
    </row>
    <row r="156" spans="1:9" ht="86.4" x14ac:dyDescent="0.3">
      <c r="A156" s="328">
        <v>155</v>
      </c>
      <c r="B156" s="310" t="s">
        <v>258</v>
      </c>
      <c r="C156" s="311" t="s">
        <v>269</v>
      </c>
      <c r="D156" s="308">
        <v>218</v>
      </c>
      <c r="E156" s="309"/>
      <c r="F156" s="310" t="s">
        <v>275</v>
      </c>
      <c r="G156" s="310" t="s">
        <v>12</v>
      </c>
      <c r="H156" s="310" t="s">
        <v>274</v>
      </c>
      <c r="I156" s="310"/>
    </row>
    <row r="157" spans="1:9" ht="86.4" x14ac:dyDescent="0.3">
      <c r="A157" s="328">
        <v>156</v>
      </c>
      <c r="B157" s="310" t="s">
        <v>258</v>
      </c>
      <c r="C157" s="311" t="s">
        <v>269</v>
      </c>
      <c r="D157" s="308">
        <v>219</v>
      </c>
      <c r="E157" s="309"/>
      <c r="F157" s="310" t="s">
        <v>276</v>
      </c>
      <c r="G157" s="310" t="s">
        <v>277</v>
      </c>
      <c r="H157" s="314" t="s">
        <v>278</v>
      </c>
      <c r="I157" s="310" t="s">
        <v>279</v>
      </c>
    </row>
    <row r="158" spans="1:9" ht="72" x14ac:dyDescent="0.3">
      <c r="A158" s="328">
        <v>157</v>
      </c>
      <c r="B158" s="310" t="s">
        <v>258</v>
      </c>
      <c r="C158" s="310" t="s">
        <v>280</v>
      </c>
      <c r="D158" s="308">
        <v>221</v>
      </c>
      <c r="E158" s="309"/>
      <c r="F158" s="310" t="s">
        <v>281</v>
      </c>
      <c r="G158" s="310" t="s">
        <v>277</v>
      </c>
      <c r="H158" s="314" t="s">
        <v>278</v>
      </c>
      <c r="I158" s="310" t="s">
        <v>279</v>
      </c>
    </row>
    <row r="159" spans="1:9" ht="100.8" x14ac:dyDescent="0.3">
      <c r="A159" s="328">
        <v>158</v>
      </c>
      <c r="B159" s="310" t="s">
        <v>282</v>
      </c>
      <c r="C159" s="310" t="s">
        <v>283</v>
      </c>
      <c r="D159" s="308">
        <v>224</v>
      </c>
      <c r="E159" s="309"/>
      <c r="F159" s="310" t="s">
        <v>284</v>
      </c>
      <c r="G159" s="310" t="s">
        <v>285</v>
      </c>
      <c r="H159" s="314" t="s">
        <v>286</v>
      </c>
      <c r="I159" s="310" t="s">
        <v>287</v>
      </c>
    </row>
    <row r="160" spans="1:9" ht="57.6" x14ac:dyDescent="0.3">
      <c r="A160" s="328">
        <v>159</v>
      </c>
      <c r="B160" s="310" t="s">
        <v>282</v>
      </c>
      <c r="C160" s="310" t="s">
        <v>283</v>
      </c>
      <c r="D160" s="308">
        <v>225</v>
      </c>
      <c r="E160" s="309"/>
      <c r="F160" s="310" t="s">
        <v>288</v>
      </c>
      <c r="G160" s="310" t="s">
        <v>289</v>
      </c>
      <c r="H160" s="310"/>
      <c r="I160" s="310" t="s">
        <v>38</v>
      </c>
    </row>
    <row r="161" spans="1:9" ht="72" x14ac:dyDescent="0.3">
      <c r="A161" s="328">
        <v>160</v>
      </c>
      <c r="B161" s="310" t="s">
        <v>282</v>
      </c>
      <c r="C161" s="310" t="s">
        <v>283</v>
      </c>
      <c r="D161" s="308">
        <v>226</v>
      </c>
      <c r="E161" s="309"/>
      <c r="F161" s="310" t="s">
        <v>290</v>
      </c>
      <c r="G161" s="310" t="s">
        <v>289</v>
      </c>
      <c r="H161" s="310"/>
      <c r="I161" s="310" t="s">
        <v>38</v>
      </c>
    </row>
    <row r="162" spans="1:9" ht="72" x14ac:dyDescent="0.3">
      <c r="A162" s="328">
        <v>161</v>
      </c>
      <c r="B162" s="310" t="s">
        <v>282</v>
      </c>
      <c r="C162" s="310" t="s">
        <v>283</v>
      </c>
      <c r="D162" s="308">
        <v>227</v>
      </c>
      <c r="E162" s="309"/>
      <c r="F162" s="310" t="s">
        <v>291</v>
      </c>
      <c r="G162" s="310" t="s">
        <v>289</v>
      </c>
      <c r="H162" s="310"/>
      <c r="I162" s="310" t="s">
        <v>38</v>
      </c>
    </row>
    <row r="163" spans="1:9" ht="100.8" x14ac:dyDescent="0.3">
      <c r="A163" s="328">
        <v>162</v>
      </c>
      <c r="B163" s="310" t="s">
        <v>282</v>
      </c>
      <c r="C163" s="310" t="s">
        <v>283</v>
      </c>
      <c r="D163" s="308">
        <v>228</v>
      </c>
      <c r="E163" s="309"/>
      <c r="F163" s="310" t="s">
        <v>292</v>
      </c>
      <c r="G163" s="310" t="s">
        <v>285</v>
      </c>
      <c r="H163" s="314" t="s">
        <v>286</v>
      </c>
      <c r="I163" s="310" t="s">
        <v>287</v>
      </c>
    </row>
    <row r="164" spans="1:9" ht="115.2" x14ac:dyDescent="0.3">
      <c r="A164" s="328">
        <v>163</v>
      </c>
      <c r="B164" s="310" t="s">
        <v>282</v>
      </c>
      <c r="C164" s="310" t="s">
        <v>283</v>
      </c>
      <c r="D164" s="308">
        <v>229</v>
      </c>
      <c r="E164" s="309"/>
      <c r="F164" s="310" t="s">
        <v>293</v>
      </c>
      <c r="G164" s="310" t="s">
        <v>285</v>
      </c>
      <c r="H164" s="314" t="s">
        <v>286</v>
      </c>
      <c r="I164" s="310" t="s">
        <v>287</v>
      </c>
    </row>
    <row r="165" spans="1:9" ht="72" x14ac:dyDescent="0.3">
      <c r="A165" s="328">
        <v>164</v>
      </c>
      <c r="B165" s="310" t="s">
        <v>282</v>
      </c>
      <c r="C165" s="310" t="s">
        <v>294</v>
      </c>
      <c r="D165" s="308">
        <v>231</v>
      </c>
      <c r="E165" s="309"/>
      <c r="F165" s="310" t="s">
        <v>295</v>
      </c>
      <c r="G165" s="310" t="s">
        <v>285</v>
      </c>
      <c r="H165" s="314" t="s">
        <v>286</v>
      </c>
      <c r="I165" s="310" t="s">
        <v>287</v>
      </c>
    </row>
    <row r="166" spans="1:9" ht="100.8" x14ac:dyDescent="0.3">
      <c r="A166" s="328">
        <v>165</v>
      </c>
      <c r="B166" s="310" t="s">
        <v>282</v>
      </c>
      <c r="C166" s="310" t="s">
        <v>294</v>
      </c>
      <c r="D166" s="308">
        <v>232</v>
      </c>
      <c r="E166" s="309"/>
      <c r="F166" s="310" t="s">
        <v>296</v>
      </c>
      <c r="G166" s="310" t="s">
        <v>285</v>
      </c>
      <c r="H166" s="314" t="s">
        <v>286</v>
      </c>
      <c r="I166" s="310" t="s">
        <v>287</v>
      </c>
    </row>
    <row r="167" spans="1:9" ht="100.8" x14ac:dyDescent="0.3">
      <c r="A167" s="328">
        <v>166</v>
      </c>
      <c r="B167" s="310" t="s">
        <v>282</v>
      </c>
      <c r="C167" s="310" t="s">
        <v>297</v>
      </c>
      <c r="D167" s="308">
        <v>239</v>
      </c>
      <c r="E167" s="309"/>
      <c r="F167" s="310" t="s">
        <v>298</v>
      </c>
      <c r="G167" s="310" t="s">
        <v>285</v>
      </c>
      <c r="H167" s="314" t="s">
        <v>286</v>
      </c>
      <c r="I167" s="310" t="s">
        <v>287</v>
      </c>
    </row>
    <row r="168" spans="1:9" ht="115.2" x14ac:dyDescent="0.3">
      <c r="A168" s="328">
        <v>167</v>
      </c>
      <c r="B168" s="310" t="s">
        <v>282</v>
      </c>
      <c r="C168" s="310" t="s">
        <v>297</v>
      </c>
      <c r="D168" s="308">
        <v>240</v>
      </c>
      <c r="E168" s="309"/>
      <c r="F168" s="310" t="s">
        <v>299</v>
      </c>
      <c r="G168" s="310" t="s">
        <v>300</v>
      </c>
      <c r="H168" s="314" t="s">
        <v>286</v>
      </c>
      <c r="I168" s="310" t="s">
        <v>287</v>
      </c>
    </row>
  </sheetData>
  <hyperlinks>
    <hyperlink ref="D2" location="'Tabla 1'!A1" display="'Tabla 1'!A1" xr:uid="{4CB1BA04-E46D-42C9-BBBC-78AB4FD25BDB}"/>
    <hyperlink ref="D3" location="'Tabla 2'!A1" display="'Tabla 2'!A1" xr:uid="{569B0050-6A08-430C-8368-0ED6DC727085}"/>
    <hyperlink ref="D4" location="'Tabla 3'!A1" display="'Tabla 3'!A1" xr:uid="{FB696163-D319-49DD-8D19-4B2440BEF8EF}"/>
    <hyperlink ref="D5" location="'Tabla 4'!A1" display="'Tabla 4'!A1" xr:uid="{8D69B445-F07B-43C0-B2EF-F80061BF05D7}"/>
    <hyperlink ref="D6" location="'Tabla 5'!A1" display="'Tabla 5'!A1" xr:uid="{BE1D5F51-D17B-448E-8724-218A5E6CE650}"/>
    <hyperlink ref="D7" location="'Tabla 6'!A1" display="'Tabla 6'!A1" xr:uid="{C773AEA2-92DF-4974-B2A9-44CDA41CFBB4}"/>
    <hyperlink ref="E8" location="'Gráfico 1'!A1" display="'Gráfico 1'!A1" xr:uid="{B70FEB61-636F-4124-AC29-005F641E831A}"/>
    <hyperlink ref="E9" location="'Gráfico 2'!A1" display="'Gráfico 2'!A1" xr:uid="{DF6D8E98-0E25-44FB-97AA-E6A88305714E}"/>
    <hyperlink ref="D10" location="'Tabla 7'!A1" display="'Tabla 7'!A1" xr:uid="{05255132-2D08-4872-9C6F-76B52EB703E2}"/>
    <hyperlink ref="D11" location="'Tabla 8'!A1" display="'Tabla 8'!A1" xr:uid="{03269CBB-421F-4045-A344-F8F6DA06C654}"/>
    <hyperlink ref="D12" location="'Tabla 9'!A1" display="'Tabla 9'!A1" xr:uid="{50D28D72-DF54-47DB-AFED-7070CD40A683}"/>
    <hyperlink ref="D13" location="'Tabla 10'!A1" display="'Tabla 10'!A1" xr:uid="{5C6C15D3-F932-423C-A6AC-DB5C766A59F5}"/>
    <hyperlink ref="D14" location="'Tabla 23'!A1" display="'Tabla 23'!A1" xr:uid="{98C1EACC-D0D3-4FA6-8DAA-800954B5FCF0}"/>
    <hyperlink ref="D15" location="'Tabla 29'!A1" display="'Tabla 29'!A1" xr:uid="{BB4D8581-770A-4BE4-94D9-18642A5AB95A}"/>
    <hyperlink ref="D16" location="'Tabla 32'!A1" display="'Tabla 32'!A1" xr:uid="{4072F5FF-D999-4496-9D32-57AD617B76D4}"/>
    <hyperlink ref="D17" location="'Tabla 33'!A1" display="'Tabla 33'!A1" xr:uid="{6719148A-B6AE-49C5-8EF7-C1D08A06AB9C}"/>
    <hyperlink ref="D18" location="'Tabla 34'!A1" display="'Tabla 34'!A1" xr:uid="{9266E6A5-B053-4451-A96D-DD82B279074D}"/>
    <hyperlink ref="E19" location="'Ilustración 20'!A1" display="Ilustración 20" xr:uid="{98CAFE27-E610-47B3-8412-C60C384D4C48}"/>
    <hyperlink ref="E20" location="'Ilustración 21'!A1" display="Ilustración 21" xr:uid="{91ABCC92-1525-4FAC-9943-8823356AED44}"/>
    <hyperlink ref="E21" location="'Ilustración 21'!A1" display="Ilustración 21" xr:uid="{273B7CCA-FC8E-4C84-9C2C-B3505E469C61}"/>
    <hyperlink ref="D22" location="'Tabla 36'!A1" display="'Tabla 36'!A1" xr:uid="{C0B30C15-FFB7-420E-AB44-66FECF933BBC}"/>
    <hyperlink ref="D23" location="'Tabla 39'!A1" display="'Tabla 39'!A1" xr:uid="{5AB2B531-ED3A-4E8C-9768-ABF50F62C61B}"/>
    <hyperlink ref="D24" location="'Tabla 40'!A1" display="'Tabla 40'!A1" xr:uid="{35DC65CF-9C6C-4182-9CC3-630F6415FF31}"/>
    <hyperlink ref="D25" location="'Tabla 41'!A1" display="'Tabla 41'!A1" xr:uid="{1DC70C81-767D-4C9C-8315-D352D49CCC3B}"/>
    <hyperlink ref="D26" location="'Tabla 42'!A1" display="'Tabla 42'!A1" xr:uid="{DACBCE09-9B44-4B24-B2E0-C7DA513E431D}"/>
    <hyperlink ref="D27" location="'Tabla 43'!A1" display="'Tabla 43'!A1" xr:uid="{934C6AB0-11D0-4781-A118-D57CCE422D5A}"/>
    <hyperlink ref="D28" location="'Tabla 44'!A1" display="'Tabla 44'!A1" xr:uid="{564080CF-555A-40C7-BA8C-9487E5E190B9}"/>
    <hyperlink ref="E29" location="'Gráfico 3'!A1" display="'Gráfico 3'!A1" xr:uid="{CE73C8F3-A298-42BA-9033-3D9B9B76F5E4}"/>
    <hyperlink ref="D30" location="'Tabla 45'!A1" display="'Tabla 45'!A1" xr:uid="{8C9F3933-D041-4FFB-B545-9DA4D1D4A882}"/>
    <hyperlink ref="D31" location="'Tabla 46'!A1" display="'Tabla 46'!A1" xr:uid="{3606E19D-C3B5-43F2-B721-06044CDA4975}"/>
    <hyperlink ref="D32" location="'Tabla 47'!A1" display="'Tabla 47'!A1" xr:uid="{77A25C63-AE87-450C-A174-5469E22085C0}"/>
    <hyperlink ref="D33" location="'Tabla 48'!A1" display="'Tabla 48'!A1" xr:uid="{3E8C707F-6609-48D6-B8BB-EFF6A031026B}"/>
    <hyperlink ref="D35" location="'Tabla 49'!A1" display="'Tabla 49'!A1" xr:uid="{2CBFD391-7984-44C4-87A3-87162C75B77C}"/>
    <hyperlink ref="E34" location="'Gráfico 4'!A1" display="'Gráfico 4'!A1" xr:uid="{D3A8B23F-9D27-481F-917B-3495279D76D7}"/>
    <hyperlink ref="D36" location="'Tabla 53'!A1" display="'Tabla 53'!A1" xr:uid="{C95A59FD-E91C-4F9C-9A99-FF4DB021ABA0}"/>
    <hyperlink ref="E37" location="'Gráfico 5'!A1" display="'Gráfico 5'!A1" xr:uid="{C6770CC3-BA84-4D1D-9780-ED4DAC8F2B02}"/>
    <hyperlink ref="D38" location="'Tabla 55'!A1" display="'Tabla 55'!A1" xr:uid="{CA59C102-2ECE-47BC-BA2E-8DD3C2CD52B3}"/>
    <hyperlink ref="D39" location="'Tabla 57'!A1" display="'Tabla 57'!A1" xr:uid="{006AE864-2701-40CE-8625-4878FFC98724}"/>
    <hyperlink ref="D40" location="'Tabla 58'!A1" display="'Tabla 58'!A1" xr:uid="{539F15B3-A9A4-44B8-8031-3DF95AB5C8F3}"/>
    <hyperlink ref="D41" location="'Tabla 61'!A1" display="'Tabla 61'!A1" xr:uid="{A455B91F-37D4-4AFE-8859-717C6178D68F}"/>
    <hyperlink ref="D42" location="'Tabla 62'!A1" display="'Tabla 62'!A1" xr:uid="{C0F251B4-45A9-4138-A2E0-A7EA32EF3FDC}"/>
    <hyperlink ref="D43" location="'Tabla 63'!A1" display="'Tabla 63'!A1" xr:uid="{C1038515-EA1B-4295-824A-8A943264D291}"/>
    <hyperlink ref="D44" location="'Tabla 64'!A1" display="'Tabla 64'!A1" xr:uid="{4DDCE253-FEC0-4E17-9A09-16DF5D6080E5}"/>
    <hyperlink ref="D45" location="'Tabla 65'!A1" display="'Tabla 65'!A1" xr:uid="{B6FD47DF-50A1-42D2-8FD8-0296D861C958}"/>
    <hyperlink ref="D46" location="'Tabla 66'!A1" display="'Tabla 66'!A1" xr:uid="{EE27478E-F93A-45EE-B197-1B755464F846}"/>
    <hyperlink ref="E48" location="'Gráfico 6'!A1" display="'Gráfico 6'!A1" xr:uid="{CB79E94B-C357-4FBD-9045-F9A16C5BFD8B}"/>
    <hyperlink ref="D47" location="'Tabla 67'!A1" display="'Tabla 67'!A1" xr:uid="{51B9190E-40BA-433C-B9CC-6258AD33BF6E}"/>
    <hyperlink ref="D49" location="'Tabla 68'!A1" display="'Tabla 68'!A1" xr:uid="{F27E924C-AA23-4FF5-A86B-C0F749F8E2C5}"/>
    <hyperlink ref="D50" location="'Tabla 69'!A1" display="'Tabla 69'!A1" xr:uid="{70FBCF9D-DD74-45AA-9AC3-76CF1BFB2505}"/>
    <hyperlink ref="D51" location="'Tabla 70'!A1" display="'Tabla 70'!A1" xr:uid="{D0A57C36-49FB-4135-BB1C-BDAA8FA5B116}"/>
    <hyperlink ref="D52" location="'Tabla 71'!A1" display="'Tabla 71'!A1" xr:uid="{76B8BAF6-9EDE-4D27-A20D-ACC2E5480F11}"/>
    <hyperlink ref="D53" location="'Tabla 72'!A1" display="'Tabla 72'!A1" xr:uid="{FF7ED499-CC82-46EC-8734-FE57BA603A78}"/>
    <hyperlink ref="D54" location="'Tabla 73'!A1" display="'Tabla 73'!A1" xr:uid="{D4B6170C-2F10-41B3-84AB-8DCD773217F8}"/>
    <hyperlink ref="E55" location="'Gráfico 8'!A1" display="'Gráfico 8'!A1" xr:uid="{162C81ED-CD37-40FE-A413-5098CFB34302}"/>
    <hyperlink ref="D56" location="'Tabla 74'!A1" display="'Tabla 74'!A1" xr:uid="{469B3C05-4078-4177-ABE1-2A2D553A32D5}"/>
    <hyperlink ref="D57" location="'Tabla 75'!A1" display="'Tabla 75'!A1" xr:uid="{BE20860D-3F86-49AB-A0CE-9A06693E6727}"/>
    <hyperlink ref="D58" location="'Tabla 76'!A1" display="'Tabla 76'!A1" xr:uid="{39A941A7-CD98-4892-9C91-17E18861BC4A}"/>
    <hyperlink ref="D59" location="'Tabla 77'!A1" display="'Tabla 77'!A1" xr:uid="{21D3942E-50C0-4B08-888C-ADD3B9F4586E}"/>
    <hyperlink ref="D60" location="'Tabla 82'!A1" display="'Tabla 82'!A1" xr:uid="{CA4F593B-7E4A-4AC6-B7DE-8647DDEEB26E}"/>
    <hyperlink ref="D61" location="'Tabla 83'!A1" display="'Tabla 83'!A1" xr:uid="{07136E9B-0D45-476C-B11A-D8B28F4F6CAF}"/>
    <hyperlink ref="E64" location="'Gráfico 9'!A1" display="'Gráfico 9'!A1" xr:uid="{785E2AE6-9E35-4D9A-98C2-F7FBC5D9711F}"/>
    <hyperlink ref="D62" location="'Tabla 85'!A1" display="'Tabla 85'!A1" xr:uid="{67BDA4E3-2E8C-4F3F-A008-451FB2FD88FB}"/>
    <hyperlink ref="D63" location="'Tabla 87'!A1" display="'Tabla 87'!A1" xr:uid="{44A0E180-C5EA-459A-921F-4829F072F5B7}"/>
    <hyperlink ref="D65" location="'Tabla 98'!A1" display="'Tabla 98'!A1" xr:uid="{14897D6F-44A0-441E-87E2-AA2955C15A02}"/>
    <hyperlink ref="D66" location="'Tabla 99'!A1" display="'Tabla 99'!A1" xr:uid="{744C4202-93D5-4E51-BEAF-DF365571C18C}"/>
    <hyperlink ref="D67" location="'Tabla 100'!A1" display="'Tabla 100'!A1" xr:uid="{BAF3AF94-ED1B-41E0-A073-9ADD4D0DD5E5}"/>
    <hyperlink ref="D68" location="'Tabla 101'!A1" display="'Tabla 101'!A1" xr:uid="{2AAB6578-AB99-41CF-8C32-2127F8D35453}"/>
    <hyperlink ref="D69" location="'Tabla 105'!A1" display="'Tabla 105'!A1" xr:uid="{1DEDBC43-A01E-48E1-A941-2DD0A4CB56AC}"/>
    <hyperlink ref="D70" location="'Tabla 108'!A1" display="'Tabla 108'!A1" xr:uid="{82B9ED8C-AE81-4218-AA55-CF513A70F994}"/>
    <hyperlink ref="D71" location="'Tabla 110'!A1" display="'Tabla 110'!A1" xr:uid="{AC257B9D-3771-42D6-8E37-7942AA9C6BDF}"/>
    <hyperlink ref="D72" location="'Tabla 111'!A1" display="'Tabla 111'!A1" xr:uid="{5F2EDB5B-3DBF-49B0-802A-0E124C762DBB}"/>
    <hyperlink ref="D73" location="'Tabla 112'!A1" display="'Tabla 112'!A1" xr:uid="{72111FE5-5255-4671-8F5A-B751A80E3171}"/>
    <hyperlink ref="D74" location="'Tabla 113'!A1" display="'Tabla 113'!A1" xr:uid="{0E77F068-46F2-40E8-83BD-391BE9786E57}"/>
    <hyperlink ref="D75" location="'Tabla 114'!A1" display="'Tabla 114'!A1" xr:uid="{D5D5D054-F726-4382-AF54-866D8D9FA3B6}"/>
    <hyperlink ref="D76" location="'Tabla 115'!A1" display="'Tabla 115'!A1" xr:uid="{5B702927-4B7F-4843-9DE5-C5DB832E8F00}"/>
    <hyperlink ref="D77" location="'Tabla 116'!A1" display="'Tabla 116'!A1" xr:uid="{B543E63D-C646-4F13-96E4-FB7A222EA273}"/>
    <hyperlink ref="D78" location="'Tabla 121'!A1" display="'Tabla 121'!A1" xr:uid="{733BE00E-C329-4907-ABDB-8D2DD00E4E75}"/>
    <hyperlink ref="D79" location="'Tabla 122'!A1" display="'Tabla 122'!A1" xr:uid="{272F0B45-49E7-4462-90A6-8414207FF770}"/>
    <hyperlink ref="D80" location="'Tabla 123'!A1" display="'Tabla 123'!A1" xr:uid="{CA77FDDB-4916-4DA3-8B81-50B1E9EB9E57}"/>
    <hyperlink ref="D81" location="'Tabla 126'!A1" display="'Tabla 126'!A1" xr:uid="{78A9FADB-6248-4D0E-ABCE-41A4B815D664}"/>
    <hyperlink ref="D82" location="'Tabla 127'!A1" display="'Tabla 127'!A1" xr:uid="{C4171139-FE48-44FB-A8AE-13A968A88C4B}"/>
    <hyperlink ref="E83" location="'Gráfico 13'!A1" display="'Gráfico 13'!A1" xr:uid="{E11FD847-7106-4D32-A31B-C2FDC03A74C7}"/>
    <hyperlink ref="D85" location="'Tabla 132'!A1" display="'Tabla 132'!A1" xr:uid="{5803A273-D42C-4882-82B0-0254C0521185}"/>
    <hyperlink ref="D86" location="'Tabla 132'!A1" display="'Tabla 132'!A1" xr:uid="{9F735B29-70AD-4A95-BA78-1E8F24F61AB7}"/>
    <hyperlink ref="D87" location="'Tabla 134'!A1" display="'Tabla 134'!A1" xr:uid="{833AB4D4-C2E1-4F59-B6CE-00B3B9C46824}"/>
    <hyperlink ref="D88" location="'Tabla 135'!A1" display="'Tabla 135'!A1" xr:uid="{31008526-28B1-46B5-8DEF-87BDC6AC1E40}"/>
    <hyperlink ref="E89" location="'Gráfico 15'!A1" display="'Gráfico 15'!A1" xr:uid="{425986C5-F04D-4523-B85B-2204E150A493}"/>
    <hyperlink ref="D90" location="'Tabla 136'!A1" display="'Tabla 136'!A1" xr:uid="{EB701B5A-CC1E-4652-8419-EC26E53F4077}"/>
    <hyperlink ref="D91" location="'Tabla 137'!A1" display="'Tabla 137'!A1" xr:uid="{BD806807-B9F3-4E6C-B677-D77CD5CF5109}"/>
    <hyperlink ref="D92" location="'Tabla 138'!A1" display="'Tabla 138'!A1" xr:uid="{B4F3E894-5991-42FA-A141-F363F6578EBA}"/>
    <hyperlink ref="D93" location="'Tabla 139'!A1" display="'Tabla 139'!A1" xr:uid="{9AB6D520-DBE7-4CF6-8BC0-1E39E9814A5C}"/>
    <hyperlink ref="D94" location="'Tabla 144'!A1" display="'Tabla 144'!A1" xr:uid="{F75BE2D7-BCED-4614-82F5-F8735800BB1C}"/>
    <hyperlink ref="D95" location="'Tabla 145'!A1" display="'Tabla 145'!A1" xr:uid="{925F3193-4D75-43B4-A72E-DA18A3BFF427}"/>
    <hyperlink ref="D96" location="'Tabla 147'!A1" display="'Tabla 147'!A1" xr:uid="{6472583E-E1F8-4603-99E9-DA0792083768}"/>
    <hyperlink ref="D97" location="'Tabla 148'!A1" display="'Tabla 148'!A1" xr:uid="{8B98DA6B-3A87-444F-A120-E6E1D6E544E7}"/>
    <hyperlink ref="D98" location="'Tabla 149'!A1" display="'Tabla 149'!A1" xr:uid="{6E3529AF-A344-48C9-BE81-DBC0ECCB133D}"/>
    <hyperlink ref="D99" location="'Tabla 150'!A1" display="'Tabla 150'!A1" xr:uid="{4BF4CCA9-F81D-44D3-8662-DD46C5A9E5D1}"/>
    <hyperlink ref="D100" location="'Tabla 151'!A1" display="'Tabla 151'!A1" xr:uid="{E8C56CA6-7DD7-4EF1-8EF0-F470E6BEB338}"/>
    <hyperlink ref="E101" location="'Gráfico 16'!A1" display="'Gráfico 16'!A1" xr:uid="{25F82481-C863-4801-AF9C-62CAA9DFD8FC}"/>
    <hyperlink ref="D102" location="'Tabla 152'!A1" display="'Tabla 152'!A1" xr:uid="{F7D80F94-E6F6-4421-9FF5-4F249B5E21FB}"/>
    <hyperlink ref="D103" location="'Tabla 153'!A1" display="'Tabla 153'!A1" xr:uid="{62A7C359-492E-4749-BB03-7157F6FBE088}"/>
    <hyperlink ref="D104" location="'Tabla 154'!A1" display="'Tabla 154'!A1" xr:uid="{CE1E3C5A-B659-4380-92E2-D40003301A89}"/>
    <hyperlink ref="D105" location="'Tabla 156'!A1" display="'Tabla 156'!A1" xr:uid="{1F0C6333-7EF6-4FBF-937F-F6A8A0F84A79}"/>
    <hyperlink ref="D106" location="'Tabla 157'!A1" display="'Tabla 157'!A1" xr:uid="{E1C7A6A8-3F19-492A-A548-C45E36F0F62E}"/>
    <hyperlink ref="D107" location="'Tabla 159'!A1" display="'Tabla 159'!A1" xr:uid="{B5251674-08BF-4E69-8D35-56B69B44F83D}"/>
    <hyperlink ref="D108" location="'Tabla 161'!A1" display="'Tabla 161'!A1" xr:uid="{F67AAAD0-1678-4211-8CAD-3448078F3C7B}"/>
    <hyperlink ref="D110" location="'Tabla 165'!A1" display="'Tabla 165'!A1" xr:uid="{DD6B5897-68EC-42DB-BD67-A6EFD9B36E8C}"/>
    <hyperlink ref="D109" location="'Tabla 164'!A1" display="'Tabla 164'!A1" xr:uid="{2543F094-3F67-4A6C-A967-0B3D026E35AA}"/>
    <hyperlink ref="D111" location="'Tabla 166'!A1" display="'Tabla 166'!A1" xr:uid="{19D52A7F-AF6B-4DB1-A0B9-D4655C6620BD}"/>
    <hyperlink ref="D112" location="'Tabla 167'!A1" display="'Tabla 167'!A1" xr:uid="{2581E1E6-7AA1-4C2A-B772-2D4462B8AC60}"/>
    <hyperlink ref="D113" location="'Tabla 168'!A1" display="'Tabla 168'!A1" xr:uid="{2E78D34F-243A-44E5-8D4C-5A059A48DE61}"/>
    <hyperlink ref="D114" location="'Tabla 169'!A1" display="'Tabla 169'!A1" xr:uid="{FC6CA601-6202-45FE-9BB5-703ED04D8C93}"/>
    <hyperlink ref="D115" location="'Tabla 170'!A1" display="'Tabla 170'!A1" xr:uid="{39DFAC14-A383-4585-9F64-7D90CB9C1E0A}"/>
    <hyperlink ref="D116" location="'Tabla 171'!A1" display="'Tabla 171'!A1" xr:uid="{A0F8FA33-9128-4CC4-929B-3F6A35E4118C}"/>
    <hyperlink ref="D117" location="'Tabla 172'!A1" display="'Tabla 172'!A1" xr:uid="{DA3593EC-C3E4-40D5-BBF4-EB895DAEE135}"/>
    <hyperlink ref="D118" location="'Tabla 173'!A1" display="'Tabla 173'!A1" xr:uid="{97F845C6-B7DD-4307-8D9D-12E02DA19BE4}"/>
    <hyperlink ref="D119" location="'Tabla 174'!A1" display="'Tabla 174'!A1" xr:uid="{C356E9E9-280C-46F4-AECD-6EA3DA5770DE}"/>
    <hyperlink ref="D120" location="'Tabla 175'!A1" display="'Tabla 175'!A1" xr:uid="{B4248261-2B39-4264-8E3F-3EFF6B475A72}"/>
    <hyperlink ref="D121" location="'Tabla 179'!A1" display="'Tabla 179'!A1" xr:uid="{DAA510AE-CE1D-416C-A066-23C4643060F3}"/>
    <hyperlink ref="E122" location="'Gráfico 17'!A1" display="'Gráfico 17'!A1" xr:uid="{CDA4A040-D3FE-459A-929D-69BE8A86975B}"/>
    <hyperlink ref="D123" location="'Tabla 181'!A1" display="'Tabla 181'!A1" xr:uid="{8739FD17-B940-4D83-81E7-C29DA8FB10FD}"/>
    <hyperlink ref="E124" location="'Gráfico 18'!A1" display="'Gráfico 18'!A1" xr:uid="{AAFB2D7A-C624-40FC-AD78-F7F07F102934}"/>
    <hyperlink ref="D125" location="'Tabla 182'!A1" display="'Tabla 182'!A1" xr:uid="{8DD8054B-4B73-433B-9A65-8EC1975533BE}"/>
    <hyperlink ref="D126" location="'Tabla 183'!A1" display="'Tabla 183'!A1" xr:uid="{B3ECC158-BDB6-4A8A-A227-7B9D164AB7CE}"/>
    <hyperlink ref="D128" location="'Tabla 184'!A1" display="'Tabla 184'!A1" xr:uid="{6BBA732F-7441-4B64-AEE0-B42A9A8CDA16}"/>
    <hyperlink ref="D129" location="'Tabla 185'!A1" display="'Tabla 185'!A1" xr:uid="{3BEF8F4B-4DD1-47F2-8661-8EDAC9919AF2}"/>
    <hyperlink ref="D130" location="'Tabla 186'!A1" display="'Tabla 186'!A1" xr:uid="{2C2FEBC7-7359-4A00-9C33-17241D3F9CAE}"/>
    <hyperlink ref="D131" location="'Tabla 187'!A1" display="'Tabla 187'!A1" xr:uid="{9E282578-A428-4B61-AF44-34E2823F4F45}"/>
    <hyperlink ref="D132" location="'Tabla 188'!A1" display="'Tabla 188'!A1" xr:uid="{F616A4EE-CE88-40B5-A3BD-045EE7088AC2}"/>
    <hyperlink ref="D133" location="'Tabla 189'!A1" display="'Tabla 189'!A1" xr:uid="{3EE7E292-C8B0-43FC-BCBA-E69A2B0EC055}"/>
    <hyperlink ref="D134" location="'Tabla 190'!A1" display="'Tabla 190'!A1" xr:uid="{19559946-176B-404E-B2DC-92E132C8A03D}"/>
    <hyperlink ref="D135" location="'Tabla 191'!A1" display="'Tabla 191'!A1" xr:uid="{C93273D4-1E77-43C8-B212-6055251C7F72}"/>
    <hyperlink ref="D136" location="'Tabla 193'!A1" display="'Tabla 193'!A1" xr:uid="{3745B6EF-E94A-404B-B3B0-F875A5E7707F}"/>
    <hyperlink ref="D137" location="'Tabla 194'!A1" display="'Tabla 194'!A1" xr:uid="{A386C09B-6963-402B-932B-9666423EF892}"/>
    <hyperlink ref="E138" location="'Gráfico 20'!A1" display="'Gráfico 20'!A1" xr:uid="{20130D9E-2234-476C-B445-E2006D4984E5}"/>
    <hyperlink ref="D139" location="'Tabla 196'!A1" display="'Tabla 196'!A1" xr:uid="{EF08FCDD-9D4E-4073-B568-34C2721A1522}"/>
    <hyperlink ref="E143" location="'Gráfico 21'!A1" display="'Gráfico 21'!A1" xr:uid="{E4B7ABB4-E43F-4926-AFA6-9FE095C3905B}"/>
    <hyperlink ref="D140" location="'Tabla 197'!A1" display="'Tabla 197'!A1" xr:uid="{74C961E4-9865-4583-B7F5-6723D3877672}"/>
    <hyperlink ref="D141" location="'Tabla 198'!A1" display="'Tabla 198'!A1" xr:uid="{1F2CF4B8-5B6A-4EA5-98D2-36C490C64296}"/>
    <hyperlink ref="D142" location="'Tabla 199'!A1" display="'Tabla 199'!A1" xr:uid="{1CDB3CF0-EA69-42BC-9916-106C4A985521}"/>
    <hyperlink ref="D144" location="'Tabla 201'!A1" display="'Tabla 201'!A1" xr:uid="{85F64ECC-B9DD-4F0A-9DBF-E8AFCA09561E}"/>
    <hyperlink ref="D145" location="'Tabla 204'!A1" display="'Tabla 204'!A1" xr:uid="{6A87345F-CF13-4CE3-8225-E267710EF7B5}"/>
    <hyperlink ref="D146" location="'Tabla 205'!A1" display="'Tabla 205'!A1" xr:uid="{741B330C-8194-4611-9EF5-CE17C3BEFAEB}"/>
    <hyperlink ref="D147" location="'Tabla 206'!A1" display="'Tabla 206'!A1" xr:uid="{04D783E0-C157-49A7-BF0B-A74E2C68E62C}"/>
    <hyperlink ref="D148" location="'Tabla 208'!A1" display="'Tabla 208'!A1" xr:uid="{75022274-353F-4971-BB1E-285B4E0C4109}"/>
    <hyperlink ref="D149" location="'Tabla 209'!A1" display="'Tabla 209'!A1" xr:uid="{D383BB6C-725D-4EFC-B32E-228CF40B0C05}"/>
    <hyperlink ref="D150" location="'Tabla 210'!A1" display="'Tabla 210'!A1" xr:uid="{9A3DD453-1322-46B6-93F1-53E6A357A614}"/>
    <hyperlink ref="D151" location="'Tabla 212'!A1" display="'Tabla 212'!A1" xr:uid="{0BED0850-5EDA-41E9-AE2C-A4660DAFD163}"/>
    <hyperlink ref="D152" location="'Tabla 214'!A1" display="'Tabla 214'!A1" xr:uid="{3DF18C40-7885-48CD-B387-2EC045869DE2}"/>
    <hyperlink ref="D153" location="'Tabla 215'!A1" display="'Tabla 215'!A1" xr:uid="{C1B2F4B3-5EA5-4179-A765-7102DEC83E01}"/>
    <hyperlink ref="D154" location="'Tabla 216'!A1" display="'Tabla 216'!A1" xr:uid="{EA4DF5A4-7091-4637-8DDC-670B42CDCE42}"/>
    <hyperlink ref="D155" location="'Tabla 217'!A1" display="'Tabla 217'!A1" xr:uid="{CA8E5E0F-A216-442E-B04E-D5C567FBA32C}"/>
    <hyperlink ref="D156" location="'Tabla 218'!A1" display="'Tabla 218'!A1" xr:uid="{E41DA30C-6464-410E-8423-952218087B03}"/>
    <hyperlink ref="D157" location="'Tabla 219'!A1" display="'Tabla 219'!A1" xr:uid="{F4F26120-4734-4589-8C0F-7E41F4AE5540}"/>
    <hyperlink ref="D158" location="'Tabla 221'!A1" display="'Tabla 221'!A1" xr:uid="{C5D721A3-AD26-43E0-B380-6210CC64CB06}"/>
    <hyperlink ref="D159" location="'Tabla 224'!A1" display="'Tabla 224'!A1" xr:uid="{25D46BF2-D8B7-43EF-8036-F834A53AFC4A}"/>
    <hyperlink ref="D160" location="'Tabla 225'!A1" display="'Tabla 225'!A1" xr:uid="{6D271B5A-68B5-49A1-BD7A-538A134E006C}"/>
    <hyperlink ref="D161" location="'Tabla 226'!A1" display="'Tabla 226'!A1" xr:uid="{95C29446-CDFD-40AF-9E73-A73C9F053CBE}"/>
    <hyperlink ref="D162" location="'Tabla 227'!A1" display="'Tabla 227'!A1" xr:uid="{CE36AA46-F939-407F-9CE4-414F7845483D}"/>
    <hyperlink ref="D163" location="'Tabla 228'!A1" display="'Tabla 228'!A1" xr:uid="{F0816301-C8BB-4100-A7D6-33A9F8DE6CF2}"/>
    <hyperlink ref="D164" location="'Tabla 229'!A1" display="'Tabla 229'!A1" xr:uid="{8C864BA6-2819-4DE7-93CE-730FCC53A594}"/>
    <hyperlink ref="D165" location="'Tabla 231'!A1" display="'Tabla 231'!A1" xr:uid="{2A5F8806-8006-46F6-ABED-5C46E31793B9}"/>
    <hyperlink ref="D166" location="'Tabla 232'!A1" display="'Tabla 232'!A1" xr:uid="{DE7E1035-FB09-4DFB-B571-7D9A0EDE9349}"/>
    <hyperlink ref="D167" location="'Tabla 239'!A1" display="'Tabla 239'!A1" xr:uid="{266B182C-6D2E-4932-A7D6-2A72D54D5E04}"/>
    <hyperlink ref="D168" location="'Tabla 240'!A1" display="'Tabla 240'!A1" xr:uid="{5DF0AC32-3CED-40D5-962F-31C0360D8B4C}"/>
    <hyperlink ref="E127" location="'Gráfico 19'!A1" display="'Gráfico 19'!A1" xr:uid="{3FBE0293-9C74-405E-A64E-189DBCCAEE8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168"/>
  <sheetViews>
    <sheetView zoomScale="89" zoomScaleNormal="130" workbookViewId="0">
      <pane ySplit="1" topLeftCell="A18" activePane="bottomLeft" state="frozen"/>
      <selection pane="bottomLeft" activeCell="D25" sqref="D25"/>
    </sheetView>
  </sheetViews>
  <sheetFormatPr baseColWidth="10" defaultColWidth="8.44140625" defaultRowHeight="14.4" x14ac:dyDescent="0.3"/>
  <cols>
    <col min="1" max="1" width="35.44140625" customWidth="1"/>
    <col min="2" max="2" width="33.44140625" customWidth="1"/>
    <col min="3" max="3" width="6.44140625" hidden="1" customWidth="1"/>
    <col min="4" max="4" width="8.44140625" style="42"/>
    <col min="5" max="5" width="12.44140625" style="42" bestFit="1" customWidth="1"/>
    <col min="6" max="6" width="46.44140625" customWidth="1"/>
    <col min="7" max="7" width="21.44140625" customWidth="1"/>
    <col min="8" max="8" width="20.44140625" customWidth="1"/>
    <col min="9" max="9" width="27.44140625" style="487" customWidth="1"/>
    <col min="10" max="10" width="41.44140625" customWidth="1"/>
    <col min="76" max="76" width="11.44140625" style="328" bestFit="1" customWidth="1"/>
  </cols>
  <sheetData>
    <row r="1" spans="1:76" ht="28.8" x14ac:dyDescent="0.3">
      <c r="A1" s="306" t="s">
        <v>1</v>
      </c>
      <c r="B1" s="306" t="s">
        <v>2</v>
      </c>
      <c r="C1" s="306" t="s">
        <v>301</v>
      </c>
      <c r="D1" s="306" t="s">
        <v>3</v>
      </c>
      <c r="E1" s="306" t="s">
        <v>4</v>
      </c>
      <c r="F1" s="306" t="s">
        <v>5</v>
      </c>
      <c r="G1" s="306" t="s">
        <v>6</v>
      </c>
      <c r="H1" s="306" t="s">
        <v>7</v>
      </c>
      <c r="I1" s="306" t="s">
        <v>8</v>
      </c>
      <c r="J1" s="453" t="s">
        <v>302</v>
      </c>
      <c r="BX1" s="328" t="s">
        <v>301</v>
      </c>
    </row>
    <row r="2" spans="1:76" ht="28.8" x14ac:dyDescent="0.3">
      <c r="A2" s="307" t="s">
        <v>9</v>
      </c>
      <c r="B2" s="302" t="s">
        <v>10</v>
      </c>
      <c r="C2" s="307">
        <v>1</v>
      </c>
      <c r="D2" s="308">
        <v>1</v>
      </c>
      <c r="E2" s="309"/>
      <c r="F2" s="302" t="s">
        <v>11</v>
      </c>
      <c r="G2" s="302" t="s">
        <v>12</v>
      </c>
      <c r="H2" s="302" t="s">
        <v>13</v>
      </c>
      <c r="I2" s="311" t="s">
        <v>14</v>
      </c>
      <c r="J2" s="449"/>
      <c r="BX2" s="328">
        <v>1</v>
      </c>
    </row>
    <row r="3" spans="1:76" x14ac:dyDescent="0.3">
      <c r="A3" s="307" t="s">
        <v>9</v>
      </c>
      <c r="B3" s="302" t="s">
        <v>10</v>
      </c>
      <c r="C3" s="307">
        <v>2</v>
      </c>
      <c r="D3" s="308">
        <v>2</v>
      </c>
      <c r="E3" s="309"/>
      <c r="F3" s="302" t="s">
        <v>15</v>
      </c>
      <c r="G3" s="302" t="s">
        <v>12</v>
      </c>
      <c r="H3" s="302" t="s">
        <v>13</v>
      </c>
      <c r="I3" s="311" t="s">
        <v>14</v>
      </c>
      <c r="J3" s="450"/>
      <c r="BX3" s="328">
        <v>2</v>
      </c>
    </row>
    <row r="4" spans="1:76" ht="28.8" x14ac:dyDescent="0.3">
      <c r="A4" s="307" t="s">
        <v>9</v>
      </c>
      <c r="B4" s="302" t="s">
        <v>10</v>
      </c>
      <c r="C4" s="307">
        <v>3</v>
      </c>
      <c r="D4" s="308">
        <v>3</v>
      </c>
      <c r="E4" s="309"/>
      <c r="F4" s="302" t="s">
        <v>16</v>
      </c>
      <c r="G4" s="302" t="s">
        <v>12</v>
      </c>
      <c r="H4" s="302" t="s">
        <v>13</v>
      </c>
      <c r="I4" s="311" t="s">
        <v>14</v>
      </c>
      <c r="J4" s="450"/>
      <c r="BX4" s="328">
        <v>3</v>
      </c>
    </row>
    <row r="5" spans="1:76" ht="28.8" x14ac:dyDescent="0.3">
      <c r="A5" s="307" t="s">
        <v>9</v>
      </c>
      <c r="B5" s="302" t="s">
        <v>10</v>
      </c>
      <c r="C5" s="307">
        <v>4</v>
      </c>
      <c r="D5" s="308">
        <v>4</v>
      </c>
      <c r="E5" s="309"/>
      <c r="F5" s="302" t="s">
        <v>17</v>
      </c>
      <c r="G5" s="302" t="s">
        <v>12</v>
      </c>
      <c r="H5" s="302" t="s">
        <v>13</v>
      </c>
      <c r="I5" s="311" t="s">
        <v>14</v>
      </c>
      <c r="J5" s="450"/>
      <c r="BX5" s="328">
        <v>4</v>
      </c>
    </row>
    <row r="6" spans="1:76" x14ac:dyDescent="0.3">
      <c r="A6" s="307" t="s">
        <v>9</v>
      </c>
      <c r="B6" s="302" t="s">
        <v>10</v>
      </c>
      <c r="C6" s="307">
        <v>5</v>
      </c>
      <c r="D6" s="308">
        <v>5</v>
      </c>
      <c r="E6" s="309"/>
      <c r="F6" s="302" t="s">
        <v>18</v>
      </c>
      <c r="G6" s="302" t="s">
        <v>12</v>
      </c>
      <c r="H6" s="302" t="s">
        <v>13</v>
      </c>
      <c r="I6" s="311" t="s">
        <v>14</v>
      </c>
      <c r="J6" s="450"/>
      <c r="BX6" s="328">
        <v>5</v>
      </c>
    </row>
    <row r="7" spans="1:76" x14ac:dyDescent="0.3">
      <c r="A7" s="307" t="s">
        <v>9</v>
      </c>
      <c r="B7" s="302" t="s">
        <v>10</v>
      </c>
      <c r="C7" s="307">
        <v>6</v>
      </c>
      <c r="D7" s="308">
        <v>6</v>
      </c>
      <c r="E7" s="309"/>
      <c r="F7" s="302" t="s">
        <v>303</v>
      </c>
      <c r="G7" s="302" t="s">
        <v>20</v>
      </c>
      <c r="H7" s="315" t="s">
        <v>21</v>
      </c>
      <c r="I7" s="311" t="s">
        <v>22</v>
      </c>
      <c r="J7" s="450"/>
      <c r="BX7" s="328">
        <v>6</v>
      </c>
    </row>
    <row r="8" spans="1:76" x14ac:dyDescent="0.3">
      <c r="A8" s="307" t="s">
        <v>9</v>
      </c>
      <c r="B8" s="302" t="s">
        <v>10</v>
      </c>
      <c r="C8" s="307">
        <v>7</v>
      </c>
      <c r="D8" s="309"/>
      <c r="E8" s="308">
        <v>1</v>
      </c>
      <c r="F8" s="302" t="s">
        <v>304</v>
      </c>
      <c r="G8" s="302" t="s">
        <v>24</v>
      </c>
      <c r="H8" s="315" t="s">
        <v>25</v>
      </c>
      <c r="I8" s="511" t="s">
        <v>26</v>
      </c>
      <c r="J8" s="450"/>
      <c r="BX8" s="328">
        <v>7</v>
      </c>
    </row>
    <row r="9" spans="1:76" x14ac:dyDescent="0.3">
      <c r="A9" s="307" t="s">
        <v>9</v>
      </c>
      <c r="B9" s="302" t="s">
        <v>10</v>
      </c>
      <c r="C9" s="307">
        <v>8</v>
      </c>
      <c r="D9" s="309"/>
      <c r="E9" s="308">
        <v>2</v>
      </c>
      <c r="F9" s="302" t="s">
        <v>27</v>
      </c>
      <c r="G9" s="302" t="s">
        <v>24</v>
      </c>
      <c r="H9" s="315" t="s">
        <v>25</v>
      </c>
      <c r="I9" s="511" t="s">
        <v>26</v>
      </c>
      <c r="J9" s="450"/>
      <c r="BX9" s="328">
        <v>8</v>
      </c>
    </row>
    <row r="10" spans="1:76" ht="28.8" x14ac:dyDescent="0.3">
      <c r="A10" s="307" t="s">
        <v>9</v>
      </c>
      <c r="B10" s="302" t="s">
        <v>10</v>
      </c>
      <c r="C10" s="307">
        <v>9</v>
      </c>
      <c r="D10" s="308">
        <v>7</v>
      </c>
      <c r="E10" s="309"/>
      <c r="F10" s="302" t="s">
        <v>305</v>
      </c>
      <c r="G10" s="302" t="s">
        <v>20</v>
      </c>
      <c r="H10" s="315" t="s">
        <v>21</v>
      </c>
      <c r="I10" s="311" t="s">
        <v>22</v>
      </c>
      <c r="J10" s="450"/>
      <c r="BX10" s="328">
        <v>9</v>
      </c>
    </row>
    <row r="11" spans="1:76" ht="28.8" x14ac:dyDescent="0.3">
      <c r="A11" s="307" t="s">
        <v>9</v>
      </c>
      <c r="B11" s="302" t="s">
        <v>10</v>
      </c>
      <c r="C11" s="307">
        <v>10</v>
      </c>
      <c r="D11" s="308">
        <v>8</v>
      </c>
      <c r="E11" s="309"/>
      <c r="F11" s="302" t="s">
        <v>29</v>
      </c>
      <c r="G11" s="302" t="s">
        <v>30</v>
      </c>
      <c r="H11" s="315" t="s">
        <v>31</v>
      </c>
      <c r="I11" s="311" t="s">
        <v>32</v>
      </c>
      <c r="J11" s="450" t="s">
        <v>306</v>
      </c>
      <c r="BX11" s="328">
        <v>10</v>
      </c>
    </row>
    <row r="12" spans="1:76" ht="28.8" x14ac:dyDescent="0.3">
      <c r="A12" s="307" t="s">
        <v>9</v>
      </c>
      <c r="B12" s="302" t="s">
        <v>10</v>
      </c>
      <c r="C12" s="307">
        <v>11</v>
      </c>
      <c r="D12" s="308">
        <v>9</v>
      </c>
      <c r="E12" s="309"/>
      <c r="F12" s="302" t="s">
        <v>33</v>
      </c>
      <c r="G12" s="302" t="s">
        <v>30</v>
      </c>
      <c r="H12" s="315" t="s">
        <v>31</v>
      </c>
      <c r="I12" s="311" t="s">
        <v>32</v>
      </c>
      <c r="J12" s="450" t="s">
        <v>306</v>
      </c>
      <c r="BX12" s="328">
        <v>11</v>
      </c>
    </row>
    <row r="13" spans="1:76" x14ac:dyDescent="0.3">
      <c r="A13" s="307" t="s">
        <v>9</v>
      </c>
      <c r="B13" s="302" t="s">
        <v>10</v>
      </c>
      <c r="C13" s="307">
        <v>12</v>
      </c>
      <c r="D13" s="308">
        <v>10</v>
      </c>
      <c r="E13" s="309"/>
      <c r="F13" s="302" t="s">
        <v>307</v>
      </c>
      <c r="G13" s="302" t="s">
        <v>30</v>
      </c>
      <c r="H13" s="315" t="s">
        <v>31</v>
      </c>
      <c r="I13" s="311" t="s">
        <v>32</v>
      </c>
      <c r="J13" s="450"/>
      <c r="BX13" s="328">
        <v>12</v>
      </c>
    </row>
    <row r="14" spans="1:76" ht="28.8" x14ac:dyDescent="0.3">
      <c r="A14" s="310" t="s">
        <v>35</v>
      </c>
      <c r="B14" s="310" t="s">
        <v>36</v>
      </c>
      <c r="C14" s="310">
        <v>13</v>
      </c>
      <c r="D14" s="308">
        <v>23</v>
      </c>
      <c r="E14" s="309"/>
      <c r="F14" s="314" t="s">
        <v>37</v>
      </c>
      <c r="G14" s="310" t="s">
        <v>12</v>
      </c>
      <c r="H14" s="310" t="s">
        <v>13</v>
      </c>
      <c r="I14" s="311" t="s">
        <v>38</v>
      </c>
      <c r="J14" s="450"/>
      <c r="BX14" s="328">
        <v>13</v>
      </c>
    </row>
    <row r="15" spans="1:76" ht="28.8" x14ac:dyDescent="0.3">
      <c r="A15" s="310" t="s">
        <v>35</v>
      </c>
      <c r="B15" s="310" t="s">
        <v>39</v>
      </c>
      <c r="C15" s="310">
        <v>14</v>
      </c>
      <c r="D15" s="308">
        <v>29</v>
      </c>
      <c r="E15" s="309"/>
      <c r="F15" s="314" t="s">
        <v>40</v>
      </c>
      <c r="G15" s="310" t="s">
        <v>41</v>
      </c>
      <c r="H15" s="314" t="s">
        <v>42</v>
      </c>
      <c r="I15" s="311" t="s">
        <v>43</v>
      </c>
      <c r="J15" s="450"/>
      <c r="BX15" s="328">
        <v>14</v>
      </c>
    </row>
    <row r="16" spans="1:76" ht="28.8" x14ac:dyDescent="0.3">
      <c r="A16" s="310" t="s">
        <v>44</v>
      </c>
      <c r="B16" s="310" t="s">
        <v>45</v>
      </c>
      <c r="C16" s="310">
        <v>15</v>
      </c>
      <c r="D16" s="308">
        <v>32</v>
      </c>
      <c r="E16" s="309"/>
      <c r="F16" s="310" t="s">
        <v>308</v>
      </c>
      <c r="G16" s="310" t="s">
        <v>47</v>
      </c>
      <c r="H16" s="313" t="s">
        <v>48</v>
      </c>
      <c r="I16" s="311" t="s">
        <v>49</v>
      </c>
      <c r="J16" s="450"/>
      <c r="BX16" s="328">
        <v>15</v>
      </c>
    </row>
    <row r="17" spans="1:76" ht="28.8" x14ac:dyDescent="0.3">
      <c r="A17" s="310" t="s">
        <v>44</v>
      </c>
      <c r="B17" s="310" t="s">
        <v>45</v>
      </c>
      <c r="C17" s="310">
        <v>16</v>
      </c>
      <c r="D17" s="308">
        <v>33</v>
      </c>
      <c r="E17" s="309"/>
      <c r="F17" s="310" t="s">
        <v>50</v>
      </c>
      <c r="G17" s="310" t="s">
        <v>47</v>
      </c>
      <c r="H17" s="313" t="s">
        <v>48</v>
      </c>
      <c r="I17" s="311" t="s">
        <v>49</v>
      </c>
      <c r="J17" s="450"/>
      <c r="BX17" s="328">
        <v>16</v>
      </c>
    </row>
    <row r="18" spans="1:76" ht="28.8" x14ac:dyDescent="0.3">
      <c r="A18" s="310" t="s">
        <v>44</v>
      </c>
      <c r="B18" s="310" t="s">
        <v>45</v>
      </c>
      <c r="C18" s="310">
        <v>17</v>
      </c>
      <c r="D18" s="308">
        <v>34</v>
      </c>
      <c r="E18" s="309"/>
      <c r="F18" s="310" t="s">
        <v>51</v>
      </c>
      <c r="G18" s="310" t="s">
        <v>47</v>
      </c>
      <c r="H18" s="314" t="s">
        <v>52</v>
      </c>
      <c r="I18" s="311" t="s">
        <v>52</v>
      </c>
      <c r="J18" s="450"/>
      <c r="BX18" s="328">
        <v>17</v>
      </c>
    </row>
    <row r="19" spans="1:76" ht="43.2" x14ac:dyDescent="0.3">
      <c r="A19" s="310" t="s">
        <v>44</v>
      </c>
      <c r="B19" s="311" t="s">
        <v>53</v>
      </c>
      <c r="C19" s="310">
        <v>18</v>
      </c>
      <c r="D19" s="309"/>
      <c r="E19" s="590" t="s">
        <v>54</v>
      </c>
      <c r="F19" s="310" t="s">
        <v>55</v>
      </c>
      <c r="G19" s="310" t="s">
        <v>56</v>
      </c>
      <c r="H19" s="314" t="s">
        <v>57</v>
      </c>
      <c r="I19" s="311" t="s">
        <v>58</v>
      </c>
      <c r="J19" s="450"/>
      <c r="BX19" s="328">
        <v>18</v>
      </c>
    </row>
    <row r="20" spans="1:76" ht="28.8" x14ac:dyDescent="0.3">
      <c r="A20" s="310" t="s">
        <v>44</v>
      </c>
      <c r="B20" s="311" t="s">
        <v>53</v>
      </c>
      <c r="C20" s="310">
        <v>19</v>
      </c>
      <c r="D20" s="309"/>
      <c r="E20" s="590" t="s">
        <v>59</v>
      </c>
      <c r="F20" s="310" t="s">
        <v>60</v>
      </c>
      <c r="G20" s="310" t="s">
        <v>309</v>
      </c>
      <c r="H20" s="314" t="s">
        <v>57</v>
      </c>
      <c r="I20" s="311" t="s">
        <v>58</v>
      </c>
      <c r="J20" s="450"/>
      <c r="BX20" s="328">
        <v>19</v>
      </c>
    </row>
    <row r="21" spans="1:76" ht="28.8" x14ac:dyDescent="0.3">
      <c r="A21" s="310" t="s">
        <v>44</v>
      </c>
      <c r="B21" s="311" t="s">
        <v>53</v>
      </c>
      <c r="C21" s="310">
        <v>20</v>
      </c>
      <c r="D21" s="309"/>
      <c r="E21" s="590" t="s">
        <v>61</v>
      </c>
      <c r="F21" s="310" t="s">
        <v>62</v>
      </c>
      <c r="G21" s="310" t="s">
        <v>63</v>
      </c>
      <c r="H21" s="314" t="s">
        <v>57</v>
      </c>
      <c r="I21" s="311" t="s">
        <v>58</v>
      </c>
      <c r="J21" s="450"/>
      <c r="BX21" s="328">
        <v>20</v>
      </c>
    </row>
    <row r="22" spans="1:76" ht="28.8" x14ac:dyDescent="0.3">
      <c r="A22" s="310" t="s">
        <v>44</v>
      </c>
      <c r="B22" s="311" t="s">
        <v>53</v>
      </c>
      <c r="C22" s="310">
        <v>21</v>
      </c>
      <c r="D22" s="308">
        <v>36</v>
      </c>
      <c r="E22" s="309"/>
      <c r="F22" s="310" t="s">
        <v>64</v>
      </c>
      <c r="G22" s="310" t="s">
        <v>63</v>
      </c>
      <c r="H22" s="314" t="s">
        <v>57</v>
      </c>
      <c r="I22" s="311" t="s">
        <v>310</v>
      </c>
      <c r="J22" s="450"/>
      <c r="BX22" s="328">
        <v>21</v>
      </c>
    </row>
    <row r="23" spans="1:76" ht="28.8" x14ac:dyDescent="0.3">
      <c r="A23" s="310" t="s">
        <v>44</v>
      </c>
      <c r="B23" s="311" t="s">
        <v>65</v>
      </c>
      <c r="C23" s="310">
        <v>22</v>
      </c>
      <c r="D23" s="308">
        <v>39</v>
      </c>
      <c r="E23" s="309"/>
      <c r="F23" s="310" t="s">
        <v>311</v>
      </c>
      <c r="G23" s="310" t="s">
        <v>67</v>
      </c>
      <c r="H23" s="314" t="s">
        <v>68</v>
      </c>
      <c r="I23" s="311" t="s">
        <v>69</v>
      </c>
      <c r="J23" s="450"/>
      <c r="BX23" s="328">
        <v>22</v>
      </c>
    </row>
    <row r="24" spans="1:76" ht="28.8" x14ac:dyDescent="0.3">
      <c r="A24" s="310" t="s">
        <v>44</v>
      </c>
      <c r="B24" s="311" t="s">
        <v>65</v>
      </c>
      <c r="C24" s="310">
        <v>23</v>
      </c>
      <c r="D24" s="308">
        <v>40</v>
      </c>
      <c r="E24" s="309"/>
      <c r="F24" s="310" t="s">
        <v>70</v>
      </c>
      <c r="G24" s="310" t="s">
        <v>67</v>
      </c>
      <c r="H24" s="314" t="s">
        <v>68</v>
      </c>
      <c r="I24" s="311" t="s">
        <v>69</v>
      </c>
      <c r="J24" s="450"/>
      <c r="BX24" s="328">
        <v>23</v>
      </c>
    </row>
    <row r="25" spans="1:76" ht="28.8" x14ac:dyDescent="0.3">
      <c r="A25" s="310" t="s">
        <v>44</v>
      </c>
      <c r="B25" s="311" t="s">
        <v>65</v>
      </c>
      <c r="C25" s="310">
        <v>24</v>
      </c>
      <c r="D25" s="308">
        <v>41</v>
      </c>
      <c r="E25" s="309"/>
      <c r="F25" s="310" t="s">
        <v>71</v>
      </c>
      <c r="G25" s="310" t="s">
        <v>67</v>
      </c>
      <c r="H25" s="314" t="s">
        <v>68</v>
      </c>
      <c r="I25" s="311" t="s">
        <v>69</v>
      </c>
      <c r="J25" s="450"/>
      <c r="BX25" s="328">
        <v>24</v>
      </c>
    </row>
    <row r="26" spans="1:76" ht="28.8" x14ac:dyDescent="0.3">
      <c r="A26" s="310" t="s">
        <v>44</v>
      </c>
      <c r="B26" s="311" t="s">
        <v>65</v>
      </c>
      <c r="C26" s="310">
        <v>25</v>
      </c>
      <c r="D26" s="308">
        <v>42</v>
      </c>
      <c r="E26" s="309"/>
      <c r="F26" s="310" t="s">
        <v>312</v>
      </c>
      <c r="G26" s="310" t="s">
        <v>67</v>
      </c>
      <c r="H26" s="314" t="s">
        <v>68</v>
      </c>
      <c r="I26" s="311" t="s">
        <v>69</v>
      </c>
      <c r="J26" s="450"/>
      <c r="BX26" s="328">
        <v>25</v>
      </c>
    </row>
    <row r="27" spans="1:76" ht="28.8" x14ac:dyDescent="0.3">
      <c r="A27" s="310" t="s">
        <v>44</v>
      </c>
      <c r="B27" s="311" t="s">
        <v>65</v>
      </c>
      <c r="C27" s="310">
        <v>26</v>
      </c>
      <c r="D27" s="308">
        <v>43</v>
      </c>
      <c r="E27" s="309"/>
      <c r="F27" s="310" t="s">
        <v>313</v>
      </c>
      <c r="G27" s="310" t="s">
        <v>67</v>
      </c>
      <c r="H27" s="314" t="s">
        <v>68</v>
      </c>
      <c r="I27" s="311" t="s">
        <v>69</v>
      </c>
      <c r="J27" s="450"/>
      <c r="BX27" s="328">
        <v>26</v>
      </c>
    </row>
    <row r="28" spans="1:76" ht="28.8" x14ac:dyDescent="0.3">
      <c r="A28" s="310" t="s">
        <v>44</v>
      </c>
      <c r="B28" s="311" t="s">
        <v>65</v>
      </c>
      <c r="C28" s="310">
        <v>27</v>
      </c>
      <c r="D28" s="308">
        <v>44</v>
      </c>
      <c r="E28" s="309"/>
      <c r="F28" s="310" t="s">
        <v>74</v>
      </c>
      <c r="G28" s="310" t="s">
        <v>75</v>
      </c>
      <c r="H28" s="311" t="s">
        <v>77</v>
      </c>
      <c r="I28" s="311" t="s">
        <v>77</v>
      </c>
      <c r="J28" s="450"/>
      <c r="BX28" s="328">
        <v>27</v>
      </c>
    </row>
    <row r="29" spans="1:76" ht="28.8" x14ac:dyDescent="0.3">
      <c r="A29" s="310" t="s">
        <v>44</v>
      </c>
      <c r="B29" s="311" t="s">
        <v>65</v>
      </c>
      <c r="C29" s="310">
        <v>28</v>
      </c>
      <c r="D29" s="309"/>
      <c r="E29" s="308">
        <v>3</v>
      </c>
      <c r="F29" s="310" t="s">
        <v>78</v>
      </c>
      <c r="G29" s="310" t="s">
        <v>79</v>
      </c>
      <c r="H29" s="314" t="s">
        <v>80</v>
      </c>
      <c r="I29" s="311" t="s">
        <v>80</v>
      </c>
      <c r="J29" s="450"/>
      <c r="BX29" s="328">
        <v>28</v>
      </c>
    </row>
    <row r="30" spans="1:76" ht="28.8" x14ac:dyDescent="0.3">
      <c r="A30" s="310" t="s">
        <v>44</v>
      </c>
      <c r="B30" s="311" t="s">
        <v>65</v>
      </c>
      <c r="C30" s="310">
        <v>29</v>
      </c>
      <c r="D30" s="308">
        <v>45</v>
      </c>
      <c r="E30" s="308"/>
      <c r="F30" s="310" t="s">
        <v>81</v>
      </c>
      <c r="G30" s="310" t="s">
        <v>79</v>
      </c>
      <c r="H30" s="314" t="s">
        <v>80</v>
      </c>
      <c r="I30" s="311" t="s">
        <v>80</v>
      </c>
      <c r="J30" s="450"/>
      <c r="BX30" s="328">
        <v>29</v>
      </c>
    </row>
    <row r="31" spans="1:76" ht="28.8" x14ac:dyDescent="0.3">
      <c r="A31" s="310" t="s">
        <v>44</v>
      </c>
      <c r="B31" s="311" t="s">
        <v>65</v>
      </c>
      <c r="C31" s="310">
        <v>30</v>
      </c>
      <c r="D31" s="308">
        <v>46</v>
      </c>
      <c r="E31" s="309"/>
      <c r="F31" s="310" t="s">
        <v>82</v>
      </c>
      <c r="G31" s="310" t="s">
        <v>79</v>
      </c>
      <c r="H31" s="314" t="s">
        <v>80</v>
      </c>
      <c r="I31" s="311" t="s">
        <v>80</v>
      </c>
      <c r="J31" s="450"/>
      <c r="BX31" s="328">
        <v>30</v>
      </c>
    </row>
    <row r="32" spans="1:76" ht="28.8" x14ac:dyDescent="0.3">
      <c r="A32" s="310" t="s">
        <v>44</v>
      </c>
      <c r="B32" s="311" t="s">
        <v>65</v>
      </c>
      <c r="C32" s="310">
        <v>31</v>
      </c>
      <c r="D32" s="308">
        <v>47</v>
      </c>
      <c r="E32" s="309"/>
      <c r="F32" s="310" t="s">
        <v>83</v>
      </c>
      <c r="G32" s="310" t="s">
        <v>79</v>
      </c>
      <c r="H32" s="314" t="s">
        <v>80</v>
      </c>
      <c r="I32" s="311" t="s">
        <v>80</v>
      </c>
      <c r="J32" s="450"/>
      <c r="BX32" s="328">
        <v>31</v>
      </c>
    </row>
    <row r="33" spans="1:76" ht="28.8" x14ac:dyDescent="0.3">
      <c r="A33" s="310" t="s">
        <v>44</v>
      </c>
      <c r="B33" s="311" t="s">
        <v>65</v>
      </c>
      <c r="C33" s="310">
        <v>32</v>
      </c>
      <c r="D33" s="308">
        <v>48</v>
      </c>
      <c r="E33" s="309"/>
      <c r="F33" s="310" t="s">
        <v>84</v>
      </c>
      <c r="G33" s="310" t="s">
        <v>79</v>
      </c>
      <c r="H33" s="314" t="s">
        <v>80</v>
      </c>
      <c r="I33" s="311" t="s">
        <v>80</v>
      </c>
      <c r="J33" s="450"/>
      <c r="BX33" s="328">
        <v>32</v>
      </c>
    </row>
    <row r="34" spans="1:76" ht="28.8" x14ac:dyDescent="0.3">
      <c r="A34" s="310" t="s">
        <v>44</v>
      </c>
      <c r="B34" s="311" t="s">
        <v>65</v>
      </c>
      <c r="C34" s="310">
        <v>33</v>
      </c>
      <c r="D34" s="309"/>
      <c r="E34" s="308">
        <v>4</v>
      </c>
      <c r="F34" s="310" t="s">
        <v>85</v>
      </c>
      <c r="G34" s="310" t="s">
        <v>79</v>
      </c>
      <c r="H34" s="314" t="s">
        <v>80</v>
      </c>
      <c r="I34" s="311" t="s">
        <v>80</v>
      </c>
      <c r="J34" s="450"/>
      <c r="BX34" s="328">
        <v>33</v>
      </c>
    </row>
    <row r="35" spans="1:76" ht="28.8" x14ac:dyDescent="0.3">
      <c r="A35" s="310" t="s">
        <v>44</v>
      </c>
      <c r="B35" s="311" t="s">
        <v>65</v>
      </c>
      <c r="C35" s="310">
        <v>34</v>
      </c>
      <c r="D35" s="308">
        <v>49</v>
      </c>
      <c r="E35" s="309"/>
      <c r="F35" s="310" t="s">
        <v>86</v>
      </c>
      <c r="G35" s="310" t="s">
        <v>79</v>
      </c>
      <c r="H35" s="314" t="s">
        <v>80</v>
      </c>
      <c r="I35" s="311" t="s">
        <v>80</v>
      </c>
      <c r="J35" s="450"/>
      <c r="BX35" s="328">
        <v>34</v>
      </c>
    </row>
    <row r="36" spans="1:76" ht="28.8" x14ac:dyDescent="0.3">
      <c r="A36" s="310" t="s">
        <v>44</v>
      </c>
      <c r="B36" s="311" t="s">
        <v>65</v>
      </c>
      <c r="C36" s="310">
        <v>35</v>
      </c>
      <c r="D36" s="308">
        <v>53</v>
      </c>
      <c r="E36" s="309"/>
      <c r="F36" s="310" t="s">
        <v>87</v>
      </c>
      <c r="G36" s="310" t="s">
        <v>88</v>
      </c>
      <c r="H36" s="314" t="s">
        <v>89</v>
      </c>
      <c r="I36" s="311" t="s">
        <v>90</v>
      </c>
      <c r="J36" s="450"/>
      <c r="BX36" s="328">
        <v>35</v>
      </c>
    </row>
    <row r="37" spans="1:76" ht="28.8" x14ac:dyDescent="0.3">
      <c r="A37" s="310" t="s">
        <v>44</v>
      </c>
      <c r="B37" s="311" t="s">
        <v>65</v>
      </c>
      <c r="C37" s="310">
        <v>36</v>
      </c>
      <c r="D37" s="309"/>
      <c r="E37" s="308">
        <v>5</v>
      </c>
      <c r="F37" s="310" t="s">
        <v>91</v>
      </c>
      <c r="G37" s="310" t="s">
        <v>92</v>
      </c>
      <c r="H37" s="314" t="s">
        <v>93</v>
      </c>
      <c r="I37" s="311" t="s">
        <v>93</v>
      </c>
      <c r="J37" s="450"/>
      <c r="BX37" s="328">
        <v>36</v>
      </c>
    </row>
    <row r="38" spans="1:76" ht="28.8" x14ac:dyDescent="0.3">
      <c r="A38" s="310" t="s">
        <v>44</v>
      </c>
      <c r="B38" s="311" t="s">
        <v>94</v>
      </c>
      <c r="C38" s="310">
        <v>37</v>
      </c>
      <c r="D38" s="308">
        <v>55</v>
      </c>
      <c r="E38" s="309"/>
      <c r="F38" s="310" t="s">
        <v>95</v>
      </c>
      <c r="G38" s="310" t="s">
        <v>88</v>
      </c>
      <c r="H38" s="314" t="s">
        <v>89</v>
      </c>
      <c r="I38" s="311" t="s">
        <v>90</v>
      </c>
      <c r="J38" s="450"/>
      <c r="BX38" s="328">
        <v>37</v>
      </c>
    </row>
    <row r="39" spans="1:76" ht="28.8" x14ac:dyDescent="0.3">
      <c r="A39" s="310" t="s">
        <v>44</v>
      </c>
      <c r="B39" s="311" t="s">
        <v>94</v>
      </c>
      <c r="C39" s="310">
        <v>38</v>
      </c>
      <c r="D39" s="308">
        <v>57</v>
      </c>
      <c r="E39" s="309"/>
      <c r="F39" s="310" t="s">
        <v>314</v>
      </c>
      <c r="G39" s="310" t="s">
        <v>88</v>
      </c>
      <c r="H39" s="314" t="s">
        <v>89</v>
      </c>
      <c r="I39" s="311" t="s">
        <v>90</v>
      </c>
      <c r="J39" s="450"/>
      <c r="BX39" s="328">
        <v>38</v>
      </c>
    </row>
    <row r="40" spans="1:76" ht="28.8" x14ac:dyDescent="0.3">
      <c r="A40" s="310" t="s">
        <v>44</v>
      </c>
      <c r="B40" s="311" t="s">
        <v>94</v>
      </c>
      <c r="C40" s="310">
        <v>39</v>
      </c>
      <c r="D40" s="308">
        <v>58</v>
      </c>
      <c r="E40" s="309"/>
      <c r="F40" s="310" t="s">
        <v>315</v>
      </c>
      <c r="G40" s="310" t="s">
        <v>88</v>
      </c>
      <c r="H40" s="314" t="s">
        <v>98</v>
      </c>
      <c r="I40" s="311" t="s">
        <v>99</v>
      </c>
      <c r="J40" s="450"/>
      <c r="BX40" s="328">
        <v>39</v>
      </c>
    </row>
    <row r="41" spans="1:76" ht="28.8" x14ac:dyDescent="0.35">
      <c r="A41" s="310" t="s">
        <v>44</v>
      </c>
      <c r="B41" s="311" t="s">
        <v>100</v>
      </c>
      <c r="C41" s="310">
        <v>40</v>
      </c>
      <c r="D41" s="308">
        <v>61</v>
      </c>
      <c r="E41" s="309"/>
      <c r="F41" s="310" t="s">
        <v>101</v>
      </c>
      <c r="G41" s="337" t="s">
        <v>102</v>
      </c>
      <c r="H41" s="310" t="s">
        <v>103</v>
      </c>
      <c r="I41" s="311" t="s">
        <v>103</v>
      </c>
      <c r="J41" s="450" t="s">
        <v>316</v>
      </c>
      <c r="BX41" s="328">
        <v>40</v>
      </c>
    </row>
    <row r="42" spans="1:76" ht="28.8" x14ac:dyDescent="0.35">
      <c r="A42" s="310" t="s">
        <v>44</v>
      </c>
      <c r="B42" s="311" t="s">
        <v>100</v>
      </c>
      <c r="C42" s="310">
        <v>41</v>
      </c>
      <c r="D42" s="308">
        <v>62</v>
      </c>
      <c r="E42" s="309"/>
      <c r="F42" s="310" t="s">
        <v>104</v>
      </c>
      <c r="G42" s="337" t="s">
        <v>102</v>
      </c>
      <c r="H42" s="310" t="s">
        <v>103</v>
      </c>
      <c r="I42" s="311" t="s">
        <v>103</v>
      </c>
      <c r="J42" s="450" t="s">
        <v>316</v>
      </c>
      <c r="BX42" s="328">
        <v>41</v>
      </c>
    </row>
    <row r="43" spans="1:76" ht="28.8" x14ac:dyDescent="0.35">
      <c r="A43" s="310" t="s">
        <v>44</v>
      </c>
      <c r="B43" s="311" t="s">
        <v>100</v>
      </c>
      <c r="C43" s="310">
        <v>42</v>
      </c>
      <c r="D43" s="308">
        <v>63</v>
      </c>
      <c r="E43" s="309"/>
      <c r="F43" s="310" t="s">
        <v>105</v>
      </c>
      <c r="G43" s="337" t="s">
        <v>102</v>
      </c>
      <c r="H43" s="310" t="s">
        <v>103</v>
      </c>
      <c r="I43" s="311" t="s">
        <v>103</v>
      </c>
      <c r="J43" s="450" t="s">
        <v>316</v>
      </c>
      <c r="BX43" s="328">
        <v>42</v>
      </c>
    </row>
    <row r="44" spans="1:76" ht="28.8" x14ac:dyDescent="0.35">
      <c r="A44" s="310" t="s">
        <v>44</v>
      </c>
      <c r="B44" s="311" t="s">
        <v>100</v>
      </c>
      <c r="C44" s="310">
        <v>43</v>
      </c>
      <c r="D44" s="308">
        <v>64</v>
      </c>
      <c r="E44" s="309"/>
      <c r="F44" s="310" t="s">
        <v>106</v>
      </c>
      <c r="G44" s="337" t="s">
        <v>102</v>
      </c>
      <c r="H44" s="310" t="s">
        <v>103</v>
      </c>
      <c r="I44" s="311" t="s">
        <v>103</v>
      </c>
      <c r="J44" s="450" t="s">
        <v>316</v>
      </c>
      <c r="BX44" s="328">
        <v>43</v>
      </c>
    </row>
    <row r="45" spans="1:76" ht="28.8" x14ac:dyDescent="0.35">
      <c r="A45" s="310" t="s">
        <v>44</v>
      </c>
      <c r="B45" s="311" t="s">
        <v>100</v>
      </c>
      <c r="C45" s="310">
        <v>44</v>
      </c>
      <c r="D45" s="308">
        <v>65</v>
      </c>
      <c r="E45" s="309"/>
      <c r="F45" s="310" t="s">
        <v>107</v>
      </c>
      <c r="G45" s="337" t="s">
        <v>102</v>
      </c>
      <c r="H45" s="310" t="s">
        <v>103</v>
      </c>
      <c r="I45" s="311" t="s">
        <v>103</v>
      </c>
      <c r="J45" s="450" t="s">
        <v>316</v>
      </c>
      <c r="BX45" s="328">
        <v>44</v>
      </c>
    </row>
    <row r="46" spans="1:76" ht="28.8" x14ac:dyDescent="0.35">
      <c r="A46" s="310" t="s">
        <v>44</v>
      </c>
      <c r="B46" s="311" t="s">
        <v>100</v>
      </c>
      <c r="C46" s="310">
        <v>45</v>
      </c>
      <c r="D46" s="308">
        <v>66</v>
      </c>
      <c r="E46" s="309"/>
      <c r="F46" s="310" t="s">
        <v>108</v>
      </c>
      <c r="G46" s="337" t="s">
        <v>102</v>
      </c>
      <c r="H46" s="310" t="s">
        <v>103</v>
      </c>
      <c r="I46" s="311" t="s">
        <v>103</v>
      </c>
      <c r="J46" s="450" t="s">
        <v>316</v>
      </c>
      <c r="BX46" s="328">
        <v>45</v>
      </c>
    </row>
    <row r="47" spans="1:76" ht="28.8" x14ac:dyDescent="0.35">
      <c r="A47" s="310" t="s">
        <v>44</v>
      </c>
      <c r="B47" s="311" t="s">
        <v>100</v>
      </c>
      <c r="C47" s="310">
        <v>46</v>
      </c>
      <c r="D47" s="308">
        <v>67</v>
      </c>
      <c r="E47" s="309"/>
      <c r="F47" s="314" t="s">
        <v>109</v>
      </c>
      <c r="G47" s="509" t="s">
        <v>102</v>
      </c>
      <c r="H47" s="314" t="s">
        <v>103</v>
      </c>
      <c r="I47" s="313" t="s">
        <v>103</v>
      </c>
      <c r="J47" s="450" t="s">
        <v>316</v>
      </c>
      <c r="BX47" s="328">
        <v>46</v>
      </c>
    </row>
    <row r="48" spans="1:76" ht="28.8" x14ac:dyDescent="0.35">
      <c r="A48" s="310" t="s">
        <v>44</v>
      </c>
      <c r="B48" s="311" t="s">
        <v>100</v>
      </c>
      <c r="C48" s="310">
        <v>47</v>
      </c>
      <c r="D48" s="309"/>
      <c r="E48" s="308">
        <v>6</v>
      </c>
      <c r="F48" s="310" t="s">
        <v>110</v>
      </c>
      <c r="G48" s="337" t="s">
        <v>102</v>
      </c>
      <c r="H48" s="310" t="s">
        <v>103</v>
      </c>
      <c r="I48" s="311" t="s">
        <v>103</v>
      </c>
      <c r="J48" s="450" t="s">
        <v>316</v>
      </c>
      <c r="BX48" s="328">
        <v>47</v>
      </c>
    </row>
    <row r="49" spans="1:76" ht="28.8" x14ac:dyDescent="0.35">
      <c r="A49" s="310" t="s">
        <v>44</v>
      </c>
      <c r="B49" s="311" t="s">
        <v>100</v>
      </c>
      <c r="C49" s="310">
        <v>48</v>
      </c>
      <c r="D49" s="308">
        <v>68</v>
      </c>
      <c r="E49" s="309"/>
      <c r="F49" s="314" t="s">
        <v>111</v>
      </c>
      <c r="G49" s="509" t="s">
        <v>102</v>
      </c>
      <c r="H49" s="314" t="s">
        <v>103</v>
      </c>
      <c r="I49" s="313" t="s">
        <v>103</v>
      </c>
      <c r="J49" s="450" t="s">
        <v>316</v>
      </c>
      <c r="BX49" s="328">
        <v>48</v>
      </c>
    </row>
    <row r="50" spans="1:76" ht="28.8" x14ac:dyDescent="0.35">
      <c r="A50" s="310" t="s">
        <v>44</v>
      </c>
      <c r="B50" s="311" t="s">
        <v>100</v>
      </c>
      <c r="C50" s="310">
        <v>49</v>
      </c>
      <c r="D50" s="308">
        <v>69</v>
      </c>
      <c r="E50" s="309"/>
      <c r="F50" s="314" t="s">
        <v>112</v>
      </c>
      <c r="G50" s="509" t="s">
        <v>102</v>
      </c>
      <c r="H50" s="314" t="s">
        <v>103</v>
      </c>
      <c r="I50" s="313" t="s">
        <v>103</v>
      </c>
      <c r="J50" s="450" t="s">
        <v>316</v>
      </c>
      <c r="BX50" s="328">
        <v>49</v>
      </c>
    </row>
    <row r="51" spans="1:76" ht="28.8" x14ac:dyDescent="0.35">
      <c r="A51" s="310" t="s">
        <v>44</v>
      </c>
      <c r="B51" s="311" t="s">
        <v>100</v>
      </c>
      <c r="C51" s="310">
        <v>50</v>
      </c>
      <c r="D51" s="308">
        <v>70</v>
      </c>
      <c r="E51" s="309"/>
      <c r="F51" s="314" t="s">
        <v>113</v>
      </c>
      <c r="G51" s="509" t="s">
        <v>102</v>
      </c>
      <c r="H51" s="314" t="s">
        <v>103</v>
      </c>
      <c r="I51" s="313" t="s">
        <v>103</v>
      </c>
      <c r="J51" s="450" t="s">
        <v>316</v>
      </c>
      <c r="BX51" s="328">
        <v>50</v>
      </c>
    </row>
    <row r="52" spans="1:76" ht="28.8" x14ac:dyDescent="0.35">
      <c r="A52" s="310" t="s">
        <v>44</v>
      </c>
      <c r="B52" s="311" t="s">
        <v>100</v>
      </c>
      <c r="C52" s="310">
        <v>51</v>
      </c>
      <c r="D52" s="308">
        <v>71</v>
      </c>
      <c r="E52" s="309"/>
      <c r="F52" s="314" t="s">
        <v>114</v>
      </c>
      <c r="G52" s="509" t="s">
        <v>102</v>
      </c>
      <c r="H52" s="314" t="s">
        <v>103</v>
      </c>
      <c r="I52" s="313" t="s">
        <v>103</v>
      </c>
      <c r="J52" s="450" t="s">
        <v>316</v>
      </c>
      <c r="BX52" s="328">
        <v>51</v>
      </c>
    </row>
    <row r="53" spans="1:76" ht="28.8" x14ac:dyDescent="0.35">
      <c r="A53" s="310" t="s">
        <v>44</v>
      </c>
      <c r="B53" s="311" t="s">
        <v>100</v>
      </c>
      <c r="C53" s="310">
        <v>52</v>
      </c>
      <c r="D53" s="308">
        <v>72</v>
      </c>
      <c r="E53" s="309"/>
      <c r="F53" s="314" t="s">
        <v>115</v>
      </c>
      <c r="G53" s="509" t="s">
        <v>102</v>
      </c>
      <c r="H53" s="314" t="s">
        <v>103</v>
      </c>
      <c r="I53" s="313" t="s">
        <v>103</v>
      </c>
      <c r="J53" s="450" t="s">
        <v>316</v>
      </c>
      <c r="BX53" s="328">
        <v>52</v>
      </c>
    </row>
    <row r="54" spans="1:76" ht="28.8" x14ac:dyDescent="0.35">
      <c r="A54" s="310" t="s">
        <v>44</v>
      </c>
      <c r="B54" s="311" t="s">
        <v>100</v>
      </c>
      <c r="C54" s="310">
        <v>53</v>
      </c>
      <c r="D54" s="308">
        <v>73</v>
      </c>
      <c r="E54" s="309"/>
      <c r="F54" s="314" t="s">
        <v>116</v>
      </c>
      <c r="G54" s="509" t="s">
        <v>102</v>
      </c>
      <c r="H54" s="314" t="s">
        <v>103</v>
      </c>
      <c r="I54" s="313" t="s">
        <v>103</v>
      </c>
      <c r="J54" s="450" t="s">
        <v>316</v>
      </c>
      <c r="BX54" s="328">
        <v>53</v>
      </c>
    </row>
    <row r="55" spans="1:76" ht="28.8" x14ac:dyDescent="0.35">
      <c r="A55" s="310" t="s">
        <v>44</v>
      </c>
      <c r="B55" s="311" t="s">
        <v>100</v>
      </c>
      <c r="C55" s="310">
        <v>54</v>
      </c>
      <c r="D55" s="309"/>
      <c r="E55" s="308">
        <v>8</v>
      </c>
      <c r="F55" s="314" t="s">
        <v>117</v>
      </c>
      <c r="G55" s="509" t="s">
        <v>102</v>
      </c>
      <c r="H55" s="314" t="s">
        <v>103</v>
      </c>
      <c r="I55" s="313" t="s">
        <v>103</v>
      </c>
      <c r="J55" s="450" t="s">
        <v>316</v>
      </c>
      <c r="BX55" s="328">
        <v>54</v>
      </c>
    </row>
    <row r="56" spans="1:76" ht="28.8" x14ac:dyDescent="0.35">
      <c r="A56" s="310" t="s">
        <v>44</v>
      </c>
      <c r="B56" s="311" t="s">
        <v>100</v>
      </c>
      <c r="C56" s="310">
        <v>55</v>
      </c>
      <c r="D56" s="308">
        <v>74</v>
      </c>
      <c r="E56" s="309"/>
      <c r="F56" s="314" t="s">
        <v>118</v>
      </c>
      <c r="G56" s="509" t="s">
        <v>102</v>
      </c>
      <c r="H56" s="314" t="s">
        <v>103</v>
      </c>
      <c r="I56" s="313" t="s">
        <v>103</v>
      </c>
      <c r="J56" s="450" t="s">
        <v>316</v>
      </c>
      <c r="BX56" s="328">
        <v>55</v>
      </c>
    </row>
    <row r="57" spans="1:76" ht="28.8" x14ac:dyDescent="0.35">
      <c r="A57" s="310" t="s">
        <v>44</v>
      </c>
      <c r="B57" s="311" t="s">
        <v>100</v>
      </c>
      <c r="C57" s="310">
        <v>56</v>
      </c>
      <c r="D57" s="308">
        <v>75</v>
      </c>
      <c r="E57" s="309"/>
      <c r="F57" s="314" t="s">
        <v>119</v>
      </c>
      <c r="G57" s="509" t="s">
        <v>102</v>
      </c>
      <c r="H57" s="314" t="s">
        <v>103</v>
      </c>
      <c r="I57" s="313" t="s">
        <v>103</v>
      </c>
      <c r="J57" s="450" t="s">
        <v>316</v>
      </c>
      <c r="BX57" s="328">
        <v>56</v>
      </c>
    </row>
    <row r="58" spans="1:76" ht="28.8" x14ac:dyDescent="0.35">
      <c r="A58" s="310" t="s">
        <v>44</v>
      </c>
      <c r="B58" s="311" t="s">
        <v>100</v>
      </c>
      <c r="C58" s="310">
        <v>57</v>
      </c>
      <c r="D58" s="308">
        <v>76</v>
      </c>
      <c r="E58" s="309"/>
      <c r="F58" s="314" t="s">
        <v>120</v>
      </c>
      <c r="G58" s="509" t="s">
        <v>102</v>
      </c>
      <c r="H58" s="314" t="s">
        <v>103</v>
      </c>
      <c r="I58" s="313" t="s">
        <v>103</v>
      </c>
      <c r="J58" s="450" t="s">
        <v>316</v>
      </c>
      <c r="BX58" s="328">
        <v>57</v>
      </c>
    </row>
    <row r="59" spans="1:76" ht="28.8" x14ac:dyDescent="0.35">
      <c r="A59" s="310" t="s">
        <v>44</v>
      </c>
      <c r="B59" s="311" t="s">
        <v>100</v>
      </c>
      <c r="C59" s="310">
        <v>58</v>
      </c>
      <c r="D59" s="308">
        <v>77</v>
      </c>
      <c r="E59" s="309"/>
      <c r="F59" s="314" t="s">
        <v>121</v>
      </c>
      <c r="G59" s="509" t="s">
        <v>102</v>
      </c>
      <c r="H59" s="314" t="s">
        <v>103</v>
      </c>
      <c r="I59" s="313" t="s">
        <v>103</v>
      </c>
      <c r="J59" s="450" t="s">
        <v>316</v>
      </c>
      <c r="BX59" s="328">
        <v>58</v>
      </c>
    </row>
    <row r="60" spans="1:76" ht="28.8" x14ac:dyDescent="0.35">
      <c r="A60" s="310" t="s">
        <v>122</v>
      </c>
      <c r="B60" s="311" t="s">
        <v>123</v>
      </c>
      <c r="C60" s="310">
        <v>59</v>
      </c>
      <c r="D60" s="308">
        <v>82</v>
      </c>
      <c r="E60" s="309"/>
      <c r="F60" s="310" t="s">
        <v>124</v>
      </c>
      <c r="G60" s="337" t="s">
        <v>41</v>
      </c>
      <c r="H60" s="314" t="s">
        <v>42</v>
      </c>
      <c r="I60" s="311" t="s">
        <v>125</v>
      </c>
      <c r="J60" s="450"/>
      <c r="BX60" s="328">
        <v>59</v>
      </c>
    </row>
    <row r="61" spans="1:76" ht="28.8" x14ac:dyDescent="0.35">
      <c r="A61" s="311" t="s">
        <v>122</v>
      </c>
      <c r="B61" s="311" t="s">
        <v>123</v>
      </c>
      <c r="C61" s="311">
        <v>60</v>
      </c>
      <c r="D61" s="308">
        <v>83</v>
      </c>
      <c r="E61" s="309"/>
      <c r="F61" s="310" t="s">
        <v>126</v>
      </c>
      <c r="G61" s="337" t="s">
        <v>41</v>
      </c>
      <c r="H61" s="314" t="s">
        <v>42</v>
      </c>
      <c r="I61" s="311" t="s">
        <v>125</v>
      </c>
      <c r="J61" s="450"/>
      <c r="BX61" s="328">
        <v>60</v>
      </c>
    </row>
    <row r="62" spans="1:76" ht="43.2" x14ac:dyDescent="0.3">
      <c r="A62" s="311" t="s">
        <v>122</v>
      </c>
      <c r="B62" s="311" t="s">
        <v>127</v>
      </c>
      <c r="C62" s="311">
        <v>61</v>
      </c>
      <c r="D62" s="308">
        <v>85</v>
      </c>
      <c r="E62" s="309"/>
      <c r="F62" s="310" t="s">
        <v>128</v>
      </c>
      <c r="G62" s="302" t="s">
        <v>12</v>
      </c>
      <c r="H62" s="302" t="s">
        <v>13</v>
      </c>
      <c r="I62" s="311" t="s">
        <v>14</v>
      </c>
      <c r="J62" s="450"/>
      <c r="BX62" s="328">
        <v>61</v>
      </c>
    </row>
    <row r="63" spans="1:76" ht="43.2" x14ac:dyDescent="0.3">
      <c r="A63" s="311" t="s">
        <v>122</v>
      </c>
      <c r="B63" s="311" t="s">
        <v>127</v>
      </c>
      <c r="C63" s="311">
        <v>62</v>
      </c>
      <c r="D63" s="308">
        <v>87</v>
      </c>
      <c r="E63" s="309"/>
      <c r="F63" s="310" t="s">
        <v>129</v>
      </c>
      <c r="G63" s="310" t="s">
        <v>130</v>
      </c>
      <c r="H63" s="313" t="s">
        <v>48</v>
      </c>
      <c r="I63" s="311" t="s">
        <v>49</v>
      </c>
      <c r="J63" s="450"/>
      <c r="BX63" s="328">
        <v>62</v>
      </c>
    </row>
    <row r="64" spans="1:76" ht="43.2" x14ac:dyDescent="0.3">
      <c r="A64" s="311" t="s">
        <v>122</v>
      </c>
      <c r="B64" s="311" t="s">
        <v>127</v>
      </c>
      <c r="C64" s="311">
        <v>63</v>
      </c>
      <c r="D64" s="309"/>
      <c r="E64" s="308">
        <v>9</v>
      </c>
      <c r="F64" s="310" t="s">
        <v>131</v>
      </c>
      <c r="G64" s="310" t="s">
        <v>130</v>
      </c>
      <c r="H64" s="314" t="s">
        <v>25</v>
      </c>
      <c r="I64" s="511" t="s">
        <v>26</v>
      </c>
      <c r="J64" s="450"/>
      <c r="BX64" s="328">
        <v>63</v>
      </c>
    </row>
    <row r="65" spans="1:76" ht="28.8" x14ac:dyDescent="0.3">
      <c r="A65" s="310" t="s">
        <v>132</v>
      </c>
      <c r="B65" s="311" t="s">
        <v>133</v>
      </c>
      <c r="C65" s="310">
        <v>64</v>
      </c>
      <c r="D65" s="308">
        <v>98</v>
      </c>
      <c r="E65" s="309"/>
      <c r="F65" s="310" t="s">
        <v>134</v>
      </c>
      <c r="G65" s="310" t="s">
        <v>135</v>
      </c>
      <c r="H65" s="314" t="s">
        <v>136</v>
      </c>
      <c r="I65" s="311" t="s">
        <v>137</v>
      </c>
      <c r="J65" s="450"/>
      <c r="BX65" s="328">
        <v>64</v>
      </c>
    </row>
    <row r="66" spans="1:76" ht="28.8" x14ac:dyDescent="0.3">
      <c r="A66" s="310" t="s">
        <v>132</v>
      </c>
      <c r="B66" s="311" t="s">
        <v>133</v>
      </c>
      <c r="C66" s="310">
        <v>65</v>
      </c>
      <c r="D66" s="308">
        <v>99</v>
      </c>
      <c r="E66" s="309"/>
      <c r="F66" s="310" t="s">
        <v>138</v>
      </c>
      <c r="G66" s="310" t="s">
        <v>135</v>
      </c>
      <c r="H66" s="314" t="s">
        <v>136</v>
      </c>
      <c r="I66" s="311" t="s">
        <v>137</v>
      </c>
      <c r="J66" s="450"/>
      <c r="BX66" s="328">
        <v>65</v>
      </c>
    </row>
    <row r="67" spans="1:76" ht="28.8" x14ac:dyDescent="0.3">
      <c r="A67" s="310" t="s">
        <v>132</v>
      </c>
      <c r="B67" s="311" t="s">
        <v>133</v>
      </c>
      <c r="C67" s="310">
        <v>66</v>
      </c>
      <c r="D67" s="308">
        <v>100</v>
      </c>
      <c r="E67" s="309"/>
      <c r="F67" s="310" t="s">
        <v>139</v>
      </c>
      <c r="G67" s="310" t="s">
        <v>135</v>
      </c>
      <c r="H67" s="314" t="s">
        <v>136</v>
      </c>
      <c r="I67" s="311" t="s">
        <v>137</v>
      </c>
      <c r="J67" s="450"/>
      <c r="BX67" s="328">
        <v>66</v>
      </c>
    </row>
    <row r="68" spans="1:76" ht="28.8" x14ac:dyDescent="0.3">
      <c r="A68" s="310" t="s">
        <v>132</v>
      </c>
      <c r="B68" s="311" t="s">
        <v>133</v>
      </c>
      <c r="C68" s="310">
        <v>67</v>
      </c>
      <c r="D68" s="308">
        <v>101</v>
      </c>
      <c r="E68" s="309"/>
      <c r="F68" s="310" t="s">
        <v>140</v>
      </c>
      <c r="G68" s="310" t="s">
        <v>135</v>
      </c>
      <c r="H68" s="313" t="s">
        <v>48</v>
      </c>
      <c r="I68" s="311" t="s">
        <v>49</v>
      </c>
      <c r="J68" s="450"/>
      <c r="BX68" s="328">
        <v>67</v>
      </c>
    </row>
    <row r="69" spans="1:76" ht="43.2" x14ac:dyDescent="0.3">
      <c r="A69" s="310" t="s">
        <v>132</v>
      </c>
      <c r="B69" s="311" t="s">
        <v>141</v>
      </c>
      <c r="C69" s="310">
        <v>68</v>
      </c>
      <c r="D69" s="308">
        <v>105</v>
      </c>
      <c r="E69" s="309"/>
      <c r="F69" s="310" t="s">
        <v>317</v>
      </c>
      <c r="G69" s="302" t="s">
        <v>12</v>
      </c>
      <c r="H69" s="302" t="s">
        <v>13</v>
      </c>
      <c r="I69" s="311" t="s">
        <v>14</v>
      </c>
      <c r="J69" s="450"/>
      <c r="BX69" s="328">
        <v>68</v>
      </c>
    </row>
    <row r="70" spans="1:76" ht="43.2" x14ac:dyDescent="0.3">
      <c r="A70" s="310" t="s">
        <v>143</v>
      </c>
      <c r="B70" s="310" t="s">
        <v>144</v>
      </c>
      <c r="C70" s="310">
        <v>69</v>
      </c>
      <c r="D70" s="308">
        <v>108</v>
      </c>
      <c r="E70" s="309"/>
      <c r="F70" s="310" t="s">
        <v>318</v>
      </c>
      <c r="G70" s="302" t="s">
        <v>30</v>
      </c>
      <c r="H70" s="315" t="s">
        <v>31</v>
      </c>
      <c r="I70" s="311" t="s">
        <v>32</v>
      </c>
      <c r="J70" s="450"/>
      <c r="BX70" s="328">
        <v>69</v>
      </c>
    </row>
    <row r="71" spans="1:76" ht="43.2" x14ac:dyDescent="0.3">
      <c r="A71" s="310" t="s">
        <v>143</v>
      </c>
      <c r="B71" s="310" t="s">
        <v>146</v>
      </c>
      <c r="C71" s="310">
        <v>70</v>
      </c>
      <c r="D71" s="308">
        <v>110</v>
      </c>
      <c r="E71" s="309"/>
      <c r="F71" s="310" t="s">
        <v>319</v>
      </c>
      <c r="G71" s="302" t="s">
        <v>30</v>
      </c>
      <c r="H71" s="315" t="s">
        <v>31</v>
      </c>
      <c r="I71" s="311" t="s">
        <v>32</v>
      </c>
      <c r="J71" s="450" t="s">
        <v>306</v>
      </c>
      <c r="BX71" s="328">
        <v>70</v>
      </c>
    </row>
    <row r="72" spans="1:76" ht="43.2" x14ac:dyDescent="0.3">
      <c r="A72" s="310" t="s">
        <v>143</v>
      </c>
      <c r="B72" s="310" t="s">
        <v>146</v>
      </c>
      <c r="C72" s="310">
        <v>71</v>
      </c>
      <c r="D72" s="308">
        <v>111</v>
      </c>
      <c r="E72" s="309"/>
      <c r="F72" s="310" t="s">
        <v>320</v>
      </c>
      <c r="G72" s="302" t="s">
        <v>30</v>
      </c>
      <c r="H72" s="315" t="s">
        <v>31</v>
      </c>
      <c r="I72" s="311" t="s">
        <v>32</v>
      </c>
      <c r="J72" s="450" t="s">
        <v>306</v>
      </c>
      <c r="BX72" s="328">
        <v>71</v>
      </c>
    </row>
    <row r="73" spans="1:76" ht="43.2" x14ac:dyDescent="0.3">
      <c r="A73" s="310" t="s">
        <v>143</v>
      </c>
      <c r="B73" s="310" t="s">
        <v>146</v>
      </c>
      <c r="C73" s="310">
        <v>72</v>
      </c>
      <c r="D73" s="308">
        <v>112</v>
      </c>
      <c r="E73" s="309"/>
      <c r="F73" s="310" t="s">
        <v>149</v>
      </c>
      <c r="G73" s="302" t="s">
        <v>30</v>
      </c>
      <c r="H73" s="315" t="s">
        <v>31</v>
      </c>
      <c r="I73" s="311" t="s">
        <v>32</v>
      </c>
      <c r="J73" s="450"/>
      <c r="BX73" s="328">
        <v>72</v>
      </c>
    </row>
    <row r="74" spans="1:76" ht="43.2" x14ac:dyDescent="0.3">
      <c r="A74" s="310" t="s">
        <v>143</v>
      </c>
      <c r="B74" s="310" t="s">
        <v>146</v>
      </c>
      <c r="C74" s="310">
        <v>73</v>
      </c>
      <c r="D74" s="308">
        <v>113</v>
      </c>
      <c r="E74" s="309"/>
      <c r="F74" s="310" t="s">
        <v>150</v>
      </c>
      <c r="G74" s="302" t="s">
        <v>30</v>
      </c>
      <c r="H74" s="315" t="s">
        <v>31</v>
      </c>
      <c r="I74" s="311" t="s">
        <v>32</v>
      </c>
      <c r="J74" s="450"/>
      <c r="BX74" s="328">
        <v>73</v>
      </c>
    </row>
    <row r="75" spans="1:76" ht="43.2" x14ac:dyDescent="0.3">
      <c r="A75" s="310" t="s">
        <v>143</v>
      </c>
      <c r="B75" s="310" t="s">
        <v>146</v>
      </c>
      <c r="C75" s="310">
        <v>74</v>
      </c>
      <c r="D75" s="308">
        <v>114</v>
      </c>
      <c r="E75" s="309"/>
      <c r="F75" s="310" t="s">
        <v>321</v>
      </c>
      <c r="G75" s="302" t="s">
        <v>30</v>
      </c>
      <c r="H75" s="315" t="s">
        <v>31</v>
      </c>
      <c r="I75" s="311" t="s">
        <v>32</v>
      </c>
      <c r="J75" s="450"/>
      <c r="BX75" s="328">
        <v>74</v>
      </c>
    </row>
    <row r="76" spans="1:76" ht="43.2" x14ac:dyDescent="0.3">
      <c r="A76" s="310" t="s">
        <v>143</v>
      </c>
      <c r="B76" s="310" t="s">
        <v>146</v>
      </c>
      <c r="C76" s="310">
        <v>75</v>
      </c>
      <c r="D76" s="308">
        <v>115</v>
      </c>
      <c r="E76" s="309"/>
      <c r="F76" s="310" t="s">
        <v>152</v>
      </c>
      <c r="G76" s="302" t="s">
        <v>30</v>
      </c>
      <c r="H76" s="315" t="s">
        <v>31</v>
      </c>
      <c r="I76" s="311" t="s">
        <v>32</v>
      </c>
      <c r="J76" s="450"/>
      <c r="BX76" s="328">
        <v>75</v>
      </c>
    </row>
    <row r="77" spans="1:76" ht="43.2" x14ac:dyDescent="0.3">
      <c r="A77" s="310" t="s">
        <v>143</v>
      </c>
      <c r="B77" s="310" t="s">
        <v>146</v>
      </c>
      <c r="C77" s="310">
        <v>76</v>
      </c>
      <c r="D77" s="308">
        <v>116</v>
      </c>
      <c r="E77" s="309"/>
      <c r="F77" s="310" t="s">
        <v>322</v>
      </c>
      <c r="G77" s="302" t="s">
        <v>30</v>
      </c>
      <c r="H77" s="315" t="s">
        <v>31</v>
      </c>
      <c r="I77" s="311" t="s">
        <v>32</v>
      </c>
      <c r="J77" s="450"/>
      <c r="BX77" s="328">
        <v>76</v>
      </c>
    </row>
    <row r="78" spans="1:76" ht="43.2" x14ac:dyDescent="0.3">
      <c r="A78" s="310" t="s">
        <v>143</v>
      </c>
      <c r="B78" s="310" t="s">
        <v>146</v>
      </c>
      <c r="C78" s="310">
        <v>77</v>
      </c>
      <c r="D78" s="308">
        <v>121</v>
      </c>
      <c r="E78" s="309"/>
      <c r="F78" s="310" t="s">
        <v>323</v>
      </c>
      <c r="G78" s="302" t="s">
        <v>324</v>
      </c>
      <c r="H78" s="311" t="s">
        <v>80</v>
      </c>
      <c r="I78" s="311" t="s">
        <v>80</v>
      </c>
      <c r="J78" s="450"/>
      <c r="BX78" s="328">
        <v>77</v>
      </c>
    </row>
    <row r="79" spans="1:76" ht="43.2" x14ac:dyDescent="0.3">
      <c r="A79" s="310" t="s">
        <v>143</v>
      </c>
      <c r="B79" s="310" t="s">
        <v>146</v>
      </c>
      <c r="C79" s="310">
        <v>78</v>
      </c>
      <c r="D79" s="308">
        <v>122</v>
      </c>
      <c r="E79" s="309"/>
      <c r="F79" s="310" t="s">
        <v>325</v>
      </c>
      <c r="G79" s="302" t="s">
        <v>324</v>
      </c>
      <c r="H79" s="311" t="s">
        <v>80</v>
      </c>
      <c r="I79" s="311" t="s">
        <v>80</v>
      </c>
      <c r="J79" s="450"/>
      <c r="BX79" s="328">
        <v>78</v>
      </c>
    </row>
    <row r="80" spans="1:76" ht="43.2" x14ac:dyDescent="0.3">
      <c r="A80" s="310" t="s">
        <v>143</v>
      </c>
      <c r="B80" s="310" t="s">
        <v>146</v>
      </c>
      <c r="C80" s="310">
        <v>79</v>
      </c>
      <c r="D80" s="308">
        <v>123</v>
      </c>
      <c r="E80" s="309"/>
      <c r="F80" s="310" t="s">
        <v>157</v>
      </c>
      <c r="G80" s="302" t="s">
        <v>30</v>
      </c>
      <c r="H80" s="315" t="s">
        <v>31</v>
      </c>
      <c r="I80" s="311" t="s">
        <v>32</v>
      </c>
      <c r="J80" s="450"/>
      <c r="BX80" s="328">
        <v>79</v>
      </c>
    </row>
    <row r="81" spans="1:76" ht="28.8" x14ac:dyDescent="0.3">
      <c r="A81" s="310" t="s">
        <v>158</v>
      </c>
      <c r="B81" s="310" t="s">
        <v>159</v>
      </c>
      <c r="C81" s="310">
        <v>80</v>
      </c>
      <c r="D81" s="308">
        <v>126</v>
      </c>
      <c r="E81" s="309"/>
      <c r="F81" s="310" t="s">
        <v>326</v>
      </c>
      <c r="G81" s="310" t="s">
        <v>161</v>
      </c>
      <c r="H81" s="314" t="s">
        <v>162</v>
      </c>
      <c r="I81" s="311" t="s">
        <v>162</v>
      </c>
      <c r="J81" s="450"/>
      <c r="BX81" s="328">
        <v>80</v>
      </c>
    </row>
    <row r="82" spans="1:76" ht="28.8" x14ac:dyDescent="0.3">
      <c r="A82" s="310" t="s">
        <v>158</v>
      </c>
      <c r="B82" s="310" t="s">
        <v>159</v>
      </c>
      <c r="C82" s="310">
        <v>81</v>
      </c>
      <c r="D82" s="308">
        <v>130</v>
      </c>
      <c r="E82" s="309"/>
      <c r="F82" s="310" t="s">
        <v>327</v>
      </c>
      <c r="G82" s="310" t="s">
        <v>92</v>
      </c>
      <c r="H82" s="314" t="s">
        <v>93</v>
      </c>
      <c r="I82" s="311" t="s">
        <v>93</v>
      </c>
      <c r="J82" s="450" t="s">
        <v>328</v>
      </c>
      <c r="BX82" s="328">
        <v>81</v>
      </c>
    </row>
    <row r="83" spans="1:76" ht="28.8" x14ac:dyDescent="0.3">
      <c r="A83" s="310" t="s">
        <v>158</v>
      </c>
      <c r="B83" s="310" t="s">
        <v>159</v>
      </c>
      <c r="C83" s="310">
        <v>82</v>
      </c>
      <c r="D83" s="308"/>
      <c r="E83" s="308">
        <v>13</v>
      </c>
      <c r="F83" s="310" t="s">
        <v>329</v>
      </c>
      <c r="G83" s="310" t="s">
        <v>92</v>
      </c>
      <c r="H83" s="314" t="s">
        <v>93</v>
      </c>
      <c r="I83" s="311" t="s">
        <v>93</v>
      </c>
      <c r="J83" s="450"/>
      <c r="BX83" s="328">
        <v>82</v>
      </c>
    </row>
    <row r="84" spans="1:76" ht="43.2" x14ac:dyDescent="0.3">
      <c r="A84" s="310" t="s">
        <v>158</v>
      </c>
      <c r="B84" s="310" t="s">
        <v>159</v>
      </c>
      <c r="C84" s="310">
        <v>83</v>
      </c>
      <c r="D84" s="308">
        <v>131</v>
      </c>
      <c r="E84" s="308"/>
      <c r="F84" s="310" t="s">
        <v>330</v>
      </c>
      <c r="G84" s="310" t="s">
        <v>92</v>
      </c>
      <c r="H84" s="314" t="s">
        <v>93</v>
      </c>
      <c r="I84" s="311" t="s">
        <v>93</v>
      </c>
      <c r="J84" s="450"/>
      <c r="BX84" s="328">
        <v>83</v>
      </c>
    </row>
    <row r="85" spans="1:76" ht="43.2" x14ac:dyDescent="0.3">
      <c r="A85" s="310" t="s">
        <v>158</v>
      </c>
      <c r="B85" s="310" t="s">
        <v>159</v>
      </c>
      <c r="C85" s="310">
        <v>84</v>
      </c>
      <c r="D85" s="308">
        <v>132</v>
      </c>
      <c r="E85" s="308"/>
      <c r="F85" s="310" t="s">
        <v>331</v>
      </c>
      <c r="G85" s="310" t="s">
        <v>167</v>
      </c>
      <c r="H85" s="314" t="s">
        <v>93</v>
      </c>
      <c r="I85" s="311" t="s">
        <v>93</v>
      </c>
      <c r="J85" s="450"/>
      <c r="BX85" s="328">
        <v>84</v>
      </c>
    </row>
    <row r="86" spans="1:76" ht="28.8" x14ac:dyDescent="0.3">
      <c r="A86" s="310" t="s">
        <v>158</v>
      </c>
      <c r="B86" s="310" t="s">
        <v>159</v>
      </c>
      <c r="C86" s="310">
        <v>85</v>
      </c>
      <c r="D86" s="308">
        <v>133</v>
      </c>
      <c r="E86" s="308"/>
      <c r="F86" s="310" t="s">
        <v>332</v>
      </c>
      <c r="G86" s="310" t="s">
        <v>92</v>
      </c>
      <c r="H86" s="314" t="s">
        <v>93</v>
      </c>
      <c r="I86" s="311" t="s">
        <v>93</v>
      </c>
      <c r="J86" s="450" t="s">
        <v>333</v>
      </c>
      <c r="BX86" s="328">
        <v>85</v>
      </c>
    </row>
    <row r="87" spans="1:76" ht="28.8" x14ac:dyDescent="0.3">
      <c r="A87" s="310" t="s">
        <v>158</v>
      </c>
      <c r="B87" s="310" t="s">
        <v>159</v>
      </c>
      <c r="C87" s="310">
        <v>86</v>
      </c>
      <c r="D87" s="308">
        <v>134</v>
      </c>
      <c r="E87" s="309"/>
      <c r="F87" s="310" t="s">
        <v>334</v>
      </c>
      <c r="G87" s="310" t="s">
        <v>92</v>
      </c>
      <c r="H87" s="314" t="s">
        <v>93</v>
      </c>
      <c r="I87" s="311" t="s">
        <v>93</v>
      </c>
      <c r="J87" s="450"/>
      <c r="BX87" s="328">
        <v>86</v>
      </c>
    </row>
    <row r="88" spans="1:76" ht="28.8" x14ac:dyDescent="0.3">
      <c r="A88" s="310" t="s">
        <v>158</v>
      </c>
      <c r="B88" s="310" t="s">
        <v>159</v>
      </c>
      <c r="C88" s="310">
        <v>87</v>
      </c>
      <c r="D88" s="308">
        <v>135</v>
      </c>
      <c r="E88" s="309"/>
      <c r="F88" s="310" t="s">
        <v>335</v>
      </c>
      <c r="G88" s="310" t="s">
        <v>171</v>
      </c>
      <c r="H88" s="314" t="s">
        <v>172</v>
      </c>
      <c r="I88" s="311" t="s">
        <v>173</v>
      </c>
      <c r="J88" s="450"/>
      <c r="BX88" s="328">
        <v>87</v>
      </c>
    </row>
    <row r="89" spans="1:76" ht="28.8" x14ac:dyDescent="0.3">
      <c r="A89" s="310" t="s">
        <v>158</v>
      </c>
      <c r="B89" s="310" t="s">
        <v>159</v>
      </c>
      <c r="C89" s="310">
        <v>88</v>
      </c>
      <c r="D89" s="309"/>
      <c r="E89" s="308">
        <v>15</v>
      </c>
      <c r="F89" s="310" t="s">
        <v>336</v>
      </c>
      <c r="G89" s="310" t="s">
        <v>175</v>
      </c>
      <c r="H89" s="310" t="s">
        <v>176</v>
      </c>
      <c r="I89" s="311" t="s">
        <v>176</v>
      </c>
      <c r="J89" s="450" t="s">
        <v>333</v>
      </c>
      <c r="BX89" s="328">
        <v>88</v>
      </c>
    </row>
    <row r="90" spans="1:76" ht="28.8" x14ac:dyDescent="0.3">
      <c r="A90" s="310" t="s">
        <v>158</v>
      </c>
      <c r="B90" s="310" t="s">
        <v>159</v>
      </c>
      <c r="C90" s="310">
        <v>89</v>
      </c>
      <c r="D90" s="308">
        <v>136</v>
      </c>
      <c r="E90" s="309"/>
      <c r="F90" s="310" t="s">
        <v>337</v>
      </c>
      <c r="G90" s="302" t="s">
        <v>30</v>
      </c>
      <c r="H90" s="314" t="s">
        <v>31</v>
      </c>
      <c r="I90" s="311" t="s">
        <v>32</v>
      </c>
      <c r="J90" s="450"/>
      <c r="BX90" s="328">
        <v>89</v>
      </c>
    </row>
    <row r="91" spans="1:76" ht="43.2" x14ac:dyDescent="0.3">
      <c r="A91" s="310" t="s">
        <v>158</v>
      </c>
      <c r="B91" s="310" t="s">
        <v>159</v>
      </c>
      <c r="C91" s="310">
        <v>90</v>
      </c>
      <c r="D91" s="308">
        <v>137</v>
      </c>
      <c r="E91" s="309"/>
      <c r="F91" s="310" t="s">
        <v>338</v>
      </c>
      <c r="G91" s="310" t="s">
        <v>179</v>
      </c>
      <c r="H91" s="310" t="s">
        <v>180</v>
      </c>
      <c r="I91" s="311" t="s">
        <v>180</v>
      </c>
      <c r="J91" s="450"/>
      <c r="BX91" s="328">
        <v>90</v>
      </c>
    </row>
    <row r="92" spans="1:76" ht="28.8" x14ac:dyDescent="0.3">
      <c r="A92" s="310" t="s">
        <v>158</v>
      </c>
      <c r="B92" s="310" t="s">
        <v>159</v>
      </c>
      <c r="C92" s="310">
        <v>91</v>
      </c>
      <c r="D92" s="308">
        <v>138</v>
      </c>
      <c r="E92" s="309"/>
      <c r="F92" s="310" t="s">
        <v>339</v>
      </c>
      <c r="G92" s="302" t="s">
        <v>30</v>
      </c>
      <c r="H92" s="314" t="s">
        <v>31</v>
      </c>
      <c r="I92" s="311" t="s">
        <v>182</v>
      </c>
      <c r="J92" s="450"/>
      <c r="BX92" s="328">
        <v>91</v>
      </c>
    </row>
    <row r="93" spans="1:76" ht="28.8" x14ac:dyDescent="0.3">
      <c r="A93" s="310" t="s">
        <v>158</v>
      </c>
      <c r="B93" s="310" t="s">
        <v>159</v>
      </c>
      <c r="C93" s="310">
        <v>92</v>
      </c>
      <c r="D93" s="308">
        <v>139</v>
      </c>
      <c r="E93" s="309"/>
      <c r="F93" s="310" t="s">
        <v>183</v>
      </c>
      <c r="G93" s="302" t="s">
        <v>184</v>
      </c>
      <c r="H93" s="314" t="s">
        <v>185</v>
      </c>
      <c r="I93" s="311" t="s">
        <v>186</v>
      </c>
      <c r="J93" s="450"/>
      <c r="BX93" s="328">
        <v>92</v>
      </c>
    </row>
    <row r="94" spans="1:76" ht="43.2" x14ac:dyDescent="0.3">
      <c r="A94" s="310" t="s">
        <v>187</v>
      </c>
      <c r="B94" s="310" t="s">
        <v>188</v>
      </c>
      <c r="C94" s="310">
        <v>93</v>
      </c>
      <c r="D94" s="308">
        <v>144</v>
      </c>
      <c r="E94" s="309"/>
      <c r="F94" s="310" t="s">
        <v>189</v>
      </c>
      <c r="G94" s="310" t="s">
        <v>190</v>
      </c>
      <c r="H94" s="314" t="s">
        <v>191</v>
      </c>
      <c r="I94" s="311" t="s">
        <v>191</v>
      </c>
      <c r="J94" s="450"/>
      <c r="BX94" s="328">
        <v>93</v>
      </c>
    </row>
    <row r="95" spans="1:76" ht="43.2" x14ac:dyDescent="0.3">
      <c r="A95" s="310" t="s">
        <v>187</v>
      </c>
      <c r="B95" s="310" t="s">
        <v>188</v>
      </c>
      <c r="C95" s="310">
        <v>94</v>
      </c>
      <c r="D95" s="308">
        <v>145</v>
      </c>
      <c r="E95" s="309"/>
      <c r="F95" s="310" t="s">
        <v>192</v>
      </c>
      <c r="G95" s="310" t="s">
        <v>190</v>
      </c>
      <c r="H95" s="314" t="s">
        <v>191</v>
      </c>
      <c r="I95" s="311" t="s">
        <v>191</v>
      </c>
      <c r="J95" s="450"/>
      <c r="BX95" s="328">
        <v>94</v>
      </c>
    </row>
    <row r="96" spans="1:76" ht="43.2" x14ac:dyDescent="0.3">
      <c r="A96" s="310" t="s">
        <v>187</v>
      </c>
      <c r="B96" s="310" t="s">
        <v>188</v>
      </c>
      <c r="C96" s="310">
        <v>95</v>
      </c>
      <c r="D96" s="308">
        <v>147</v>
      </c>
      <c r="E96" s="309"/>
      <c r="F96" s="310" t="s">
        <v>193</v>
      </c>
      <c r="G96" s="310" t="s">
        <v>190</v>
      </c>
      <c r="H96" s="314" t="s">
        <v>191</v>
      </c>
      <c r="I96" s="311" t="s">
        <v>191</v>
      </c>
      <c r="J96" s="450"/>
      <c r="BX96" s="328">
        <v>95</v>
      </c>
    </row>
    <row r="97" spans="1:76" ht="43.2" x14ac:dyDescent="0.3">
      <c r="A97" s="310" t="s">
        <v>187</v>
      </c>
      <c r="B97" s="310" t="s">
        <v>188</v>
      </c>
      <c r="C97" s="310">
        <v>96</v>
      </c>
      <c r="D97" s="308">
        <v>148</v>
      </c>
      <c r="E97" s="309"/>
      <c r="F97" s="310" t="s">
        <v>194</v>
      </c>
      <c r="G97" s="310" t="s">
        <v>190</v>
      </c>
      <c r="H97" s="314" t="s">
        <v>191</v>
      </c>
      <c r="I97" s="311" t="s">
        <v>191</v>
      </c>
      <c r="J97" s="450"/>
      <c r="BX97" s="328">
        <v>96</v>
      </c>
    </row>
    <row r="98" spans="1:76" ht="43.2" x14ac:dyDescent="0.3">
      <c r="A98" s="310" t="s">
        <v>187</v>
      </c>
      <c r="B98" s="310" t="s">
        <v>188</v>
      </c>
      <c r="C98" s="310">
        <v>97</v>
      </c>
      <c r="D98" s="308">
        <v>149</v>
      </c>
      <c r="E98" s="309"/>
      <c r="F98" s="310" t="s">
        <v>195</v>
      </c>
      <c r="G98" s="310" t="s">
        <v>190</v>
      </c>
      <c r="H98" s="314" t="s">
        <v>191</v>
      </c>
      <c r="I98" s="311" t="s">
        <v>191</v>
      </c>
      <c r="J98" s="450"/>
      <c r="BX98" s="328">
        <v>97</v>
      </c>
    </row>
    <row r="99" spans="1:76" ht="43.2" x14ac:dyDescent="0.3">
      <c r="A99" s="310" t="s">
        <v>187</v>
      </c>
      <c r="B99" s="310" t="s">
        <v>188</v>
      </c>
      <c r="C99" s="310">
        <v>98</v>
      </c>
      <c r="D99" s="308">
        <v>150</v>
      </c>
      <c r="E99" s="309"/>
      <c r="F99" s="310" t="s">
        <v>196</v>
      </c>
      <c r="G99" s="310" t="s">
        <v>190</v>
      </c>
      <c r="H99" s="314" t="s">
        <v>191</v>
      </c>
      <c r="I99" s="311" t="s">
        <v>191</v>
      </c>
      <c r="J99" s="450"/>
      <c r="BX99" s="328">
        <v>98</v>
      </c>
    </row>
    <row r="100" spans="1:76" ht="43.2" x14ac:dyDescent="0.3">
      <c r="A100" s="310" t="s">
        <v>187</v>
      </c>
      <c r="B100" s="310" t="s">
        <v>188</v>
      </c>
      <c r="C100" s="310">
        <v>99</v>
      </c>
      <c r="D100" s="308">
        <v>151</v>
      </c>
      <c r="E100" s="309"/>
      <c r="F100" s="310" t="s">
        <v>197</v>
      </c>
      <c r="G100" s="310" t="s">
        <v>190</v>
      </c>
      <c r="H100" s="314" t="s">
        <v>191</v>
      </c>
      <c r="I100" s="311" t="s">
        <v>191</v>
      </c>
      <c r="J100" s="450"/>
      <c r="BX100" s="328">
        <v>99</v>
      </c>
    </row>
    <row r="101" spans="1:76" ht="43.2" x14ac:dyDescent="0.3">
      <c r="A101" s="310" t="s">
        <v>187</v>
      </c>
      <c r="B101" s="310" t="s">
        <v>188</v>
      </c>
      <c r="C101" s="310">
        <v>100</v>
      </c>
      <c r="D101" s="308"/>
      <c r="E101" s="308">
        <v>16</v>
      </c>
      <c r="F101" s="310" t="s">
        <v>198</v>
      </c>
      <c r="G101" s="310" t="s">
        <v>130</v>
      </c>
      <c r="H101" s="314" t="s">
        <v>191</v>
      </c>
      <c r="I101" s="311" t="s">
        <v>191</v>
      </c>
      <c r="J101" s="450"/>
      <c r="BX101" s="328">
        <v>100</v>
      </c>
    </row>
    <row r="102" spans="1:76" ht="43.2" x14ac:dyDescent="0.3">
      <c r="A102" s="310" t="s">
        <v>187</v>
      </c>
      <c r="B102" s="310" t="s">
        <v>188</v>
      </c>
      <c r="C102" s="310">
        <v>101</v>
      </c>
      <c r="D102" s="308">
        <v>152</v>
      </c>
      <c r="E102" s="309"/>
      <c r="F102" s="310" t="s">
        <v>199</v>
      </c>
      <c r="G102" s="310" t="s">
        <v>190</v>
      </c>
      <c r="H102" s="314" t="s">
        <v>191</v>
      </c>
      <c r="I102" s="311" t="s">
        <v>191</v>
      </c>
      <c r="J102" s="450"/>
      <c r="BX102" s="328">
        <v>101</v>
      </c>
    </row>
    <row r="103" spans="1:76" ht="43.2" x14ac:dyDescent="0.3">
      <c r="A103" s="310" t="s">
        <v>187</v>
      </c>
      <c r="B103" s="310" t="s">
        <v>188</v>
      </c>
      <c r="C103" s="310">
        <v>102</v>
      </c>
      <c r="D103" s="308">
        <v>153</v>
      </c>
      <c r="E103" s="309"/>
      <c r="F103" s="310" t="s">
        <v>200</v>
      </c>
      <c r="G103" s="310" t="s">
        <v>190</v>
      </c>
      <c r="H103" s="314" t="s">
        <v>191</v>
      </c>
      <c r="I103" s="311" t="s">
        <v>191</v>
      </c>
      <c r="J103" s="450"/>
      <c r="BX103" s="328">
        <v>102</v>
      </c>
    </row>
    <row r="104" spans="1:76" ht="43.2" x14ac:dyDescent="0.3">
      <c r="A104" s="310" t="s">
        <v>187</v>
      </c>
      <c r="B104" s="310" t="s">
        <v>188</v>
      </c>
      <c r="C104" s="310">
        <v>103</v>
      </c>
      <c r="D104" s="308">
        <v>154</v>
      </c>
      <c r="E104" s="309"/>
      <c r="F104" s="310" t="s">
        <v>201</v>
      </c>
      <c r="G104" s="310" t="s">
        <v>190</v>
      </c>
      <c r="H104" s="314" t="s">
        <v>191</v>
      </c>
      <c r="I104" s="311" t="s">
        <v>191</v>
      </c>
      <c r="J104" s="450"/>
      <c r="BX104" s="328">
        <v>103</v>
      </c>
    </row>
    <row r="105" spans="1:76" ht="43.2" x14ac:dyDescent="0.3">
      <c r="A105" s="310" t="s">
        <v>187</v>
      </c>
      <c r="B105" s="310" t="s">
        <v>202</v>
      </c>
      <c r="C105" s="310">
        <v>104</v>
      </c>
      <c r="D105" s="308">
        <v>156</v>
      </c>
      <c r="E105" s="309"/>
      <c r="F105" s="310" t="s">
        <v>203</v>
      </c>
      <c r="G105" s="310" t="s">
        <v>190</v>
      </c>
      <c r="H105" s="314" t="s">
        <v>191</v>
      </c>
      <c r="I105" s="311" t="s">
        <v>191</v>
      </c>
      <c r="J105" s="450"/>
      <c r="BX105" s="328">
        <v>104</v>
      </c>
    </row>
    <row r="106" spans="1:76" ht="43.2" x14ac:dyDescent="0.3">
      <c r="A106" s="310" t="s">
        <v>187</v>
      </c>
      <c r="B106" s="310" t="s">
        <v>202</v>
      </c>
      <c r="C106" s="310">
        <v>105</v>
      </c>
      <c r="D106" s="308">
        <v>157</v>
      </c>
      <c r="E106" s="309"/>
      <c r="F106" s="310" t="s">
        <v>204</v>
      </c>
      <c r="G106" s="310" t="s">
        <v>190</v>
      </c>
      <c r="H106" s="314" t="s">
        <v>191</v>
      </c>
      <c r="I106" s="311" t="s">
        <v>191</v>
      </c>
      <c r="J106" s="450"/>
      <c r="BX106" s="328">
        <v>105</v>
      </c>
    </row>
    <row r="107" spans="1:76" ht="43.2" x14ac:dyDescent="0.3">
      <c r="A107" s="310" t="s">
        <v>187</v>
      </c>
      <c r="B107" s="310" t="s">
        <v>202</v>
      </c>
      <c r="C107" s="310">
        <v>106</v>
      </c>
      <c r="D107" s="308">
        <v>159</v>
      </c>
      <c r="E107" s="309"/>
      <c r="F107" s="310" t="s">
        <v>205</v>
      </c>
      <c r="G107" s="310" t="s">
        <v>190</v>
      </c>
      <c r="H107" s="314" t="s">
        <v>191</v>
      </c>
      <c r="I107" s="311" t="s">
        <v>191</v>
      </c>
      <c r="J107" s="450"/>
      <c r="BX107" s="328">
        <v>106</v>
      </c>
    </row>
    <row r="108" spans="1:76" ht="43.2" x14ac:dyDescent="0.3">
      <c r="A108" s="310" t="s">
        <v>187</v>
      </c>
      <c r="B108" s="310" t="s">
        <v>202</v>
      </c>
      <c r="C108" s="310">
        <v>107</v>
      </c>
      <c r="D108" s="308">
        <v>161</v>
      </c>
      <c r="E108" s="309"/>
      <c r="F108" s="310" t="s">
        <v>206</v>
      </c>
      <c r="G108" s="310" t="s">
        <v>190</v>
      </c>
      <c r="H108" s="314" t="s">
        <v>191</v>
      </c>
      <c r="I108" s="311" t="s">
        <v>191</v>
      </c>
      <c r="J108" s="450"/>
      <c r="BX108" s="328">
        <v>107</v>
      </c>
    </row>
    <row r="109" spans="1:76" ht="43.2" x14ac:dyDescent="0.3">
      <c r="A109" s="310" t="s">
        <v>207</v>
      </c>
      <c r="B109" s="310" t="s">
        <v>208</v>
      </c>
      <c r="C109" s="310">
        <v>108</v>
      </c>
      <c r="D109" s="308">
        <v>164</v>
      </c>
      <c r="E109" s="309"/>
      <c r="F109" s="310" t="s">
        <v>209</v>
      </c>
      <c r="G109" s="310" t="s">
        <v>171</v>
      </c>
      <c r="H109" s="314" t="s">
        <v>340</v>
      </c>
      <c r="I109" s="311" t="s">
        <v>191</v>
      </c>
      <c r="J109" s="450"/>
      <c r="BX109" s="328">
        <v>108</v>
      </c>
    </row>
    <row r="110" spans="1:76" ht="43.2" x14ac:dyDescent="0.3">
      <c r="A110" s="310" t="s">
        <v>207</v>
      </c>
      <c r="B110" s="310" t="s">
        <v>208</v>
      </c>
      <c r="C110" s="310">
        <v>109</v>
      </c>
      <c r="D110" s="308">
        <v>165</v>
      </c>
      <c r="E110" s="309"/>
      <c r="F110" s="310" t="s">
        <v>210</v>
      </c>
      <c r="G110" s="310" t="s">
        <v>171</v>
      </c>
      <c r="H110" s="314" t="s">
        <v>172</v>
      </c>
      <c r="I110" s="311" t="s">
        <v>211</v>
      </c>
      <c r="J110" s="450" t="s">
        <v>328</v>
      </c>
      <c r="BX110" s="328">
        <v>109</v>
      </c>
    </row>
    <row r="111" spans="1:76" ht="43.2" x14ac:dyDescent="0.3">
      <c r="A111" s="310" t="s">
        <v>207</v>
      </c>
      <c r="B111" s="310" t="s">
        <v>208</v>
      </c>
      <c r="C111" s="310">
        <v>110</v>
      </c>
      <c r="D111" s="308">
        <v>166</v>
      </c>
      <c r="E111" s="309"/>
      <c r="F111" s="310" t="s">
        <v>212</v>
      </c>
      <c r="G111" s="310" t="s">
        <v>171</v>
      </c>
      <c r="H111" s="314" t="s">
        <v>172</v>
      </c>
      <c r="I111" s="311" t="s">
        <v>211</v>
      </c>
      <c r="J111" s="450" t="s">
        <v>328</v>
      </c>
      <c r="BX111" s="328">
        <v>110</v>
      </c>
    </row>
    <row r="112" spans="1:76" ht="43.2" x14ac:dyDescent="0.3">
      <c r="A112" s="310" t="s">
        <v>207</v>
      </c>
      <c r="B112" s="310" t="s">
        <v>208</v>
      </c>
      <c r="C112" s="310">
        <v>111</v>
      </c>
      <c r="D112" s="308">
        <v>167</v>
      </c>
      <c r="E112" s="309"/>
      <c r="F112" s="310" t="s">
        <v>213</v>
      </c>
      <c r="G112" s="310" t="s">
        <v>171</v>
      </c>
      <c r="H112" s="314" t="s">
        <v>172</v>
      </c>
      <c r="I112" s="311" t="s">
        <v>211</v>
      </c>
      <c r="J112" s="450"/>
      <c r="BX112" s="328">
        <v>111</v>
      </c>
    </row>
    <row r="113" spans="1:76" ht="57.6" x14ac:dyDescent="0.3">
      <c r="A113" s="310" t="s">
        <v>207</v>
      </c>
      <c r="B113" s="310" t="s">
        <v>208</v>
      </c>
      <c r="C113" s="310">
        <v>112</v>
      </c>
      <c r="D113" s="308">
        <v>168</v>
      </c>
      <c r="E113" s="309"/>
      <c r="F113" s="310" t="s">
        <v>214</v>
      </c>
      <c r="G113" s="310" t="s">
        <v>215</v>
      </c>
      <c r="H113" s="311" t="s">
        <v>217</v>
      </c>
      <c r="I113" s="311" t="s">
        <v>217</v>
      </c>
      <c r="J113" s="450"/>
      <c r="BX113" s="328">
        <v>112</v>
      </c>
    </row>
    <row r="114" spans="1:76" ht="43.2" x14ac:dyDescent="0.3">
      <c r="A114" s="310" t="s">
        <v>207</v>
      </c>
      <c r="B114" s="310" t="s">
        <v>208</v>
      </c>
      <c r="C114" s="310">
        <v>113</v>
      </c>
      <c r="D114" s="308">
        <v>169</v>
      </c>
      <c r="E114" s="309"/>
      <c r="F114" s="311" t="s">
        <v>218</v>
      </c>
      <c r="G114" s="310" t="s">
        <v>171</v>
      </c>
      <c r="H114" s="314" t="s">
        <v>219</v>
      </c>
      <c r="I114" s="311" t="s">
        <v>219</v>
      </c>
      <c r="J114" s="450"/>
      <c r="BX114" s="328">
        <v>113</v>
      </c>
    </row>
    <row r="115" spans="1:76" ht="43.2" x14ac:dyDescent="0.3">
      <c r="A115" s="310" t="s">
        <v>207</v>
      </c>
      <c r="B115" s="310" t="s">
        <v>208</v>
      </c>
      <c r="C115" s="310">
        <v>114</v>
      </c>
      <c r="D115" s="308">
        <v>170</v>
      </c>
      <c r="E115" s="309"/>
      <c r="F115" s="310" t="s">
        <v>220</v>
      </c>
      <c r="G115" s="310" t="s">
        <v>171</v>
      </c>
      <c r="H115" s="314" t="s">
        <v>172</v>
      </c>
      <c r="I115" s="311" t="s">
        <v>173</v>
      </c>
      <c r="J115" s="450"/>
      <c r="BX115" s="328">
        <v>114</v>
      </c>
    </row>
    <row r="116" spans="1:76" ht="43.2" x14ac:dyDescent="0.3">
      <c r="A116" s="310" t="s">
        <v>207</v>
      </c>
      <c r="B116" s="310" t="s">
        <v>208</v>
      </c>
      <c r="C116" s="310">
        <v>115</v>
      </c>
      <c r="D116" s="308">
        <v>171</v>
      </c>
      <c r="E116" s="309"/>
      <c r="F116" s="310" t="s">
        <v>221</v>
      </c>
      <c r="G116" s="310" t="s">
        <v>171</v>
      </c>
      <c r="H116" s="314" t="s">
        <v>172</v>
      </c>
      <c r="I116" s="311" t="s">
        <v>173</v>
      </c>
      <c r="J116" s="450"/>
      <c r="BX116" s="328">
        <v>115</v>
      </c>
    </row>
    <row r="117" spans="1:76" ht="43.2" x14ac:dyDescent="0.3">
      <c r="A117" s="310" t="s">
        <v>207</v>
      </c>
      <c r="B117" s="310" t="s">
        <v>208</v>
      </c>
      <c r="C117" s="310">
        <v>116</v>
      </c>
      <c r="D117" s="308">
        <v>172</v>
      </c>
      <c r="E117" s="309"/>
      <c r="F117" s="311" t="s">
        <v>222</v>
      </c>
      <c r="G117" s="310" t="s">
        <v>171</v>
      </c>
      <c r="H117" s="311" t="s">
        <v>217</v>
      </c>
      <c r="I117" s="311" t="s">
        <v>217</v>
      </c>
      <c r="J117" s="450"/>
      <c r="BX117" s="328">
        <v>116</v>
      </c>
    </row>
    <row r="118" spans="1:76" ht="43.2" x14ac:dyDescent="0.3">
      <c r="A118" s="310" t="s">
        <v>207</v>
      </c>
      <c r="B118" s="310" t="s">
        <v>208</v>
      </c>
      <c r="C118" s="310">
        <v>117</v>
      </c>
      <c r="D118" s="308">
        <v>173</v>
      </c>
      <c r="E118" s="309"/>
      <c r="F118" s="311" t="s">
        <v>223</v>
      </c>
      <c r="G118" s="310" t="s">
        <v>171</v>
      </c>
      <c r="H118" s="314" t="s">
        <v>219</v>
      </c>
      <c r="I118" s="311" t="s">
        <v>219</v>
      </c>
      <c r="J118" s="450"/>
      <c r="BX118" s="328">
        <v>117</v>
      </c>
    </row>
    <row r="119" spans="1:76" ht="43.2" x14ac:dyDescent="0.3">
      <c r="A119" s="310" t="s">
        <v>207</v>
      </c>
      <c r="B119" s="310" t="s">
        <v>208</v>
      </c>
      <c r="C119" s="310">
        <v>118</v>
      </c>
      <c r="D119" s="308">
        <v>174</v>
      </c>
      <c r="E119" s="309"/>
      <c r="F119" s="311" t="s">
        <v>224</v>
      </c>
      <c r="G119" s="310" t="s">
        <v>171</v>
      </c>
      <c r="H119" s="314" t="s">
        <v>219</v>
      </c>
      <c r="I119" s="311" t="s">
        <v>219</v>
      </c>
      <c r="J119" s="450"/>
      <c r="BX119" s="328">
        <v>118</v>
      </c>
    </row>
    <row r="120" spans="1:76" ht="43.2" x14ac:dyDescent="0.3">
      <c r="A120" s="310" t="s">
        <v>207</v>
      </c>
      <c r="B120" s="310" t="s">
        <v>208</v>
      </c>
      <c r="C120" s="310">
        <v>119</v>
      </c>
      <c r="D120" s="308">
        <v>175</v>
      </c>
      <c r="E120" s="309"/>
      <c r="F120" s="311" t="s">
        <v>225</v>
      </c>
      <c r="G120" s="310" t="s">
        <v>171</v>
      </c>
      <c r="H120" s="314" t="s">
        <v>219</v>
      </c>
      <c r="I120" s="311" t="s">
        <v>219</v>
      </c>
      <c r="J120" s="451"/>
      <c r="BX120" s="328">
        <v>119</v>
      </c>
    </row>
    <row r="121" spans="1:76" ht="28.8" x14ac:dyDescent="0.3">
      <c r="A121" s="310" t="s">
        <v>226</v>
      </c>
      <c r="B121" s="311" t="s">
        <v>227</v>
      </c>
      <c r="C121" s="310">
        <v>120</v>
      </c>
      <c r="D121" s="308">
        <v>179</v>
      </c>
      <c r="E121" s="309"/>
      <c r="F121" s="310" t="s">
        <v>228</v>
      </c>
      <c r="G121" s="310" t="s">
        <v>24</v>
      </c>
      <c r="H121" s="313" t="s">
        <v>48</v>
      </c>
      <c r="I121" s="311" t="s">
        <v>48</v>
      </c>
      <c r="J121" s="450"/>
      <c r="BX121" s="328">
        <v>120</v>
      </c>
    </row>
    <row r="122" spans="1:76" ht="28.8" x14ac:dyDescent="0.3">
      <c r="A122" s="310" t="s">
        <v>226</v>
      </c>
      <c r="B122" s="311" t="s">
        <v>227</v>
      </c>
      <c r="C122" s="310">
        <v>121</v>
      </c>
      <c r="D122" s="309"/>
      <c r="E122" s="308">
        <v>17</v>
      </c>
      <c r="F122" s="310" t="s">
        <v>229</v>
      </c>
      <c r="G122" s="310" t="s">
        <v>24</v>
      </c>
      <c r="H122" s="314" t="s">
        <v>25</v>
      </c>
      <c r="I122" s="511" t="s">
        <v>26</v>
      </c>
      <c r="J122" s="450"/>
      <c r="BX122" s="328">
        <v>121</v>
      </c>
    </row>
    <row r="123" spans="1:76" x14ac:dyDescent="0.3">
      <c r="A123" s="310" t="s">
        <v>226</v>
      </c>
      <c r="B123" s="311" t="s">
        <v>230</v>
      </c>
      <c r="C123" s="310">
        <v>122</v>
      </c>
      <c r="D123" s="308">
        <v>181</v>
      </c>
      <c r="E123" s="309"/>
      <c r="F123" s="310" t="s">
        <v>231</v>
      </c>
      <c r="G123" s="310" t="s">
        <v>24</v>
      </c>
      <c r="H123" s="314" t="s">
        <v>25</v>
      </c>
      <c r="I123" s="511" t="s">
        <v>26</v>
      </c>
      <c r="J123" s="450"/>
      <c r="BX123" s="328">
        <v>122</v>
      </c>
    </row>
    <row r="124" spans="1:76" x14ac:dyDescent="0.3">
      <c r="A124" s="310" t="s">
        <v>226</v>
      </c>
      <c r="B124" s="311" t="s">
        <v>230</v>
      </c>
      <c r="C124" s="310">
        <v>123</v>
      </c>
      <c r="D124" s="309"/>
      <c r="E124" s="308">
        <v>18</v>
      </c>
      <c r="F124" s="310" t="s">
        <v>231</v>
      </c>
      <c r="G124" s="310" t="s">
        <v>24</v>
      </c>
      <c r="H124" s="314" t="s">
        <v>25</v>
      </c>
      <c r="I124" s="511" t="s">
        <v>26</v>
      </c>
      <c r="J124" s="450"/>
      <c r="BX124" s="328">
        <v>123</v>
      </c>
    </row>
    <row r="125" spans="1:76" ht="28.8" x14ac:dyDescent="0.3">
      <c r="A125" s="310" t="s">
        <v>226</v>
      </c>
      <c r="B125" s="311" t="s">
        <v>230</v>
      </c>
      <c r="C125" s="310">
        <v>124</v>
      </c>
      <c r="D125" s="308">
        <v>182</v>
      </c>
      <c r="E125" s="309"/>
      <c r="F125" s="310" t="s">
        <v>232</v>
      </c>
      <c r="G125" s="310" t="s">
        <v>24</v>
      </c>
      <c r="H125" s="314" t="s">
        <v>25</v>
      </c>
      <c r="I125" s="511" t="s">
        <v>26</v>
      </c>
      <c r="J125" s="450"/>
      <c r="BX125" s="328">
        <v>124</v>
      </c>
    </row>
    <row r="126" spans="1:76" x14ac:dyDescent="0.3">
      <c r="A126" s="310" t="s">
        <v>226</v>
      </c>
      <c r="B126" s="311" t="s">
        <v>230</v>
      </c>
      <c r="C126" s="310">
        <v>125</v>
      </c>
      <c r="D126" s="308">
        <v>183</v>
      </c>
      <c r="E126" s="308"/>
      <c r="F126" s="310" t="s">
        <v>233</v>
      </c>
      <c r="G126" s="310" t="s">
        <v>24</v>
      </c>
      <c r="H126" s="314" t="s">
        <v>25</v>
      </c>
      <c r="I126" s="511" t="s">
        <v>26</v>
      </c>
      <c r="J126" s="450"/>
      <c r="BX126" s="328">
        <v>125</v>
      </c>
    </row>
    <row r="127" spans="1:76" x14ac:dyDescent="0.3">
      <c r="A127" s="310" t="s">
        <v>226</v>
      </c>
      <c r="B127" s="311" t="s">
        <v>230</v>
      </c>
      <c r="C127" s="310">
        <v>126</v>
      </c>
      <c r="D127" s="308"/>
      <c r="E127" s="308">
        <v>19</v>
      </c>
      <c r="F127" s="310" t="s">
        <v>234</v>
      </c>
      <c r="G127" s="310" t="s">
        <v>24</v>
      </c>
      <c r="H127" s="314" t="s">
        <v>25</v>
      </c>
      <c r="I127" s="511" t="s">
        <v>26</v>
      </c>
      <c r="J127" s="450"/>
      <c r="BX127" s="328">
        <v>126</v>
      </c>
    </row>
    <row r="128" spans="1:76" ht="28.8" x14ac:dyDescent="0.3">
      <c r="A128" s="310" t="s">
        <v>226</v>
      </c>
      <c r="B128" s="311" t="s">
        <v>230</v>
      </c>
      <c r="C128" s="310">
        <v>127</v>
      </c>
      <c r="D128" s="308">
        <v>184</v>
      </c>
      <c r="E128" s="309"/>
      <c r="F128" s="310" t="s">
        <v>235</v>
      </c>
      <c r="G128" s="310" t="s">
        <v>24</v>
      </c>
      <c r="H128" s="314" t="s">
        <v>25</v>
      </c>
      <c r="I128" s="511" t="s">
        <v>26</v>
      </c>
      <c r="J128" s="450"/>
      <c r="BX128" s="328">
        <v>127</v>
      </c>
    </row>
    <row r="129" spans="1:76" x14ac:dyDescent="0.3">
      <c r="A129" s="310" t="s">
        <v>226</v>
      </c>
      <c r="B129" s="311" t="s">
        <v>230</v>
      </c>
      <c r="C129" s="310">
        <v>128</v>
      </c>
      <c r="D129" s="308">
        <v>185</v>
      </c>
      <c r="E129" s="309"/>
      <c r="F129" s="310" t="s">
        <v>236</v>
      </c>
      <c r="G129" s="310" t="s">
        <v>24</v>
      </c>
      <c r="H129" s="314" t="s">
        <v>25</v>
      </c>
      <c r="I129" s="511" t="s">
        <v>26</v>
      </c>
      <c r="J129" s="450"/>
      <c r="BX129" s="328">
        <v>128</v>
      </c>
    </row>
    <row r="130" spans="1:76" x14ac:dyDescent="0.3">
      <c r="A130" s="310" t="s">
        <v>226</v>
      </c>
      <c r="B130" s="311" t="s">
        <v>230</v>
      </c>
      <c r="C130" s="310">
        <v>129</v>
      </c>
      <c r="D130" s="308">
        <v>186</v>
      </c>
      <c r="E130" s="309"/>
      <c r="F130" s="310" t="s">
        <v>27</v>
      </c>
      <c r="G130" s="310" t="s">
        <v>24</v>
      </c>
      <c r="H130" s="314" t="s">
        <v>25</v>
      </c>
      <c r="I130" s="511" t="s">
        <v>26</v>
      </c>
      <c r="J130" s="450"/>
      <c r="BX130" s="328">
        <v>129</v>
      </c>
    </row>
    <row r="131" spans="1:76" ht="28.8" x14ac:dyDescent="0.3">
      <c r="A131" s="310" t="s">
        <v>226</v>
      </c>
      <c r="B131" s="311" t="s">
        <v>230</v>
      </c>
      <c r="C131" s="310">
        <v>130</v>
      </c>
      <c r="D131" s="308">
        <v>187</v>
      </c>
      <c r="E131" s="309"/>
      <c r="F131" s="310" t="s">
        <v>237</v>
      </c>
      <c r="G131" s="310" t="s">
        <v>24</v>
      </c>
      <c r="H131" s="314" t="s">
        <v>25</v>
      </c>
      <c r="I131" s="511" t="s">
        <v>26</v>
      </c>
      <c r="J131" s="450"/>
      <c r="BX131" s="328">
        <v>130</v>
      </c>
    </row>
    <row r="132" spans="1:76" ht="28.8" x14ac:dyDescent="0.3">
      <c r="A132" s="310" t="s">
        <v>226</v>
      </c>
      <c r="B132" s="311" t="s">
        <v>230</v>
      </c>
      <c r="C132" s="310">
        <v>131</v>
      </c>
      <c r="D132" s="308">
        <v>188</v>
      </c>
      <c r="E132" s="309"/>
      <c r="F132" s="310" t="s">
        <v>341</v>
      </c>
      <c r="G132" s="310" t="s">
        <v>24</v>
      </c>
      <c r="H132" s="314" t="s">
        <v>48</v>
      </c>
      <c r="I132" s="311" t="s">
        <v>239</v>
      </c>
      <c r="J132" s="450"/>
      <c r="BX132" s="328">
        <v>131</v>
      </c>
    </row>
    <row r="133" spans="1:76" ht="28.8" x14ac:dyDescent="0.3">
      <c r="A133" s="310" t="s">
        <v>226</v>
      </c>
      <c r="B133" s="311" t="s">
        <v>230</v>
      </c>
      <c r="C133" s="310">
        <v>132</v>
      </c>
      <c r="D133" s="308">
        <v>189</v>
      </c>
      <c r="E133" s="309"/>
      <c r="F133" s="310" t="s">
        <v>240</v>
      </c>
      <c r="G133" s="310" t="s">
        <v>24</v>
      </c>
      <c r="H133" s="314" t="s">
        <v>48</v>
      </c>
      <c r="I133" s="311" t="s">
        <v>239</v>
      </c>
      <c r="J133" s="450"/>
      <c r="BX133" s="328">
        <v>132</v>
      </c>
    </row>
    <row r="134" spans="1:76" x14ac:dyDescent="0.3">
      <c r="A134" s="310" t="s">
        <v>226</v>
      </c>
      <c r="B134" s="311" t="s">
        <v>230</v>
      </c>
      <c r="C134" s="310">
        <v>133</v>
      </c>
      <c r="D134" s="308">
        <v>190</v>
      </c>
      <c r="E134" s="309"/>
      <c r="F134" s="310" t="s">
        <v>241</v>
      </c>
      <c r="G134" s="310" t="s">
        <v>24</v>
      </c>
      <c r="H134" s="314" t="s">
        <v>25</v>
      </c>
      <c r="I134" s="311" t="s">
        <v>26</v>
      </c>
      <c r="J134" s="450"/>
      <c r="BX134" s="328">
        <v>133</v>
      </c>
    </row>
    <row r="135" spans="1:76" ht="28.8" x14ac:dyDescent="0.3">
      <c r="A135" s="310" t="s">
        <v>226</v>
      </c>
      <c r="B135" s="311" t="s">
        <v>230</v>
      </c>
      <c r="C135" s="310">
        <v>134</v>
      </c>
      <c r="D135" s="308">
        <v>191</v>
      </c>
      <c r="E135" s="309"/>
      <c r="F135" s="310" t="s">
        <v>242</v>
      </c>
      <c r="G135" s="310" t="s">
        <v>24</v>
      </c>
      <c r="H135" s="314" t="s">
        <v>25</v>
      </c>
      <c r="I135" s="311" t="s">
        <v>26</v>
      </c>
      <c r="J135" s="450"/>
      <c r="BX135" s="328">
        <v>134</v>
      </c>
    </row>
    <row r="136" spans="1:76" ht="28.8" x14ac:dyDescent="0.3">
      <c r="A136" s="310" t="s">
        <v>226</v>
      </c>
      <c r="B136" s="311" t="s">
        <v>243</v>
      </c>
      <c r="C136" s="310">
        <v>135</v>
      </c>
      <c r="D136" s="308">
        <v>193</v>
      </c>
      <c r="E136" s="309"/>
      <c r="F136" s="310" t="s">
        <v>244</v>
      </c>
      <c r="G136" s="310" t="s">
        <v>245</v>
      </c>
      <c r="H136" s="314" t="s">
        <v>25</v>
      </c>
      <c r="I136" s="511" t="s">
        <v>26</v>
      </c>
      <c r="J136" s="450"/>
      <c r="BX136" s="328">
        <v>135</v>
      </c>
    </row>
    <row r="137" spans="1:76" ht="28.8" x14ac:dyDescent="0.3">
      <c r="A137" s="310" t="s">
        <v>226</v>
      </c>
      <c r="B137" s="311" t="s">
        <v>243</v>
      </c>
      <c r="C137" s="310">
        <v>136</v>
      </c>
      <c r="D137" s="308">
        <v>194</v>
      </c>
      <c r="E137" s="309"/>
      <c r="F137" s="310" t="s">
        <v>246</v>
      </c>
      <c r="G137" s="310" t="s">
        <v>245</v>
      </c>
      <c r="H137" s="314" t="s">
        <v>25</v>
      </c>
      <c r="I137" s="511" t="s">
        <v>26</v>
      </c>
      <c r="J137" s="450"/>
      <c r="BX137" s="328">
        <v>136</v>
      </c>
    </row>
    <row r="138" spans="1:76" ht="28.8" x14ac:dyDescent="0.3">
      <c r="A138" s="310" t="s">
        <v>226</v>
      </c>
      <c r="B138" s="311" t="s">
        <v>243</v>
      </c>
      <c r="C138" s="310">
        <v>137</v>
      </c>
      <c r="D138" s="309"/>
      <c r="E138" s="308">
        <v>20</v>
      </c>
      <c r="F138" s="310" t="s">
        <v>247</v>
      </c>
      <c r="G138" s="310" t="s">
        <v>245</v>
      </c>
      <c r="H138" s="314" t="s">
        <v>25</v>
      </c>
      <c r="I138" s="311" t="s">
        <v>26</v>
      </c>
      <c r="J138" s="450"/>
      <c r="BX138" s="328">
        <v>137</v>
      </c>
    </row>
    <row r="139" spans="1:76" ht="28.8" x14ac:dyDescent="0.3">
      <c r="A139" s="310" t="s">
        <v>226</v>
      </c>
      <c r="B139" s="311" t="s">
        <v>248</v>
      </c>
      <c r="C139" s="310">
        <v>138</v>
      </c>
      <c r="D139" s="308">
        <v>196</v>
      </c>
      <c r="E139" s="309"/>
      <c r="F139" s="310" t="s">
        <v>342</v>
      </c>
      <c r="G139" s="310" t="s">
        <v>245</v>
      </c>
      <c r="H139" s="314" t="s">
        <v>48</v>
      </c>
      <c r="I139" s="311" t="s">
        <v>48</v>
      </c>
      <c r="J139" s="450"/>
      <c r="BX139" s="328">
        <v>138</v>
      </c>
    </row>
    <row r="140" spans="1:76" ht="28.8" x14ac:dyDescent="0.3">
      <c r="A140" s="310" t="s">
        <v>226</v>
      </c>
      <c r="B140" s="311" t="s">
        <v>248</v>
      </c>
      <c r="C140" s="310">
        <v>139</v>
      </c>
      <c r="D140" s="308"/>
      <c r="E140" s="308">
        <v>21</v>
      </c>
      <c r="F140" s="310" t="s">
        <v>250</v>
      </c>
      <c r="G140" s="310" t="s">
        <v>245</v>
      </c>
      <c r="H140" s="314" t="s">
        <v>48</v>
      </c>
      <c r="I140" s="311" t="s">
        <v>48</v>
      </c>
      <c r="J140" s="450"/>
      <c r="BX140" s="328">
        <v>139</v>
      </c>
    </row>
    <row r="141" spans="1:76" ht="28.8" x14ac:dyDescent="0.3">
      <c r="A141" s="310" t="s">
        <v>226</v>
      </c>
      <c r="B141" s="311" t="s">
        <v>248</v>
      </c>
      <c r="C141" s="310">
        <v>140</v>
      </c>
      <c r="D141" s="308">
        <v>197</v>
      </c>
      <c r="E141" s="309"/>
      <c r="F141" s="310" t="s">
        <v>251</v>
      </c>
      <c r="G141" s="310" t="s">
        <v>245</v>
      </c>
      <c r="H141" s="314" t="s">
        <v>48</v>
      </c>
      <c r="I141" s="311" t="s">
        <v>252</v>
      </c>
      <c r="J141" s="450"/>
      <c r="BX141" s="328">
        <v>140</v>
      </c>
    </row>
    <row r="142" spans="1:76" ht="28.8" x14ac:dyDescent="0.3">
      <c r="A142" s="310" t="s">
        <v>226</v>
      </c>
      <c r="B142" s="311" t="s">
        <v>248</v>
      </c>
      <c r="C142" s="310">
        <v>141</v>
      </c>
      <c r="D142" s="308">
        <v>198</v>
      </c>
      <c r="E142" s="309"/>
      <c r="F142" s="520" t="s">
        <v>253</v>
      </c>
      <c r="G142" s="520" t="s">
        <v>245</v>
      </c>
      <c r="H142" s="520" t="s">
        <v>48</v>
      </c>
      <c r="I142" s="520" t="s">
        <v>48</v>
      </c>
      <c r="J142" s="450"/>
      <c r="BX142" s="328">
        <v>141</v>
      </c>
    </row>
    <row r="143" spans="1:76" ht="28.8" x14ac:dyDescent="0.3">
      <c r="A143" s="310" t="s">
        <v>226</v>
      </c>
      <c r="B143" s="311" t="s">
        <v>248</v>
      </c>
      <c r="C143" s="310">
        <v>142</v>
      </c>
      <c r="D143" s="308">
        <v>199</v>
      </c>
      <c r="E143" s="308"/>
      <c r="F143" s="310" t="s">
        <v>343</v>
      </c>
      <c r="G143" s="310" t="s">
        <v>20</v>
      </c>
      <c r="H143" s="313" t="s">
        <v>136</v>
      </c>
      <c r="I143" s="311" t="s">
        <v>186</v>
      </c>
      <c r="J143" s="450"/>
      <c r="BX143" s="328">
        <v>142</v>
      </c>
    </row>
    <row r="144" spans="1:76" ht="57.6" x14ac:dyDescent="0.3">
      <c r="A144" s="310" t="s">
        <v>226</v>
      </c>
      <c r="B144" s="311" t="s">
        <v>344</v>
      </c>
      <c r="C144" s="310">
        <v>143</v>
      </c>
      <c r="D144" s="308">
        <v>201</v>
      </c>
      <c r="E144" s="309"/>
      <c r="F144" s="310" t="s">
        <v>257</v>
      </c>
      <c r="G144" s="310" t="s">
        <v>20</v>
      </c>
      <c r="H144" s="314" t="s">
        <v>186</v>
      </c>
      <c r="I144" s="311" t="s">
        <v>186</v>
      </c>
      <c r="J144" s="450" t="s">
        <v>345</v>
      </c>
      <c r="BX144" s="328">
        <v>143</v>
      </c>
    </row>
    <row r="145" spans="1:76" ht="28.8" x14ac:dyDescent="0.3">
      <c r="A145" s="310" t="s">
        <v>258</v>
      </c>
      <c r="B145" s="311" t="s">
        <v>259</v>
      </c>
      <c r="C145" s="310">
        <v>144</v>
      </c>
      <c r="D145" s="308">
        <v>204</v>
      </c>
      <c r="E145" s="309"/>
      <c r="F145" s="310" t="s">
        <v>346</v>
      </c>
      <c r="G145" s="310" t="s">
        <v>20</v>
      </c>
      <c r="H145" s="314" t="s">
        <v>21</v>
      </c>
      <c r="I145" s="311" t="s">
        <v>22</v>
      </c>
      <c r="J145" s="450"/>
      <c r="BX145" s="328">
        <v>144</v>
      </c>
    </row>
    <row r="146" spans="1:76" ht="28.8" x14ac:dyDescent="0.3">
      <c r="A146" s="310" t="s">
        <v>258</v>
      </c>
      <c r="B146" s="311" t="s">
        <v>259</v>
      </c>
      <c r="C146" s="310">
        <v>145</v>
      </c>
      <c r="D146" s="308">
        <v>205</v>
      </c>
      <c r="E146" s="309"/>
      <c r="F146" s="310" t="s">
        <v>261</v>
      </c>
      <c r="G146" s="310" t="s">
        <v>262</v>
      </c>
      <c r="H146" s="314" t="s">
        <v>263</v>
      </c>
      <c r="I146" s="311" t="s">
        <v>263</v>
      </c>
      <c r="J146" s="450"/>
      <c r="BX146" s="328">
        <v>145</v>
      </c>
    </row>
    <row r="147" spans="1:76" ht="28.8" x14ac:dyDescent="0.3">
      <c r="A147" s="310" t="s">
        <v>258</v>
      </c>
      <c r="B147" s="311" t="s">
        <v>259</v>
      </c>
      <c r="C147" s="310">
        <v>146</v>
      </c>
      <c r="D147" s="308">
        <v>206</v>
      </c>
      <c r="E147" s="309"/>
      <c r="F147" s="310" t="s">
        <v>264</v>
      </c>
      <c r="G147" s="310" t="s">
        <v>262</v>
      </c>
      <c r="H147" s="314" t="s">
        <v>263</v>
      </c>
      <c r="I147" s="311" t="s">
        <v>263</v>
      </c>
      <c r="J147" s="450"/>
      <c r="BX147" s="328">
        <v>146</v>
      </c>
    </row>
    <row r="148" spans="1:76" ht="28.8" x14ac:dyDescent="0.3">
      <c r="A148" s="310" t="s">
        <v>258</v>
      </c>
      <c r="B148" s="311" t="s">
        <v>259</v>
      </c>
      <c r="C148" s="310">
        <v>147</v>
      </c>
      <c r="D148" s="308">
        <v>208</v>
      </c>
      <c r="E148" s="309"/>
      <c r="F148" s="310" t="s">
        <v>347</v>
      </c>
      <c r="G148" s="310" t="s">
        <v>262</v>
      </c>
      <c r="H148" s="314" t="s">
        <v>263</v>
      </c>
      <c r="I148" s="311" t="s">
        <v>263</v>
      </c>
      <c r="J148" s="450"/>
      <c r="BX148" s="328">
        <v>147</v>
      </c>
    </row>
    <row r="149" spans="1:76" ht="28.8" x14ac:dyDescent="0.3">
      <c r="A149" s="310" t="s">
        <v>258</v>
      </c>
      <c r="B149" s="311" t="s">
        <v>259</v>
      </c>
      <c r="C149" s="310">
        <v>148</v>
      </c>
      <c r="D149" s="308">
        <v>209</v>
      </c>
      <c r="E149" s="309"/>
      <c r="F149" s="310" t="s">
        <v>266</v>
      </c>
      <c r="G149" s="310" t="s">
        <v>262</v>
      </c>
      <c r="H149" s="314" t="s">
        <v>263</v>
      </c>
      <c r="I149" s="311" t="s">
        <v>263</v>
      </c>
      <c r="J149" s="450"/>
      <c r="BX149" s="328">
        <v>148</v>
      </c>
    </row>
    <row r="150" spans="1:76" ht="28.8" x14ac:dyDescent="0.3">
      <c r="A150" s="310" t="s">
        <v>258</v>
      </c>
      <c r="B150" s="311" t="s">
        <v>259</v>
      </c>
      <c r="C150" s="310">
        <v>149</v>
      </c>
      <c r="D150" s="308">
        <v>210</v>
      </c>
      <c r="E150" s="309"/>
      <c r="F150" s="310" t="s">
        <v>267</v>
      </c>
      <c r="G150" s="310" t="s">
        <v>262</v>
      </c>
      <c r="H150" s="314" t="s">
        <v>263</v>
      </c>
      <c r="I150" s="311" t="s">
        <v>263</v>
      </c>
      <c r="J150" s="450"/>
      <c r="BX150" s="328">
        <v>149</v>
      </c>
    </row>
    <row r="151" spans="1:76" ht="28.8" x14ac:dyDescent="0.3">
      <c r="A151" s="310" t="s">
        <v>258</v>
      </c>
      <c r="B151" s="311" t="s">
        <v>259</v>
      </c>
      <c r="C151" s="310">
        <v>150</v>
      </c>
      <c r="D151" s="308">
        <v>212</v>
      </c>
      <c r="E151" s="309"/>
      <c r="F151" s="310" t="s">
        <v>268</v>
      </c>
      <c r="G151" s="310" t="s">
        <v>262</v>
      </c>
      <c r="H151" s="314" t="s">
        <v>263</v>
      </c>
      <c r="I151" s="311" t="s">
        <v>263</v>
      </c>
      <c r="J151" s="450"/>
      <c r="BX151" s="328">
        <v>150</v>
      </c>
    </row>
    <row r="152" spans="1:76" ht="28.8" x14ac:dyDescent="0.3">
      <c r="A152" s="310" t="s">
        <v>258</v>
      </c>
      <c r="B152" s="311" t="s">
        <v>269</v>
      </c>
      <c r="C152" s="310">
        <v>151</v>
      </c>
      <c r="D152" s="308">
        <v>214</v>
      </c>
      <c r="E152" s="309"/>
      <c r="F152" s="310" t="s">
        <v>348</v>
      </c>
      <c r="G152" s="310" t="s">
        <v>20</v>
      </c>
      <c r="H152" s="314" t="s">
        <v>21</v>
      </c>
      <c r="I152" s="311" t="s">
        <v>22</v>
      </c>
      <c r="J152" s="450"/>
      <c r="BX152" s="328">
        <v>151</v>
      </c>
    </row>
    <row r="153" spans="1:76" ht="28.8" x14ac:dyDescent="0.3">
      <c r="A153" s="310" t="s">
        <v>258</v>
      </c>
      <c r="B153" s="311" t="s">
        <v>269</v>
      </c>
      <c r="C153" s="310">
        <v>152</v>
      </c>
      <c r="D153" s="308">
        <v>215</v>
      </c>
      <c r="E153" s="309"/>
      <c r="F153" s="310" t="s">
        <v>349</v>
      </c>
      <c r="G153" s="310" t="s">
        <v>20</v>
      </c>
      <c r="H153" s="314" t="s">
        <v>21</v>
      </c>
      <c r="I153" s="311" t="s">
        <v>22</v>
      </c>
      <c r="J153" s="450"/>
      <c r="BX153" s="328">
        <v>152</v>
      </c>
    </row>
    <row r="154" spans="1:76" ht="28.8" x14ac:dyDescent="0.3">
      <c r="A154" s="310" t="s">
        <v>258</v>
      </c>
      <c r="B154" s="311" t="s">
        <v>269</v>
      </c>
      <c r="C154" s="310">
        <v>153</v>
      </c>
      <c r="D154" s="308">
        <v>216</v>
      </c>
      <c r="E154" s="309"/>
      <c r="F154" s="310" t="s">
        <v>350</v>
      </c>
      <c r="G154" s="310" t="s">
        <v>20</v>
      </c>
      <c r="H154" s="314" t="s">
        <v>21</v>
      </c>
      <c r="I154" s="311" t="s">
        <v>22</v>
      </c>
      <c r="J154" s="450"/>
      <c r="BX154" s="328">
        <v>153</v>
      </c>
    </row>
    <row r="155" spans="1:76" ht="28.8" x14ac:dyDescent="0.3">
      <c r="A155" s="310" t="s">
        <v>258</v>
      </c>
      <c r="B155" s="311" t="s">
        <v>269</v>
      </c>
      <c r="C155" s="310">
        <v>154</v>
      </c>
      <c r="D155" s="308">
        <v>217</v>
      </c>
      <c r="E155" s="309"/>
      <c r="F155" s="310" t="s">
        <v>351</v>
      </c>
      <c r="G155" s="310" t="s">
        <v>12</v>
      </c>
      <c r="H155" s="310" t="s">
        <v>274</v>
      </c>
      <c r="I155" s="311"/>
      <c r="J155" s="450"/>
      <c r="BX155" s="328">
        <v>154</v>
      </c>
    </row>
    <row r="156" spans="1:76" ht="28.8" x14ac:dyDescent="0.3">
      <c r="A156" s="310" t="s">
        <v>258</v>
      </c>
      <c r="B156" s="311" t="s">
        <v>269</v>
      </c>
      <c r="C156" s="310">
        <v>155</v>
      </c>
      <c r="D156" s="308">
        <v>218</v>
      </c>
      <c r="E156" s="309"/>
      <c r="F156" s="310" t="s">
        <v>352</v>
      </c>
      <c r="G156" s="310" t="s">
        <v>12</v>
      </c>
      <c r="H156" s="310" t="s">
        <v>274</v>
      </c>
      <c r="I156" s="311"/>
      <c r="J156" s="450"/>
      <c r="BX156" s="328">
        <v>155</v>
      </c>
    </row>
    <row r="157" spans="1:76" ht="28.8" x14ac:dyDescent="0.3">
      <c r="A157" s="310" t="s">
        <v>258</v>
      </c>
      <c r="B157" s="311" t="s">
        <v>269</v>
      </c>
      <c r="C157" s="310">
        <v>156</v>
      </c>
      <c r="D157" s="308">
        <v>219</v>
      </c>
      <c r="E157" s="309"/>
      <c r="F157" s="310" t="s">
        <v>276</v>
      </c>
      <c r="G157" s="310" t="s">
        <v>277</v>
      </c>
      <c r="H157" s="314" t="s">
        <v>278</v>
      </c>
      <c r="I157" s="311" t="s">
        <v>279</v>
      </c>
      <c r="J157" s="450"/>
      <c r="BX157" s="328">
        <v>156</v>
      </c>
    </row>
    <row r="158" spans="1:76" ht="28.8" x14ac:dyDescent="0.3">
      <c r="A158" s="310" t="s">
        <v>258</v>
      </c>
      <c r="B158" s="310" t="s">
        <v>280</v>
      </c>
      <c r="C158" s="310">
        <v>157</v>
      </c>
      <c r="D158" s="308">
        <v>221</v>
      </c>
      <c r="E158" s="309"/>
      <c r="F158" s="310" t="s">
        <v>281</v>
      </c>
      <c r="G158" s="310" t="s">
        <v>277</v>
      </c>
      <c r="H158" s="314" t="s">
        <v>278</v>
      </c>
      <c r="I158" s="311" t="s">
        <v>279</v>
      </c>
      <c r="J158" s="450"/>
      <c r="BX158" s="328">
        <v>157</v>
      </c>
    </row>
    <row r="159" spans="1:76" ht="28.8" x14ac:dyDescent="0.3">
      <c r="A159" s="310" t="s">
        <v>282</v>
      </c>
      <c r="B159" s="310" t="s">
        <v>283</v>
      </c>
      <c r="C159" s="310">
        <v>158</v>
      </c>
      <c r="D159" s="308">
        <v>224</v>
      </c>
      <c r="E159" s="309"/>
      <c r="F159" s="310" t="s">
        <v>284</v>
      </c>
      <c r="G159" s="310" t="s">
        <v>285</v>
      </c>
      <c r="H159" s="314" t="s">
        <v>286</v>
      </c>
      <c r="I159" s="311" t="s">
        <v>287</v>
      </c>
      <c r="J159" s="450"/>
      <c r="BX159" s="328">
        <v>158</v>
      </c>
    </row>
    <row r="160" spans="1:76" ht="28.8" x14ac:dyDescent="0.3">
      <c r="A160" s="310" t="s">
        <v>282</v>
      </c>
      <c r="B160" s="310" t="s">
        <v>283</v>
      </c>
      <c r="C160" s="310">
        <v>159</v>
      </c>
      <c r="D160" s="308">
        <v>225</v>
      </c>
      <c r="E160" s="309"/>
      <c r="F160" s="310" t="s">
        <v>288</v>
      </c>
      <c r="G160" s="310" t="s">
        <v>289</v>
      </c>
      <c r="H160" s="310"/>
      <c r="I160" s="311" t="s">
        <v>38</v>
      </c>
      <c r="J160" s="450"/>
      <c r="BX160" s="328">
        <v>159</v>
      </c>
    </row>
    <row r="161" spans="1:76" ht="28.8" x14ac:dyDescent="0.3">
      <c r="A161" s="310" t="s">
        <v>282</v>
      </c>
      <c r="B161" s="310" t="s">
        <v>283</v>
      </c>
      <c r="C161" s="310">
        <v>160</v>
      </c>
      <c r="D161" s="308">
        <v>226</v>
      </c>
      <c r="E161" s="309"/>
      <c r="F161" s="310" t="s">
        <v>290</v>
      </c>
      <c r="G161" s="310" t="s">
        <v>289</v>
      </c>
      <c r="H161" s="310"/>
      <c r="I161" s="311" t="s">
        <v>38</v>
      </c>
      <c r="J161" s="450"/>
      <c r="BX161" s="328">
        <v>160</v>
      </c>
    </row>
    <row r="162" spans="1:76" ht="28.8" x14ac:dyDescent="0.3">
      <c r="A162" s="310" t="s">
        <v>282</v>
      </c>
      <c r="B162" s="310" t="s">
        <v>283</v>
      </c>
      <c r="C162" s="310">
        <v>161</v>
      </c>
      <c r="D162" s="308">
        <v>227</v>
      </c>
      <c r="E162" s="309"/>
      <c r="F162" s="310" t="s">
        <v>291</v>
      </c>
      <c r="G162" s="310" t="s">
        <v>289</v>
      </c>
      <c r="H162" s="310"/>
      <c r="I162" s="311" t="s">
        <v>38</v>
      </c>
      <c r="J162" s="450"/>
      <c r="BX162" s="328">
        <v>161</v>
      </c>
    </row>
    <row r="163" spans="1:76" ht="28.8" x14ac:dyDescent="0.3">
      <c r="A163" s="310" t="s">
        <v>282</v>
      </c>
      <c r="B163" s="310" t="s">
        <v>283</v>
      </c>
      <c r="C163" s="310">
        <v>162</v>
      </c>
      <c r="D163" s="308">
        <v>228</v>
      </c>
      <c r="E163" s="309"/>
      <c r="F163" s="310" t="s">
        <v>353</v>
      </c>
      <c r="G163" s="310" t="s">
        <v>285</v>
      </c>
      <c r="H163" s="314" t="s">
        <v>286</v>
      </c>
      <c r="I163" s="311" t="s">
        <v>287</v>
      </c>
      <c r="J163" s="450"/>
      <c r="BX163" s="328">
        <v>162</v>
      </c>
    </row>
    <row r="164" spans="1:76" ht="28.8" x14ac:dyDescent="0.3">
      <c r="A164" s="310" t="s">
        <v>282</v>
      </c>
      <c r="B164" s="310" t="s">
        <v>283</v>
      </c>
      <c r="C164" s="310">
        <v>163</v>
      </c>
      <c r="D164" s="308">
        <v>229</v>
      </c>
      <c r="E164" s="309"/>
      <c r="F164" s="310" t="s">
        <v>293</v>
      </c>
      <c r="G164" s="310" t="s">
        <v>285</v>
      </c>
      <c r="H164" s="314" t="s">
        <v>286</v>
      </c>
      <c r="I164" s="311" t="s">
        <v>287</v>
      </c>
      <c r="J164" s="450"/>
      <c r="BX164" s="328">
        <v>163</v>
      </c>
    </row>
    <row r="165" spans="1:76" ht="28.8" x14ac:dyDescent="0.3">
      <c r="A165" s="310" t="s">
        <v>282</v>
      </c>
      <c r="B165" s="310" t="s">
        <v>294</v>
      </c>
      <c r="C165" s="310">
        <v>164</v>
      </c>
      <c r="D165" s="308">
        <v>231</v>
      </c>
      <c r="E165" s="309"/>
      <c r="F165" s="310" t="s">
        <v>295</v>
      </c>
      <c r="G165" s="310" t="s">
        <v>285</v>
      </c>
      <c r="H165" s="314" t="s">
        <v>286</v>
      </c>
      <c r="I165" s="311" t="s">
        <v>287</v>
      </c>
      <c r="J165" s="450"/>
      <c r="BX165" s="328">
        <v>164</v>
      </c>
    </row>
    <row r="166" spans="1:76" ht="28.8" x14ac:dyDescent="0.3">
      <c r="A166" s="310" t="s">
        <v>282</v>
      </c>
      <c r="B166" s="310" t="s">
        <v>294</v>
      </c>
      <c r="C166" s="310">
        <v>165</v>
      </c>
      <c r="D166" s="308">
        <v>232</v>
      </c>
      <c r="E166" s="309"/>
      <c r="F166" s="310" t="s">
        <v>354</v>
      </c>
      <c r="G166" s="310" t="s">
        <v>20</v>
      </c>
      <c r="H166" s="314"/>
      <c r="I166" s="311" t="s">
        <v>21</v>
      </c>
      <c r="J166" s="450" t="s">
        <v>328</v>
      </c>
      <c r="BX166" s="328">
        <v>165</v>
      </c>
    </row>
    <row r="167" spans="1:76" ht="28.8" x14ac:dyDescent="0.3">
      <c r="A167" s="310" t="s">
        <v>282</v>
      </c>
      <c r="B167" s="310" t="s">
        <v>297</v>
      </c>
      <c r="C167" s="310">
        <v>166</v>
      </c>
      <c r="D167" s="308">
        <v>239</v>
      </c>
      <c r="E167" s="309"/>
      <c r="F167" s="310" t="s">
        <v>298</v>
      </c>
      <c r="G167" s="310" t="s">
        <v>285</v>
      </c>
      <c r="H167" s="314" t="s">
        <v>286</v>
      </c>
      <c r="I167" s="311" t="s">
        <v>287</v>
      </c>
      <c r="J167" s="450"/>
      <c r="BX167" s="328">
        <v>166</v>
      </c>
    </row>
    <row r="168" spans="1:76" ht="57.6" x14ac:dyDescent="0.3">
      <c r="A168" s="310" t="s">
        <v>282</v>
      </c>
      <c r="B168" s="310" t="s">
        <v>297</v>
      </c>
      <c r="C168" s="310">
        <v>167</v>
      </c>
      <c r="D168" s="308">
        <v>240</v>
      </c>
      <c r="E168" s="309"/>
      <c r="F168" s="310" t="s">
        <v>299</v>
      </c>
      <c r="G168" s="310" t="s">
        <v>300</v>
      </c>
      <c r="H168" s="314" t="s">
        <v>286</v>
      </c>
      <c r="I168" s="311" t="s">
        <v>287</v>
      </c>
      <c r="J168" s="452"/>
      <c r="BX168" s="328">
        <v>167</v>
      </c>
    </row>
  </sheetData>
  <autoFilter ref="I184" xr:uid="{00000000-0001-0000-0000-000000000000}"/>
  <phoneticPr fontId="31" type="noConversion"/>
  <hyperlinks>
    <hyperlink ref="D2" location="'Tabla 1'!A1" display="'Tabla 1'!A1" xr:uid="{0AD056D3-A7E1-44C5-AC77-B1F33DB64716}"/>
    <hyperlink ref="D3" location="'Tabla 2'!A1" display="'Tabla 2'!A1" xr:uid="{09F8D4F7-D32D-46EE-8153-069BC2AD0EB0}"/>
    <hyperlink ref="D4" location="'Tabla 3'!A1" display="'Tabla 3'!A1" xr:uid="{02410FC2-9976-4A3C-BB30-4E185DBF8D69}"/>
    <hyperlink ref="D5" location="'Tabla 4'!A1" display="'Tabla 4'!A1" xr:uid="{21990BA0-B09C-4D25-8BF6-E1E25862054A}"/>
    <hyperlink ref="D6" location="'Tabla 5'!A1" display="'Tabla 5'!A1" xr:uid="{83C85777-5143-4E7E-989D-2CE3F81086E8}"/>
    <hyperlink ref="D7" location="'Tabla 6'!A1" display="'Tabla 6'!A1" xr:uid="{A7B51896-D925-49E5-B261-96075FC42D6B}"/>
    <hyperlink ref="E8" location="'Gráfico 1'!A1" display="'Gráfico 1'!A1" xr:uid="{73EFE188-D3FE-403E-9548-583DC8E22B1D}"/>
    <hyperlink ref="E9" location="'Gráfico 2'!A1" display="'Gráfico 2'!A1" xr:uid="{7BC9936C-F10C-4E60-8EF3-F99C1F15A9D7}"/>
    <hyperlink ref="D10" location="'Tabla 7'!A1" display="'Tabla 7'!A1" xr:uid="{92F53585-525E-47DB-AC54-D87BD51CF3E1}"/>
    <hyperlink ref="D11" location="'Tabla 8'!A1" display="'Tabla 8'!A1" xr:uid="{AE998AAC-FC5A-4B3B-B0E5-F68136EFEEF9}"/>
    <hyperlink ref="D12" location="'Tabla 9'!A1" display="'Tabla 9'!A1" xr:uid="{5653009B-C3D5-4268-86C4-1490D0358D3D}"/>
    <hyperlink ref="D13" location="'Tabla 10'!A1" display="'Tabla 10'!A1" xr:uid="{EFB7619C-28DA-4586-A63C-6B8E839CB444}"/>
    <hyperlink ref="D14" location="'Tabla 23'!A1" display="'Tabla 23'!A1" xr:uid="{5742B003-405B-4CA0-BCBC-FFB7DE2742B7}"/>
    <hyperlink ref="D15" location="'Tabla 29'!A1" display="'Tabla 29'!A1" xr:uid="{08FB98AA-917A-4FCE-A9F4-56BF7279E199}"/>
    <hyperlink ref="D16" location="'Tabla 32'!A1" display="'Tabla 32'!A1" xr:uid="{2B7E3937-F8FF-4BAF-8930-5457DCF78C0C}"/>
    <hyperlink ref="D17" location="'Tabla 33'!A1" display="'Tabla 33'!A1" xr:uid="{B77AA613-0E43-4207-B6D9-345E624F452B}"/>
    <hyperlink ref="D18" location="'Tabla 34'!A1" display="'Tabla 34'!A1" xr:uid="{BA9A4776-7D03-4CAC-BC72-47B4FE118C42}"/>
    <hyperlink ref="D22" location="'Tabla 36'!A1" display="'Tabla 36'!A1" xr:uid="{8AF3608F-020F-4369-AD9E-7CDC482726B4}"/>
    <hyperlink ref="D23" location="'Tabla 39'!A1" display="'Tabla 39'!A1" xr:uid="{079D4B85-CE45-4728-A6BF-6582658DD8E3}"/>
    <hyperlink ref="D24" location="'Tabla 40'!A1" display="'Tabla 40'!A1" xr:uid="{955DFA3B-B3E6-4327-A25E-4F6E1696570A}"/>
    <hyperlink ref="D25" location="'Tabla 41'!A1" display="'Tabla 41'!A1" xr:uid="{56160BA7-C774-47C7-82B5-0BDC9CD117FE}"/>
    <hyperlink ref="D26" location="'Tabla 42'!A1" display="'Tabla 42'!A1" xr:uid="{79F09CFC-3B2F-4F8A-827A-FA0B529A4DAD}"/>
    <hyperlink ref="D27" location="'Tabla 43'!A1" display="'Tabla 43'!A1" xr:uid="{E9890160-8181-484C-BA26-B58742095210}"/>
    <hyperlink ref="D28" location="'Tabla 44'!A1" display="'Tabla 44'!A1" xr:uid="{18FB91F1-AFFF-4F88-9EAF-9A7E79E1D971}"/>
    <hyperlink ref="E29" location="'Gráfico 3'!A1" display="'Gráfico 3'!A1" xr:uid="{05D5FCAC-768B-4EBE-A3DE-AD0CA80C5B36}"/>
    <hyperlink ref="D30" location="'Tabla 45'!A1" display="'Tabla 45'!A1" xr:uid="{5AFA13ED-0A5A-46BD-8335-C8F39CD492B9}"/>
    <hyperlink ref="D31" location="'Tabla 46'!A1" display="'Tabla 46'!A1" xr:uid="{7C8C1449-6DEB-4D2D-8258-5A964A761085}"/>
    <hyperlink ref="D32" location="'Tabla 47'!A1" display="'Tabla 47'!A1" xr:uid="{A2CD7020-B60E-4C27-AE2C-7B777A460FDB}"/>
    <hyperlink ref="D33" location="'Tabla 48'!A1" display="'Tabla 48'!A1" xr:uid="{75782860-EB10-4A5E-97E9-1BDB9D28F0E9}"/>
    <hyperlink ref="D35" location="'Tabla 49'!A1" display="'Tabla 49'!A1" xr:uid="{9DFD0F86-1B0D-4B40-91E0-DC8713BED69A}"/>
    <hyperlink ref="E34" location="'Gráfico 4'!A1" display="'Gráfico 4'!A1" xr:uid="{59689BD4-0FFB-40CE-8838-2982ABA2F214}"/>
    <hyperlink ref="D36" location="'Tabla 53'!A1" display="'Tabla 53'!A1" xr:uid="{343DF7F7-DAD7-4A9F-B51D-963587E2D355}"/>
    <hyperlink ref="E37" location="'Gráfico 5'!A1" display="'Gráfico 5'!A1" xr:uid="{9C00189E-C358-4BAA-8720-2101869C2615}"/>
    <hyperlink ref="D38" location="'Tabla 55'!A1" display="'Tabla 55'!A1" xr:uid="{1EAE6A98-37A8-498E-B024-54960652B65D}"/>
    <hyperlink ref="D39" location="'Tabla 57'!A1" display="'Tabla 57'!A1" xr:uid="{417E14A7-5257-4F9A-94DF-A4F94993B7BF}"/>
    <hyperlink ref="D40" location="'Tabla 58'!A1" display="'Tabla 58'!A1" xr:uid="{4E974811-143B-43B0-9453-A5052C3AF0E9}"/>
    <hyperlink ref="D41" location="'Tabla 61'!A1" display="'Tabla 61'!A1" xr:uid="{3C67E57B-8CB9-401F-BF8D-515C249CB951}"/>
    <hyperlink ref="D42" location="'Tabla 62'!A1" display="'Tabla 62'!A1" xr:uid="{77AFEE97-2A43-4F34-846D-9EF67EA256AE}"/>
    <hyperlink ref="D43" location="'Tabla 63'!A1" display="'Tabla 63'!A1" xr:uid="{90AD9E45-119A-4A8F-9114-CB7BD2E1D2DD}"/>
    <hyperlink ref="D44" location="'Tabla 64'!A1" display="'Tabla 64'!A1" xr:uid="{9F9CF416-56A1-452E-A238-2F71F27A65A3}"/>
    <hyperlink ref="D45" location="'Tabla 65'!A1" display="'Tabla 65'!A1" xr:uid="{BF2EFD5B-549A-4AAC-AAAF-79A0E0C7641B}"/>
    <hyperlink ref="D46" location="'Tabla 66'!A1" display="'Tabla 66'!A1" xr:uid="{C6B32790-124A-41DF-B964-A918C488BD6B}"/>
    <hyperlink ref="E48" location="'Gráfico 6'!A1" display="'Gráfico 6'!A1" xr:uid="{9FA81393-CA12-43CB-871F-1885C520EE57}"/>
    <hyperlink ref="D47" location="'Tabla 67'!A1" display="'Tabla 67'!A1" xr:uid="{85BF8C42-12C6-4F07-A0A8-D2298A70036B}"/>
    <hyperlink ref="D49" location="'Tabla 68'!A1" display="'Tabla 68'!A1" xr:uid="{913E604D-4E5F-4BBC-B4EB-2A3F2ECC7D7B}"/>
    <hyperlink ref="D50" location="'Tabla 69'!A1" display="'Tabla 69'!A1" xr:uid="{43CCD8F6-22AD-40F8-B70D-E1B1ACC026B1}"/>
    <hyperlink ref="D51" location="'Tabla 70'!A1" display="'Tabla 70'!A1" xr:uid="{9415B216-EF9E-478F-B14E-916442F9607B}"/>
    <hyperlink ref="D52" location="'Tabla 71'!A1" display="'Tabla 71'!A1" xr:uid="{1A23E658-C7BC-4388-8288-5C2FDD9A56E8}"/>
    <hyperlink ref="D53" location="'Tabla 72'!A1" display="'Tabla 72'!A1" xr:uid="{2B1F7D8E-9538-4BC0-AF7F-C9A34E090352}"/>
    <hyperlink ref="D54" location="'Tabla 73'!A1" display="'Tabla 73'!A1" xr:uid="{85E4DBEB-9587-4F95-92FE-1914FAF4114E}"/>
    <hyperlink ref="E55" location="'Gráfico 8'!A1" display="'Gráfico 8'!A1" xr:uid="{BDDB8FB1-0666-405B-B542-4D6AAC57605D}"/>
    <hyperlink ref="D56" location="'Tabla 74'!A1" display="'Tabla 74'!A1" xr:uid="{8FF3FF98-DA99-4F0F-B2E9-2375FCFA4C21}"/>
    <hyperlink ref="D57" location="'Tabla 75'!A1" display="'Tabla 75'!A1" xr:uid="{23EC3B7A-3D15-4B65-A2B5-8E0BC18B6784}"/>
    <hyperlink ref="D58" location="'Tabla 76'!A1" display="'Tabla 76'!A1" xr:uid="{8929E7CF-D9EB-4033-AEE5-BC154AB25996}"/>
    <hyperlink ref="D59" location="'Tabla 77'!A1" display="'Tabla 77'!A1" xr:uid="{EB8CF471-082A-4F45-A8DF-1C47690FA054}"/>
    <hyperlink ref="D60" location="'Tabla 82'!A1" display="'Tabla 82'!A1" xr:uid="{6794BDB2-4F48-450C-B781-FD0101D26321}"/>
    <hyperlink ref="D61" location="'Tabla 83'!A1" display="'Tabla 83'!A1" xr:uid="{CE6F2DB3-E7E2-47E5-9998-B11AE4F53507}"/>
    <hyperlink ref="E64" location="'Gráfico 9'!A1" display="'Gráfico 9'!A1" xr:uid="{33CBD50C-D290-4819-A561-209733FF8F4C}"/>
    <hyperlink ref="D62" location="'Tabla 85'!A1" display="'Tabla 85'!A1" xr:uid="{2F29CE49-D582-4F21-82AD-4954481F3C2D}"/>
    <hyperlink ref="D63" location="'Tabla 87'!A1" display="'Tabla 87'!A1" xr:uid="{83076D4D-1E06-4454-97CB-48B69CD8AD10}"/>
    <hyperlink ref="D65" location="'Tabla 98'!A1" display="'Tabla 98'!A1" xr:uid="{1514FF11-6B42-4A45-936A-FA933655C610}"/>
    <hyperlink ref="D66" location="'Tabla 99'!A1" display="'Tabla 99'!A1" xr:uid="{2B3839A5-C12D-4CDE-B77A-756CF351BAB2}"/>
    <hyperlink ref="D67" location="'Tabla 100'!A1" display="'Tabla 100'!A1" xr:uid="{6C4DBD82-C75D-4B5D-9ED4-00C0B3EE2EA3}"/>
    <hyperlink ref="D68" location="'Tabla 101'!A1" display="'Tabla 101'!A1" xr:uid="{25A06663-57FD-45E8-8C8B-DB9D2DEB51F9}"/>
    <hyperlink ref="D69" location="'Tabla 105'!A1" display="'Tabla 105'!A1" xr:uid="{ED0A88DB-6EF3-44F6-945E-206F1139C50F}"/>
    <hyperlink ref="D70" location="'Tabla 108'!A1" display="'Tabla 108'!A1" xr:uid="{596333A5-76ED-470B-B4C5-1F60DC1470FE}"/>
    <hyperlink ref="D71" location="'Tabla 110'!A1" display="'Tabla 110'!A1" xr:uid="{03B1E18F-5C00-4DD0-84DB-9B693FB4CD13}"/>
    <hyperlink ref="D72" location="'Tabla 111'!A1" display="'Tabla 111'!A1" xr:uid="{A74EDD58-6FC4-461E-BD93-483E4871153E}"/>
    <hyperlink ref="D73" location="'Tabla 112'!A1" display="'Tabla 112'!A1" xr:uid="{DAC3FFC8-9C81-4BD9-B3CB-12E7BB55CBCE}"/>
    <hyperlink ref="D74" location="'Tabla 113'!A1" display="'Tabla 113'!A1" xr:uid="{61A3E9C6-7BC5-4090-8A58-F5845E4C579C}"/>
    <hyperlink ref="D75" location="'Tabla 114'!A1" display="'Tabla 114'!A1" xr:uid="{73B42C79-D057-48F1-B21D-92DFEC8144F7}"/>
    <hyperlink ref="D76" location="'Tabla 115'!A1" display="'Tabla 115'!A1" xr:uid="{E8D0B7E8-6AD8-45C2-A3E2-EEA6CF2E8440}"/>
    <hyperlink ref="D77" location="'Tabla 116'!A1" display="'Tabla 116'!A1" xr:uid="{F401C2F5-9D84-40DD-A147-29F9C332AE00}"/>
    <hyperlink ref="D78" location="'Tabla 121'!A1" display="'Tabla 121'!A1" xr:uid="{FF7AA7A0-6EA0-4DBA-8302-B8BB5519E151}"/>
    <hyperlink ref="D79" location="'Tabla 122'!A1" display="'Tabla 122'!A1" xr:uid="{909857E0-41AD-4FBB-A8A6-8BE5415F0D48}"/>
    <hyperlink ref="D80" location="'Tabla 123'!A1" display="'Tabla 123'!A1" xr:uid="{B855DCD2-5653-49B0-BF24-1F63ED03B72B}"/>
    <hyperlink ref="D81" location="'Tabla 126'!A1" display="'Tabla 126'!A1" xr:uid="{3D1EC4E8-A566-48EA-9E37-9886AF012846}"/>
    <hyperlink ref="D82" location="'Tabla 127'!A1" display="'Tabla 127'!A1" xr:uid="{3722B9B4-3490-41FE-9909-C7AC6F038973}"/>
    <hyperlink ref="E83" location="'Gráfico 13'!A1" display="'Gráfico 13'!A1" xr:uid="{86083028-361A-4DB5-B655-539BC7D4EA4B}"/>
    <hyperlink ref="D85" location="'Tabla 132'!A1" display="'Tabla 132'!A1" xr:uid="{B27B70B3-BF97-4A43-8E09-779D0C287DDD}"/>
    <hyperlink ref="D86" location="'Tabla 133'!A1" display="'Tabla 133'!A1" xr:uid="{1A34AB50-FD0F-47DC-A4F0-5C2849A0D8C7}"/>
    <hyperlink ref="D87" location="'Tabla 134'!A1" display="'Tabla 134'!A1" xr:uid="{AC6E0EE0-6A57-40CC-A3E0-95FAEEF8956B}"/>
    <hyperlink ref="D88" location="'Tabla 135'!A1" display="'Tabla 135'!A1" xr:uid="{E82F4645-0150-496C-AAE1-5A990CEB2FAB}"/>
    <hyperlink ref="E89" location="'Gráfico 15'!A1" display="'Gráfico 15'!A1" xr:uid="{72A5FF6F-81BA-4080-8968-244B82F2E2CE}"/>
    <hyperlink ref="D90" location="'Tabla 136'!A1" display="'Tabla 136'!A1" xr:uid="{370FADD3-A755-4B21-A077-8678FAB546DB}"/>
    <hyperlink ref="D91" location="'Tabla 137'!A1" display="'Tabla 137'!A1" xr:uid="{87065594-25B5-4864-966E-0C1D5FB9205A}"/>
    <hyperlink ref="D92" location="'Tabla 138'!A1" display="'Tabla 138'!A1" xr:uid="{EA16DCCA-4793-4166-99CF-77371F6390BA}"/>
    <hyperlink ref="D93" location="'Tabla 139'!A1" display="'Tabla 139'!A1" xr:uid="{A6C1B8C7-5E65-433D-AD70-A3E164E81854}"/>
    <hyperlink ref="D94" location="'Tabla 144'!A1" display="'Tabla 144'!A1" xr:uid="{B48ABAD7-4001-4196-976D-FEECA469CB57}"/>
    <hyperlink ref="D95" location="'Tabla 145'!A1" display="'Tabla 145'!A1" xr:uid="{F51803B7-62C1-4D83-95BA-163DD7565981}"/>
    <hyperlink ref="D96" location="'Tabla 147'!A1" display="'Tabla 147'!A1" xr:uid="{BE84E14D-D20F-42E4-AE09-37F024E435AF}"/>
    <hyperlink ref="D97" location="'Tabla 148'!A1" display="'Tabla 148'!A1" xr:uid="{1164BFA5-6924-450B-8094-9C75BC5D627C}"/>
    <hyperlink ref="D98" location="'Tabla 149'!A1" display="'Tabla 149'!A1" xr:uid="{2828B76C-2C66-41B8-A33B-2160E24FD3C7}"/>
    <hyperlink ref="D99" location="'Tabla 150'!A1" display="'Tabla 150'!A1" xr:uid="{ABE77152-75D7-497E-8097-DF14C5D05AF8}"/>
    <hyperlink ref="D100" location="'Tabla 151'!A1" display="'Tabla 151'!A1" xr:uid="{FF9E8D37-76D4-49AB-A9B6-BBE668245ADC}"/>
    <hyperlink ref="E101" location="'Gráfico 16'!A1" display="'Gráfico 16'!A1" xr:uid="{AFBAF478-E19F-465D-B182-AEAF30DFD2C6}"/>
    <hyperlink ref="D102" location="'Tabla 152'!A1" display="'Tabla 152'!A1" xr:uid="{7F91A1E9-00F5-457D-88B8-BAC70506CA98}"/>
    <hyperlink ref="D103" location="'Tabla 153'!A1" display="'Tabla 153'!A1" xr:uid="{0C9E05D3-E6E4-4947-95A5-8B90D3B94A44}"/>
    <hyperlink ref="D104" location="'Tabla 154'!A1" display="'Tabla 154'!A1" xr:uid="{AE6A645C-F789-4D0B-9338-70F226C56E0F}"/>
    <hyperlink ref="D105" location="'Tabla 156'!A1" display="'Tabla 156'!A1" xr:uid="{E123A450-4251-4398-99EC-B55F95F421B5}"/>
    <hyperlink ref="D106" location="'Tabla 157'!A1" display="'Tabla 157'!A1" xr:uid="{B7975855-D777-4E09-9650-689948F1ED74}"/>
    <hyperlink ref="D107" location="'Tabla 159'!A1" display="'Tabla 159'!A1" xr:uid="{3AE70DE2-3BDE-43B8-A4AF-7358660689C4}"/>
    <hyperlink ref="D108" location="'Tabla 161'!A1" display="'Tabla 161'!A1" xr:uid="{635DA4DF-5890-44CE-87A8-90AADF6E3ECF}"/>
    <hyperlink ref="D110" location="'Tabla 165'!A1" display="'Tabla 165'!A1" xr:uid="{D79D991A-E289-40DA-AB7F-EA229FB7A65A}"/>
    <hyperlink ref="D109" location="'Tabla 164'!A1" display="'Tabla 164'!A1" xr:uid="{4836F69B-E60E-489B-B185-2E3AB816EB81}"/>
    <hyperlink ref="D111" location="'Tabla 166'!A1" display="'Tabla 166'!A1" xr:uid="{E18A63CE-90F6-4BB0-8F34-191B71E69EC7}"/>
    <hyperlink ref="D112" location="'Tabla 167'!A1" display="'Tabla 167'!A1" xr:uid="{2B3734D5-CAEA-4BB5-9245-7BA74E383CFC}"/>
    <hyperlink ref="D113" location="'Tabla 168'!A1" display="'Tabla 168'!A1" xr:uid="{9B4E92DD-0C20-4690-841A-17AEF6BDDE77}"/>
    <hyperlink ref="D114" location="'Tabla 169'!A1" display="'Tabla 169'!A1" xr:uid="{880CA2D6-CF31-48DA-8918-2AFB5DE6335D}"/>
    <hyperlink ref="D115" location="'Tabla 170'!A1" display="'Tabla 170'!A1" xr:uid="{8990C7B9-EB87-4107-ACBA-E68D59B5C822}"/>
    <hyperlink ref="D116" location="'Tabla 171'!A1" display="'Tabla 171'!A1" xr:uid="{24433B9B-33D5-401D-8305-28204A04A5E6}"/>
    <hyperlink ref="D117" location="'Tabla 172'!A1" display="'Tabla 172'!A1" xr:uid="{4B9A9D5A-B407-4F0C-82B0-8573228EEF57}"/>
    <hyperlink ref="D118" location="'Tabla 173'!A1" display="'Tabla 173'!A1" xr:uid="{29661E84-1142-4156-AD72-A2F0A2CF8E3A}"/>
    <hyperlink ref="D119" location="'Tabla 174'!A1" display="'Tabla 174'!A1" xr:uid="{98303EB5-775A-449B-8D91-66B9B917BE0F}"/>
    <hyperlink ref="D120" location="'Tabla 175'!A1" display="'Tabla 175'!A1" xr:uid="{787AE729-E883-4F2F-A026-9F3EDE379F19}"/>
    <hyperlink ref="D121" location="'Tabla 179'!A1" display="'Tabla 179'!A1" xr:uid="{258B3BF2-4EF7-440E-B227-47EDCF654B57}"/>
    <hyperlink ref="E122" location="'Gráfico 17'!A1" display="'Gráfico 17'!A1" xr:uid="{C7E72AFE-0480-4A30-A14A-FFA1BEEEADAE}"/>
    <hyperlink ref="D123" location="'Tabla 181'!A1" display="'Tabla 181'!A1" xr:uid="{5B58886A-AC31-483C-A19F-A94B900004F9}"/>
    <hyperlink ref="E124" location="'Gráfico 18'!A1" display="'Gráfico 18'!A1" xr:uid="{D52F83C5-1F9C-49E4-A07D-BD66ECAE5834}"/>
    <hyperlink ref="D125" location="'Tabla 182'!A1" display="'Tabla 182'!A1" xr:uid="{752C71B6-67B4-40A8-AA67-81B5A4CA9B30}"/>
    <hyperlink ref="D126" location="'Tabla 183'!A1" display="'Tabla 183'!A1" xr:uid="{AAB6C3A7-C154-46C0-8A21-4853968931EE}"/>
    <hyperlink ref="D128" location="'Tabla 184'!A1" display="'Tabla 184'!A1" xr:uid="{F9116BEE-1119-4B09-B788-A6DB7C369A06}"/>
    <hyperlink ref="D129" location="'Tabla 185'!A1" display="'Tabla 185'!A1" xr:uid="{00EDF1E0-0EBA-416A-9F3C-93CA474CE771}"/>
    <hyperlink ref="D130" location="'Tabla 186'!A1" display="'Tabla 186'!A1" xr:uid="{FA028AFB-A364-45B8-AB75-8A23BA37FDEB}"/>
    <hyperlink ref="D131" location="'Tabla 187'!A1" display="'Tabla 187'!A1" xr:uid="{3D24E45B-CD64-4A9F-8DFE-FE42B09AB077}"/>
    <hyperlink ref="D132" location="'Tabla 188'!A1" display="'Tabla 188'!A1" xr:uid="{640BF7A1-F707-4377-9EE3-36A9E1A18A8B}"/>
    <hyperlink ref="D133" location="'Tabla 189'!A1" display="'Tabla 189'!A1" xr:uid="{D4793A85-3F95-4B2A-8D40-6AE2EA043E2B}"/>
    <hyperlink ref="D134" location="'Tabla 190'!A1" display="'Tabla 190'!A1" xr:uid="{57523103-F521-4452-A68D-BDF90EB9E186}"/>
    <hyperlink ref="D135" location="'Tabla 191'!A1" display="'Tabla 191'!A1" xr:uid="{77BD695B-4A71-4747-897F-4C8D13F6D417}"/>
    <hyperlink ref="D136" location="'Tabla 193'!A1" display="'Tabla 193'!A1" xr:uid="{9816BAB9-D409-43D2-87CE-E385BF041019}"/>
    <hyperlink ref="D137" location="'Tabla 194'!A1" display="'Tabla 194'!A1" xr:uid="{6404F4CD-FE8A-4ABC-B6A4-8CA35D599F3F}"/>
    <hyperlink ref="E138" location="'Gráfico 20'!A1" display="'Gráfico 20'!A1" xr:uid="{8F51C95A-1673-4743-AF56-F2F177379478}"/>
    <hyperlink ref="D139" location="'Tabla 196'!A1" display="'Tabla 196'!A1" xr:uid="{8AE09B16-E2FE-4D43-9559-C263891EE181}"/>
    <hyperlink ref="E143" location="'Gráfico 21'!A1" display="'Gráfico 21'!A1" xr:uid="{A1A535E3-C4D3-4D86-9470-17B12F9A51F2}"/>
    <hyperlink ref="D140" location="'Tabla 197'!A1" display="'Tabla 197'!A1" xr:uid="{DD23F928-014F-4DF6-85EA-75F1AF91048E}"/>
    <hyperlink ref="D141" location="'Tabla 197'!A1" display="'Tabla 197'!A1" xr:uid="{5844869A-E39B-4716-98CE-4FB3B5647E69}"/>
    <hyperlink ref="D142" location="'Tabla 198'!A1" display="'Tabla 198'!A1" xr:uid="{01797A68-4AC6-4144-A7D5-0EE0113D1B73}"/>
    <hyperlink ref="D144" location="'Tabla 201'!A1" display="'Tabla 201'!A1" xr:uid="{B5F64FF0-6199-419B-AC0E-20B76C26BC54}"/>
    <hyperlink ref="D145" location="'Tabla 204'!A1" display="'Tabla 204'!A1" xr:uid="{C92B7B79-9DFC-4D77-AADC-17019AD31640}"/>
    <hyperlink ref="D146" location="'Tabla 205'!A1" display="'Tabla 205'!A1" xr:uid="{D3CEA155-0AFC-4095-A461-CD44C69B8E1A}"/>
    <hyperlink ref="D147" location="'Tabla 206'!A1" display="'Tabla 206'!A1" xr:uid="{084FCE47-BEF5-4D38-94FB-4A5CF20F3AFC}"/>
    <hyperlink ref="D148" location="'Tabla 208'!A1" display="'Tabla 208'!A1" xr:uid="{431A7F22-153B-4DCA-B387-D0688F750B23}"/>
    <hyperlink ref="D149" location="'Tabla 209'!A1" display="'Tabla 209'!A1" xr:uid="{E54ACE67-A422-4B1D-9FE2-B3068E928BC6}"/>
    <hyperlink ref="D150" location="'Tabla 210'!A1" display="'Tabla 210'!A1" xr:uid="{3A756D5E-5D00-4DE7-9E2B-3DF19119C118}"/>
    <hyperlink ref="D151" location="'Tabla 212'!A1" display="'Tabla 212'!A1" xr:uid="{85DB5D16-BC39-4B5F-9D4D-CF0A7E6938E9}"/>
    <hyperlink ref="D152" location="'Tabla 214'!A1" display="'Tabla 214'!A1" xr:uid="{E32D7F3F-9302-4B31-AF05-E1B0F4D54E48}"/>
    <hyperlink ref="D153" location="'Tabla 215'!A1" display="'Tabla 215'!A1" xr:uid="{711F1879-287C-4B4B-87BD-8879641E8043}"/>
    <hyperlink ref="D154" location="'Tabla 216'!A1" display="'Tabla 216'!A1" xr:uid="{3B909B56-303E-4B6D-A445-93A5DF297546}"/>
    <hyperlink ref="D155" location="'Tabla 217'!A1" display="'Tabla 217'!A1" xr:uid="{384CD433-7D21-4FC3-A206-9540B1FA8D78}"/>
    <hyperlink ref="D156" location="'Tabla 218'!A1" display="'Tabla 218'!A1" xr:uid="{4D44CE11-E152-4A4D-9ECC-AC9A9581E251}"/>
    <hyperlink ref="D157" location="'Tabla 219'!A1" display="'Tabla 219'!A1" xr:uid="{E0FFB547-3E04-47A4-9894-2B0A5819C147}"/>
    <hyperlink ref="D158" location="'Tabla 221'!A1" display="'Tabla 221'!A1" xr:uid="{9339A358-7ED4-47F6-92C8-2516707EF0FB}"/>
    <hyperlink ref="D159" location="'Tabla 224'!A1" display="'Tabla 224'!A1" xr:uid="{56371070-2507-42ED-817D-32BEE78399D9}"/>
    <hyperlink ref="D160" location="'Tabla 225'!A1" display="'Tabla 225'!A1" xr:uid="{95AA09CC-78BE-4A86-8F65-B9709C12809F}"/>
    <hyperlink ref="D161" location="'Tabla 226'!A1" display="'Tabla 226'!A1" xr:uid="{B362D65B-E531-4D25-940D-2929569E3303}"/>
    <hyperlink ref="D162" location="'Tabla 227'!A1" display="'Tabla 227'!A1" xr:uid="{A9C78BAF-452E-473D-B4B7-31CD1249756E}"/>
    <hyperlink ref="D163" location="'Tabla 228'!A1" display="'Tabla 228'!A1" xr:uid="{A18691D1-B918-4015-9081-4A8F3D98391C}"/>
    <hyperlink ref="D164" location="'Tabla 229'!A1" display="'Tabla 229'!A1" xr:uid="{A120997A-7A2F-4FF1-B820-24322E7B5844}"/>
    <hyperlink ref="D165" location="'Tabla 231'!A1" display="'Tabla 231'!A1" xr:uid="{ECF3815A-2EFD-4796-853C-9A60C57D45A6}"/>
    <hyperlink ref="D166" location="'Tabla 232'!A1" display="'Tabla 232'!A1" xr:uid="{9B5DA63D-C0C1-4F3B-B862-2B45385822C5}"/>
    <hyperlink ref="D167" location="'Tabla 239'!A1" display="'Tabla 239'!A1" xr:uid="{8F347BDC-6832-4D5B-8103-97E8AABA38C6}"/>
    <hyperlink ref="D168" location="'Tabla 240'!A1" display="'Tabla 240'!A1" xr:uid="{4604772B-179E-4362-A295-968369D6A1E3}"/>
    <hyperlink ref="E127" location="'Gráfico 19'!A1" display="'Gráfico 19'!A1" xr:uid="{96906C8F-9B59-4FF6-98EE-9D3BD066A519}"/>
    <hyperlink ref="D84" location="'Tabla 131'!A1" display="'Tabla 131'!A1" xr:uid="{5E3C8B8F-D0C8-4729-8C00-472DC2D3CAA0}"/>
    <hyperlink ref="D143" location="'Tabla 199'!A1" display="'Tabla 199'!A1" xr:uid="{564B697C-9375-4C78-ADD6-18E24007C516}"/>
    <hyperlink ref="E140" location="'Gráfico 21'!A1" display="'Gráfico 21'!A1" xr:uid="{889AE26D-84CD-4E58-AA21-821F8BEC2602}"/>
    <hyperlink ref="E19" location="'Ilustración 20'!A1" display="Ilustración 20" xr:uid="{60740317-C3D4-4F33-A3E3-751B1C36B81A}"/>
    <hyperlink ref="E20" location="'Ilustración 21'!A1" display="Ilustración 21" xr:uid="{4565C918-9031-489D-8031-D895EE0565A0}"/>
    <hyperlink ref="E21" location="'Ilustración 22'!A1" display="Ilustración 22" xr:uid="{8B629D51-D543-4B44-AC39-178234605959}"/>
  </hyperlinks>
  <pageMargins left="0.7" right="0.7" top="0.75" bottom="0.75" header="0.3" footer="0.3"/>
  <pageSetup orientation="portrait" horizontalDpi="0" verticalDpi="0"/>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B04C2-A921-4A00-B1BB-6932DC38552F}">
  <dimension ref="A1:L14"/>
  <sheetViews>
    <sheetView topLeftCell="A2" workbookViewId="0">
      <selection activeCell="M4" sqref="M4"/>
    </sheetView>
  </sheetViews>
  <sheetFormatPr baseColWidth="10" defaultColWidth="11.44140625" defaultRowHeight="14.4" x14ac:dyDescent="0.3"/>
  <cols>
    <col min="1" max="1" width="10" bestFit="1" customWidth="1"/>
    <col min="2" max="2" width="27.44140625" bestFit="1" customWidth="1"/>
  </cols>
  <sheetData>
    <row r="1" spans="1:12" x14ac:dyDescent="0.3">
      <c r="A1" t="s">
        <v>355</v>
      </c>
      <c r="B1">
        <v>1</v>
      </c>
    </row>
    <row r="2" spans="1:12" x14ac:dyDescent="0.3">
      <c r="A2" t="s">
        <v>5</v>
      </c>
      <c r="B2" t="s">
        <v>11</v>
      </c>
    </row>
    <row r="3" spans="1:12" ht="15" thickBot="1" x14ac:dyDescent="0.35">
      <c r="A3" s="1" t="s">
        <v>356</v>
      </c>
      <c r="B3" s="1" t="s">
        <v>357</v>
      </c>
      <c r="C3" s="1">
        <v>2019</v>
      </c>
      <c r="D3" s="1">
        <v>2020</v>
      </c>
      <c r="E3" s="1">
        <v>2021</v>
      </c>
      <c r="F3" s="1">
        <v>2022</v>
      </c>
      <c r="G3" s="1">
        <v>2023</v>
      </c>
      <c r="H3" s="1" t="s">
        <v>358</v>
      </c>
      <c r="I3" s="1" t="s">
        <v>359</v>
      </c>
      <c r="J3" s="1" t="s">
        <v>360</v>
      </c>
      <c r="K3" s="1" t="s">
        <v>361</v>
      </c>
      <c r="L3" s="1" t="s">
        <v>362</v>
      </c>
    </row>
    <row r="4" spans="1:12" ht="15" thickBot="1" x14ac:dyDescent="0.35">
      <c r="A4" s="595" t="s">
        <v>363</v>
      </c>
      <c r="B4" s="3" t="s">
        <v>364</v>
      </c>
      <c r="C4" s="3">
        <v>4</v>
      </c>
      <c r="D4" s="3">
        <v>4</v>
      </c>
      <c r="E4" s="3">
        <v>3</v>
      </c>
      <c r="F4" s="3">
        <v>3</v>
      </c>
      <c r="G4" s="3">
        <v>2</v>
      </c>
      <c r="H4" s="3">
        <v>2</v>
      </c>
      <c r="I4" s="3">
        <v>2</v>
      </c>
      <c r="J4" s="3">
        <v>2</v>
      </c>
      <c r="K4" s="3">
        <v>2</v>
      </c>
      <c r="L4" s="3">
        <v>2</v>
      </c>
    </row>
    <row r="5" spans="1:12" ht="15" thickBot="1" x14ac:dyDescent="0.35">
      <c r="A5" s="596"/>
      <c r="B5" s="3" t="s">
        <v>365</v>
      </c>
      <c r="C5" s="3">
        <v>20</v>
      </c>
      <c r="D5" s="3">
        <v>20</v>
      </c>
      <c r="E5" s="3">
        <v>19</v>
      </c>
      <c r="F5" s="3">
        <v>21</v>
      </c>
      <c r="G5" s="3">
        <v>20</v>
      </c>
      <c r="H5" s="3">
        <v>20</v>
      </c>
      <c r="I5" s="3">
        <v>20</v>
      </c>
      <c r="J5" s="3">
        <v>20</v>
      </c>
      <c r="K5" s="3">
        <v>19</v>
      </c>
      <c r="L5" s="3">
        <v>19</v>
      </c>
    </row>
    <row r="6" spans="1:12" ht="15" thickBot="1" x14ac:dyDescent="0.35">
      <c r="A6" s="596"/>
      <c r="B6" s="3" t="s">
        <v>366</v>
      </c>
      <c r="C6" s="3">
        <v>10</v>
      </c>
      <c r="D6" s="3">
        <v>11</v>
      </c>
      <c r="E6" s="3">
        <v>12</v>
      </c>
      <c r="F6" s="3">
        <v>12</v>
      </c>
      <c r="G6" s="3">
        <v>11</v>
      </c>
      <c r="H6" s="3">
        <v>11</v>
      </c>
      <c r="I6" s="3">
        <v>11</v>
      </c>
      <c r="J6" s="3">
        <v>11</v>
      </c>
      <c r="K6" s="3">
        <v>11</v>
      </c>
      <c r="L6" s="3">
        <v>10</v>
      </c>
    </row>
    <row r="7" spans="1:12" ht="15" thickBot="1" x14ac:dyDescent="0.35">
      <c r="A7" s="597"/>
      <c r="B7" s="3" t="s">
        <v>367</v>
      </c>
      <c r="C7" s="3">
        <v>5</v>
      </c>
      <c r="D7" s="3">
        <v>5</v>
      </c>
      <c r="E7" s="3">
        <v>5</v>
      </c>
      <c r="F7" s="3">
        <v>5</v>
      </c>
      <c r="G7" s="3">
        <v>5</v>
      </c>
      <c r="H7" s="3">
        <v>5</v>
      </c>
      <c r="I7" s="3">
        <v>3</v>
      </c>
      <c r="J7" s="3">
        <v>3</v>
      </c>
      <c r="K7" s="3">
        <v>2</v>
      </c>
      <c r="L7" s="3">
        <v>2</v>
      </c>
    </row>
    <row r="8" spans="1:12" ht="15" thickBot="1" x14ac:dyDescent="0.35">
      <c r="A8" s="598" t="s">
        <v>368</v>
      </c>
      <c r="B8" s="3" t="s">
        <v>369</v>
      </c>
      <c r="C8" s="3">
        <v>2</v>
      </c>
      <c r="D8" s="3">
        <v>2</v>
      </c>
      <c r="E8" s="3">
        <v>2</v>
      </c>
      <c r="F8" s="3">
        <v>2</v>
      </c>
      <c r="G8" s="3">
        <v>2</v>
      </c>
      <c r="H8" s="3">
        <v>2</v>
      </c>
      <c r="I8" s="3">
        <v>2</v>
      </c>
      <c r="J8" s="3">
        <v>2</v>
      </c>
      <c r="K8" s="3">
        <v>2</v>
      </c>
      <c r="L8" s="3">
        <v>3</v>
      </c>
    </row>
    <row r="9" spans="1:12" ht="15" thickBot="1" x14ac:dyDescent="0.35">
      <c r="A9" s="599"/>
      <c r="B9" s="3" t="s">
        <v>364</v>
      </c>
      <c r="C9" s="3">
        <v>7</v>
      </c>
      <c r="D9" s="3">
        <v>8</v>
      </c>
      <c r="E9" s="3">
        <v>8</v>
      </c>
      <c r="F9" s="3">
        <v>8</v>
      </c>
      <c r="G9" s="3">
        <v>7</v>
      </c>
      <c r="H9" s="3">
        <v>7</v>
      </c>
      <c r="I9" s="3">
        <v>7</v>
      </c>
      <c r="J9" s="3">
        <v>7</v>
      </c>
      <c r="K9" s="3">
        <v>7</v>
      </c>
      <c r="L9" s="3">
        <v>7</v>
      </c>
    </row>
    <row r="10" spans="1:12" ht="15" thickBot="1" x14ac:dyDescent="0.35">
      <c r="A10" s="599"/>
      <c r="B10" s="3" t="s">
        <v>365</v>
      </c>
      <c r="C10" s="3">
        <v>10</v>
      </c>
      <c r="D10" s="3">
        <v>11</v>
      </c>
      <c r="E10" s="3">
        <v>15</v>
      </c>
      <c r="F10" s="3">
        <v>17</v>
      </c>
      <c r="G10" s="3">
        <v>17</v>
      </c>
      <c r="H10" s="3">
        <v>19</v>
      </c>
      <c r="I10" s="3">
        <v>19</v>
      </c>
      <c r="J10" s="3">
        <v>22</v>
      </c>
      <c r="K10" s="3">
        <v>22</v>
      </c>
      <c r="L10" s="3">
        <v>25</v>
      </c>
    </row>
    <row r="11" spans="1:12" ht="15" thickBot="1" x14ac:dyDescent="0.35">
      <c r="A11" s="599"/>
      <c r="B11" s="3" t="s">
        <v>370</v>
      </c>
      <c r="C11" s="3">
        <v>1</v>
      </c>
      <c r="D11" s="3">
        <v>0</v>
      </c>
      <c r="E11" s="3">
        <v>0</v>
      </c>
      <c r="F11" s="3">
        <v>0</v>
      </c>
      <c r="G11" s="3">
        <v>0</v>
      </c>
      <c r="H11" s="3">
        <v>0</v>
      </c>
      <c r="I11" s="3">
        <v>0</v>
      </c>
      <c r="J11" s="3">
        <v>0</v>
      </c>
      <c r="K11" s="3">
        <v>0</v>
      </c>
      <c r="L11" s="3">
        <v>0</v>
      </c>
    </row>
    <row r="12" spans="1:12" ht="15" thickBot="1" x14ac:dyDescent="0.35">
      <c r="A12" s="599"/>
      <c r="B12" s="3" t="s">
        <v>366</v>
      </c>
      <c r="C12" s="3">
        <v>10</v>
      </c>
      <c r="D12" s="3">
        <v>10</v>
      </c>
      <c r="E12" s="3">
        <v>11</v>
      </c>
      <c r="F12" s="3">
        <v>10</v>
      </c>
      <c r="G12" s="3">
        <v>9</v>
      </c>
      <c r="H12" s="3">
        <v>9</v>
      </c>
      <c r="I12" s="3">
        <v>9</v>
      </c>
      <c r="J12" s="3">
        <v>10</v>
      </c>
      <c r="K12" s="3">
        <v>10</v>
      </c>
      <c r="L12" s="3">
        <v>11</v>
      </c>
    </row>
    <row r="13" spans="1:12" ht="15" thickBot="1" x14ac:dyDescent="0.35">
      <c r="A13" s="600"/>
      <c r="B13" s="3" t="s">
        <v>367</v>
      </c>
      <c r="C13" s="3">
        <v>0</v>
      </c>
      <c r="D13" s="3">
        <v>0</v>
      </c>
      <c r="E13" s="3">
        <v>3</v>
      </c>
      <c r="F13" s="3">
        <v>4</v>
      </c>
      <c r="G13" s="3">
        <v>4</v>
      </c>
      <c r="H13" s="3">
        <v>7</v>
      </c>
      <c r="I13" s="3">
        <v>7</v>
      </c>
      <c r="J13" s="3">
        <v>14</v>
      </c>
      <c r="K13" s="3">
        <v>14</v>
      </c>
      <c r="L13" s="3">
        <v>17</v>
      </c>
    </row>
    <row r="14" spans="1:12" x14ac:dyDescent="0.3">
      <c r="A14" s="601" t="s">
        <v>371</v>
      </c>
      <c r="B14" s="601"/>
      <c r="C14" s="5">
        <v>69</v>
      </c>
      <c r="D14" s="5">
        <v>71</v>
      </c>
      <c r="E14" s="5">
        <v>78</v>
      </c>
      <c r="F14" s="5">
        <v>82</v>
      </c>
      <c r="G14" s="5">
        <v>77</v>
      </c>
      <c r="H14" s="5">
        <v>82</v>
      </c>
      <c r="I14" s="5">
        <f>SUM(I4:I13)</f>
        <v>80</v>
      </c>
      <c r="J14" s="5">
        <f>SUM(J4:J13)</f>
        <v>91</v>
      </c>
      <c r="K14" s="5">
        <f>SUM(K4:K13)</f>
        <v>89</v>
      </c>
      <c r="L14" s="5">
        <v>96</v>
      </c>
    </row>
  </sheetData>
  <mergeCells count="3">
    <mergeCell ref="A4:A7"/>
    <mergeCell ref="A8:A13"/>
    <mergeCell ref="A14:B14"/>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0735F-079B-4553-9DC3-33A4AEE1D3B3}">
  <dimension ref="A1:F18"/>
  <sheetViews>
    <sheetView topLeftCell="A13" workbookViewId="0">
      <selection activeCell="A12" sqref="A12:F12"/>
    </sheetView>
  </sheetViews>
  <sheetFormatPr baseColWidth="10" defaultColWidth="11.44140625" defaultRowHeight="14.4" x14ac:dyDescent="0.3"/>
  <cols>
    <col min="1" max="1" width="29.44140625" customWidth="1"/>
    <col min="2" max="2" width="17.44140625" customWidth="1"/>
  </cols>
  <sheetData>
    <row r="1" spans="1:6" x14ac:dyDescent="0.3">
      <c r="A1" t="s">
        <v>355</v>
      </c>
      <c r="B1">
        <v>2</v>
      </c>
    </row>
    <row r="2" spans="1:6" x14ac:dyDescent="0.3">
      <c r="A2" t="s">
        <v>5</v>
      </c>
      <c r="B2" t="s">
        <v>15</v>
      </c>
    </row>
    <row r="4" spans="1:6" ht="15" thickBot="1" x14ac:dyDescent="0.35">
      <c r="A4" s="602" t="s">
        <v>372</v>
      </c>
      <c r="B4" s="604" t="s">
        <v>373</v>
      </c>
      <c r="C4" s="603"/>
      <c r="D4" s="604" t="s">
        <v>374</v>
      </c>
      <c r="E4" s="603"/>
      <c r="F4" s="605" t="s">
        <v>371</v>
      </c>
    </row>
    <row r="5" spans="1:6" x14ac:dyDescent="0.3">
      <c r="A5" s="603"/>
      <c r="B5" s="8" t="s">
        <v>363</v>
      </c>
      <c r="C5" s="8" t="s">
        <v>368</v>
      </c>
      <c r="D5" s="8" t="s">
        <v>363</v>
      </c>
      <c r="E5" s="8" t="s">
        <v>368</v>
      </c>
      <c r="F5" s="606"/>
    </row>
    <row r="6" spans="1:6" ht="30" customHeight="1" x14ac:dyDescent="0.3">
      <c r="A6" s="339" t="s">
        <v>375</v>
      </c>
      <c r="B6" s="396">
        <v>11</v>
      </c>
      <c r="C6" s="396">
        <v>5</v>
      </c>
      <c r="D6" s="396">
        <v>3</v>
      </c>
      <c r="E6" s="396">
        <v>7</v>
      </c>
      <c r="F6" s="6">
        <f>SUM(B6:E6)</f>
        <v>26</v>
      </c>
    </row>
    <row r="7" spans="1:6" ht="30" customHeight="1" x14ac:dyDescent="0.3">
      <c r="A7" s="339" t="s">
        <v>376</v>
      </c>
      <c r="B7" s="396">
        <v>6</v>
      </c>
      <c r="C7" s="396">
        <v>12</v>
      </c>
      <c r="D7" s="396">
        <v>4</v>
      </c>
      <c r="E7" s="396">
        <v>9</v>
      </c>
      <c r="F7" s="6">
        <f t="shared" ref="F7:F8" si="0">SUM(B7:E7)</f>
        <v>31</v>
      </c>
    </row>
    <row r="8" spans="1:6" ht="30" customHeight="1" x14ac:dyDescent="0.3">
      <c r="A8" s="339" t="s">
        <v>377</v>
      </c>
      <c r="B8" s="396">
        <v>5</v>
      </c>
      <c r="C8" s="396">
        <v>14</v>
      </c>
      <c r="D8" s="396">
        <v>7</v>
      </c>
      <c r="E8" s="396">
        <v>8</v>
      </c>
      <c r="F8" s="6">
        <f t="shared" si="0"/>
        <v>34</v>
      </c>
    </row>
    <row r="9" spans="1:6" ht="30" customHeight="1" x14ac:dyDescent="0.3">
      <c r="A9" s="340" t="s">
        <v>371</v>
      </c>
      <c r="B9" s="9">
        <f>SUM(B6:B8)</f>
        <v>22</v>
      </c>
      <c r="C9" s="9">
        <f t="shared" ref="C9:F9" si="1">SUM(C6:C8)</f>
        <v>31</v>
      </c>
      <c r="D9" s="9">
        <f t="shared" si="1"/>
        <v>14</v>
      </c>
      <c r="E9" s="9">
        <f t="shared" si="1"/>
        <v>24</v>
      </c>
      <c r="F9" s="9">
        <f t="shared" si="1"/>
        <v>91</v>
      </c>
    </row>
    <row r="12" spans="1:6" ht="14.4" customHeight="1" x14ac:dyDescent="0.3">
      <c r="A12" s="607" t="s">
        <v>362</v>
      </c>
      <c r="B12" s="607"/>
      <c r="C12" s="607"/>
      <c r="D12" s="607"/>
      <c r="E12" s="607"/>
      <c r="F12" s="607"/>
    </row>
    <row r="13" spans="1:6" x14ac:dyDescent="0.3">
      <c r="A13" s="602" t="s">
        <v>372</v>
      </c>
      <c r="B13" s="604" t="s">
        <v>373</v>
      </c>
      <c r="C13" s="603"/>
      <c r="D13" s="604" t="s">
        <v>374</v>
      </c>
      <c r="E13" s="603"/>
      <c r="F13" s="605" t="s">
        <v>371</v>
      </c>
    </row>
    <row r="14" spans="1:6" x14ac:dyDescent="0.3">
      <c r="A14" s="603"/>
      <c r="B14" s="8" t="s">
        <v>363</v>
      </c>
      <c r="C14" s="8" t="s">
        <v>368</v>
      </c>
      <c r="D14" s="8" t="s">
        <v>363</v>
      </c>
      <c r="E14" s="8" t="s">
        <v>368</v>
      </c>
      <c r="F14" s="606"/>
    </row>
    <row r="15" spans="1:6" ht="20.399999999999999" x14ac:dyDescent="0.3">
      <c r="A15" s="339" t="s">
        <v>375</v>
      </c>
      <c r="B15" s="396">
        <v>10</v>
      </c>
      <c r="C15" s="396">
        <v>6</v>
      </c>
      <c r="D15" s="396">
        <v>1</v>
      </c>
      <c r="E15" s="396">
        <v>9</v>
      </c>
      <c r="F15" s="6">
        <f>SUM(B15:E15)</f>
        <v>26</v>
      </c>
    </row>
    <row r="16" spans="1:6" ht="20.399999999999999" x14ac:dyDescent="0.3">
      <c r="A16" s="339" t="s">
        <v>376</v>
      </c>
      <c r="B16" s="396">
        <v>6</v>
      </c>
      <c r="C16" s="396">
        <v>13</v>
      </c>
      <c r="D16" s="396">
        <v>4</v>
      </c>
      <c r="E16" s="396">
        <v>9</v>
      </c>
      <c r="F16" s="6">
        <f t="shared" ref="F16:F17" si="2">SUM(B16:E16)</f>
        <v>32</v>
      </c>
    </row>
    <row r="17" spans="1:6" ht="20.399999999999999" x14ac:dyDescent="0.3">
      <c r="A17" s="339" t="s">
        <v>377</v>
      </c>
      <c r="B17" s="396">
        <v>5</v>
      </c>
      <c r="C17" s="396">
        <v>16</v>
      </c>
      <c r="D17" s="396">
        <v>7</v>
      </c>
      <c r="E17" s="396">
        <v>10</v>
      </c>
      <c r="F17" s="6">
        <f t="shared" si="2"/>
        <v>38</v>
      </c>
    </row>
    <row r="18" spans="1:6" x14ac:dyDescent="0.3">
      <c r="A18" s="340" t="s">
        <v>371</v>
      </c>
      <c r="B18" s="9">
        <f>SUM(B15:B17)</f>
        <v>21</v>
      </c>
      <c r="C18" s="9">
        <f>SUM(C15:C17)</f>
        <v>35</v>
      </c>
      <c r="D18" s="9">
        <f>SUM(D15:D17)</f>
        <v>12</v>
      </c>
      <c r="E18" s="9">
        <f>SUM(E15:E17)</f>
        <v>28</v>
      </c>
      <c r="F18" s="9">
        <f t="shared" ref="F18" si="3">SUM(F15:F17)</f>
        <v>96</v>
      </c>
    </row>
  </sheetData>
  <mergeCells count="9">
    <mergeCell ref="A13:A14"/>
    <mergeCell ref="B13:C13"/>
    <mergeCell ref="D13:E13"/>
    <mergeCell ref="F13:F14"/>
    <mergeCell ref="A4:A5"/>
    <mergeCell ref="B4:C4"/>
    <mergeCell ref="D4:E4"/>
    <mergeCell ref="F4:F5"/>
    <mergeCell ref="A12:F12"/>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69139-A7F2-48E7-8720-AC5DBC6772EC}">
  <dimension ref="A1:G36"/>
  <sheetViews>
    <sheetView workbookViewId="0">
      <selection activeCell="F4" sqref="F4"/>
    </sheetView>
  </sheetViews>
  <sheetFormatPr baseColWidth="10" defaultColWidth="11.44140625" defaultRowHeight="14.4" x14ac:dyDescent="0.3"/>
  <cols>
    <col min="1" max="1" width="10" bestFit="1" customWidth="1"/>
    <col min="2" max="2" width="17.44140625" customWidth="1"/>
    <col min="5" max="5" width="29.44140625" customWidth="1"/>
    <col min="6" max="6" width="31.44140625" customWidth="1"/>
  </cols>
  <sheetData>
    <row r="1" spans="1:7" x14ac:dyDescent="0.3">
      <c r="A1" t="s">
        <v>355</v>
      </c>
      <c r="B1">
        <v>3</v>
      </c>
    </row>
    <row r="2" spans="1:7" x14ac:dyDescent="0.3">
      <c r="A2" t="s">
        <v>5</v>
      </c>
      <c r="B2" t="s">
        <v>16</v>
      </c>
    </row>
    <row r="5" spans="1:7" x14ac:dyDescent="0.3">
      <c r="A5" t="s">
        <v>5</v>
      </c>
      <c r="B5" t="s">
        <v>378</v>
      </c>
    </row>
    <row r="7" spans="1:7" x14ac:dyDescent="0.3">
      <c r="A7" s="10" t="s">
        <v>379</v>
      </c>
      <c r="B7" s="10" t="s">
        <v>356</v>
      </c>
      <c r="C7" s="10" t="s">
        <v>380</v>
      </c>
      <c r="D7" s="10" t="s">
        <v>372</v>
      </c>
      <c r="E7" s="10" t="s">
        <v>381</v>
      </c>
      <c r="F7" s="10" t="s">
        <v>382</v>
      </c>
      <c r="G7" s="10" t="s">
        <v>383</v>
      </c>
    </row>
    <row r="8" spans="1:7" x14ac:dyDescent="0.3">
      <c r="A8" s="3">
        <v>54534</v>
      </c>
      <c r="B8" s="3" t="s">
        <v>363</v>
      </c>
      <c r="C8" s="3" t="s">
        <v>384</v>
      </c>
      <c r="D8" s="6" t="s">
        <v>385</v>
      </c>
      <c r="E8" s="6" t="s">
        <v>386</v>
      </c>
      <c r="F8" s="3" t="s">
        <v>387</v>
      </c>
      <c r="G8" s="3">
        <v>6</v>
      </c>
    </row>
    <row r="9" spans="1:7" ht="20.399999999999999" x14ac:dyDescent="0.3">
      <c r="A9" s="3">
        <v>53835</v>
      </c>
      <c r="B9" s="3" t="s">
        <v>363</v>
      </c>
      <c r="C9" s="3" t="s">
        <v>384</v>
      </c>
      <c r="D9" s="6" t="s">
        <v>385</v>
      </c>
      <c r="E9" s="6" t="s">
        <v>388</v>
      </c>
      <c r="F9" s="3" t="s">
        <v>389</v>
      </c>
      <c r="G9" s="3">
        <v>6</v>
      </c>
    </row>
    <row r="10" spans="1:7" ht="20.399999999999999" x14ac:dyDescent="0.3">
      <c r="A10" s="3">
        <v>10561</v>
      </c>
      <c r="B10" s="3" t="s">
        <v>363</v>
      </c>
      <c r="C10" s="3" t="s">
        <v>384</v>
      </c>
      <c r="D10" s="6" t="s">
        <v>385</v>
      </c>
      <c r="E10" s="6" t="s">
        <v>390</v>
      </c>
      <c r="F10" s="3" t="s">
        <v>391</v>
      </c>
      <c r="G10" s="3">
        <v>4</v>
      </c>
    </row>
    <row r="11" spans="1:7" ht="20.399999999999999" x14ac:dyDescent="0.3">
      <c r="A11" s="3">
        <v>1895</v>
      </c>
      <c r="B11" s="3" t="s">
        <v>363</v>
      </c>
      <c r="C11" s="3" t="s">
        <v>384</v>
      </c>
      <c r="D11" s="6" t="s">
        <v>385</v>
      </c>
      <c r="E11" s="6" t="s">
        <v>388</v>
      </c>
      <c r="F11" s="3" t="s">
        <v>392</v>
      </c>
      <c r="G11" s="3">
        <v>4</v>
      </c>
    </row>
    <row r="12" spans="1:7" ht="20.399999999999999" x14ac:dyDescent="0.3">
      <c r="A12" s="3">
        <v>53237</v>
      </c>
      <c r="B12" s="3" t="s">
        <v>363</v>
      </c>
      <c r="C12" s="3" t="s">
        <v>384</v>
      </c>
      <c r="D12" s="6" t="s">
        <v>393</v>
      </c>
      <c r="E12" s="6" t="s">
        <v>394</v>
      </c>
      <c r="F12" s="3" t="s">
        <v>395</v>
      </c>
      <c r="G12" s="3">
        <v>6</v>
      </c>
    </row>
    <row r="13" spans="1:7" ht="20.399999999999999" x14ac:dyDescent="0.3">
      <c r="A13" s="3">
        <v>53178</v>
      </c>
      <c r="B13" s="3" t="s">
        <v>368</v>
      </c>
      <c r="C13" s="3" t="s">
        <v>396</v>
      </c>
      <c r="D13" s="6" t="s">
        <v>393</v>
      </c>
      <c r="E13" s="6" t="s">
        <v>397</v>
      </c>
      <c r="F13" s="3" t="s">
        <v>398</v>
      </c>
      <c r="G13" s="3">
        <v>4</v>
      </c>
    </row>
    <row r="14" spans="1:7" ht="20.399999999999999" x14ac:dyDescent="0.3">
      <c r="A14" s="3">
        <v>7470</v>
      </c>
      <c r="B14" s="3" t="s">
        <v>363</v>
      </c>
      <c r="C14" s="3" t="s">
        <v>384</v>
      </c>
      <c r="D14" s="6" t="s">
        <v>393</v>
      </c>
      <c r="E14" s="6" t="s">
        <v>394</v>
      </c>
      <c r="F14" s="3" t="s">
        <v>399</v>
      </c>
      <c r="G14" s="3">
        <v>4</v>
      </c>
    </row>
    <row r="15" spans="1:7" ht="20.399999999999999" x14ac:dyDescent="0.3">
      <c r="A15" s="3">
        <v>101382</v>
      </c>
      <c r="B15" s="3" t="s">
        <v>363</v>
      </c>
      <c r="C15" s="3" t="s">
        <v>384</v>
      </c>
      <c r="D15" s="6" t="s">
        <v>393</v>
      </c>
      <c r="E15" s="6" t="s">
        <v>397</v>
      </c>
      <c r="F15" s="3" t="s">
        <v>400</v>
      </c>
      <c r="G15" s="3">
        <v>6</v>
      </c>
    </row>
    <row r="16" spans="1:7" x14ac:dyDescent="0.3">
      <c r="A16" s="3">
        <v>1892</v>
      </c>
      <c r="B16" s="3" t="s">
        <v>363</v>
      </c>
      <c r="C16" s="3" t="s">
        <v>384</v>
      </c>
      <c r="D16" s="6" t="s">
        <v>401</v>
      </c>
      <c r="E16" s="6" t="s">
        <v>402</v>
      </c>
      <c r="F16" s="3" t="s">
        <v>403</v>
      </c>
      <c r="G16" s="3">
        <v>6</v>
      </c>
    </row>
    <row r="17" spans="1:7" ht="20.399999999999999" x14ac:dyDescent="0.3">
      <c r="A17" s="4">
        <v>6699</v>
      </c>
      <c r="B17" s="4" t="s">
        <v>363</v>
      </c>
      <c r="C17" s="4" t="s">
        <v>384</v>
      </c>
      <c r="D17" s="2" t="s">
        <v>401</v>
      </c>
      <c r="E17" s="2" t="s">
        <v>404</v>
      </c>
      <c r="F17" s="4" t="s">
        <v>405</v>
      </c>
      <c r="G17" s="4">
        <v>6</v>
      </c>
    </row>
    <row r="18" spans="1:7" x14ac:dyDescent="0.3">
      <c r="A18" s="4">
        <v>101647</v>
      </c>
      <c r="B18" s="3" t="s">
        <v>368</v>
      </c>
      <c r="C18" s="3" t="s">
        <v>396</v>
      </c>
      <c r="D18" s="2" t="s">
        <v>401</v>
      </c>
      <c r="E18" s="2" t="s">
        <v>406</v>
      </c>
      <c r="F18" s="4" t="s">
        <v>407</v>
      </c>
      <c r="G18" s="4">
        <v>6</v>
      </c>
    </row>
    <row r="20" spans="1:7" x14ac:dyDescent="0.3">
      <c r="A20" t="s">
        <v>5</v>
      </c>
      <c r="B20" t="s">
        <v>408</v>
      </c>
    </row>
    <row r="21" spans="1:7" x14ac:dyDescent="0.3">
      <c r="A21" s="10" t="s">
        <v>379</v>
      </c>
      <c r="B21" s="10" t="s">
        <v>356</v>
      </c>
      <c r="C21" s="10" t="s">
        <v>380</v>
      </c>
      <c r="D21" s="10" t="s">
        <v>372</v>
      </c>
      <c r="E21" s="10" t="s">
        <v>381</v>
      </c>
      <c r="F21" s="10" t="s">
        <v>382</v>
      </c>
      <c r="G21" s="10" t="s">
        <v>383</v>
      </c>
    </row>
    <row r="22" spans="1:7" x14ac:dyDescent="0.3">
      <c r="A22" s="3">
        <v>54534</v>
      </c>
      <c r="B22" s="3" t="s">
        <v>363</v>
      </c>
      <c r="C22" s="3" t="s">
        <v>384</v>
      </c>
      <c r="D22" s="6" t="s">
        <v>385</v>
      </c>
      <c r="E22" s="6" t="s">
        <v>386</v>
      </c>
      <c r="F22" s="3" t="s">
        <v>387</v>
      </c>
      <c r="G22" s="3">
        <v>6</v>
      </c>
    </row>
    <row r="23" spans="1:7" x14ac:dyDescent="0.3">
      <c r="A23" s="3">
        <v>101525</v>
      </c>
      <c r="B23" s="3" t="s">
        <v>363</v>
      </c>
      <c r="C23" s="3" t="s">
        <v>384</v>
      </c>
      <c r="D23" s="6" t="s">
        <v>385</v>
      </c>
      <c r="E23" s="6" t="s">
        <v>386</v>
      </c>
      <c r="F23" s="3" t="s">
        <v>409</v>
      </c>
      <c r="G23" s="3">
        <v>6</v>
      </c>
    </row>
    <row r="24" spans="1:7" ht="20.399999999999999" x14ac:dyDescent="0.3">
      <c r="A24" s="3">
        <v>53835</v>
      </c>
      <c r="B24" s="3" t="s">
        <v>363</v>
      </c>
      <c r="C24" s="3" t="s">
        <v>384</v>
      </c>
      <c r="D24" s="6" t="s">
        <v>385</v>
      </c>
      <c r="E24" s="6" t="s">
        <v>388</v>
      </c>
      <c r="F24" s="3" t="s">
        <v>389</v>
      </c>
      <c r="G24" s="3">
        <v>6</v>
      </c>
    </row>
    <row r="25" spans="1:7" ht="20.399999999999999" x14ac:dyDescent="0.3">
      <c r="A25" s="3">
        <v>10561</v>
      </c>
      <c r="B25" s="3" t="s">
        <v>363</v>
      </c>
      <c r="C25" s="3" t="s">
        <v>384</v>
      </c>
      <c r="D25" s="6" t="s">
        <v>385</v>
      </c>
      <c r="E25" s="6" t="s">
        <v>390</v>
      </c>
      <c r="F25" s="3" t="s">
        <v>391</v>
      </c>
      <c r="G25" s="3" t="s">
        <v>410</v>
      </c>
    </row>
    <row r="26" spans="1:7" ht="20.399999999999999" x14ac:dyDescent="0.3">
      <c r="A26" s="3">
        <v>1895</v>
      </c>
      <c r="B26" s="3" t="s">
        <v>363</v>
      </c>
      <c r="C26" s="3" t="s">
        <v>384</v>
      </c>
      <c r="D26" s="6" t="s">
        <v>385</v>
      </c>
      <c r="E26" s="6" t="s">
        <v>388</v>
      </c>
      <c r="F26" s="3" t="s">
        <v>392</v>
      </c>
      <c r="G26" s="3">
        <v>4</v>
      </c>
    </row>
    <row r="27" spans="1:7" ht="20.399999999999999" x14ac:dyDescent="0.3">
      <c r="A27" s="3">
        <v>53237</v>
      </c>
      <c r="B27" s="3" t="s">
        <v>363</v>
      </c>
      <c r="C27" s="3" t="s">
        <v>384</v>
      </c>
      <c r="D27" s="6" t="s">
        <v>393</v>
      </c>
      <c r="E27" s="6" t="s">
        <v>394</v>
      </c>
      <c r="F27" s="3" t="s">
        <v>395</v>
      </c>
      <c r="G27" s="3">
        <v>6</v>
      </c>
    </row>
    <row r="28" spans="1:7" ht="20.399999999999999" x14ac:dyDescent="0.3">
      <c r="A28" s="3">
        <v>53178</v>
      </c>
      <c r="B28" s="3" t="s">
        <v>368</v>
      </c>
      <c r="C28" s="3" t="s">
        <v>396</v>
      </c>
      <c r="D28" s="6" t="s">
        <v>393</v>
      </c>
      <c r="E28" s="6" t="s">
        <v>397</v>
      </c>
      <c r="F28" s="3" t="s">
        <v>398</v>
      </c>
      <c r="G28" s="3">
        <v>4</v>
      </c>
    </row>
    <row r="29" spans="1:7" ht="20.399999999999999" x14ac:dyDescent="0.3">
      <c r="A29" s="3">
        <v>7470</v>
      </c>
      <c r="B29" s="3" t="s">
        <v>363</v>
      </c>
      <c r="C29" s="3" t="s">
        <v>384</v>
      </c>
      <c r="D29" s="6" t="s">
        <v>393</v>
      </c>
      <c r="E29" s="6" t="s">
        <v>394</v>
      </c>
      <c r="F29" s="3" t="s">
        <v>399</v>
      </c>
      <c r="G29" s="3">
        <v>4</v>
      </c>
    </row>
    <row r="30" spans="1:7" ht="20.399999999999999" x14ac:dyDescent="0.3">
      <c r="A30" s="3">
        <v>101382</v>
      </c>
      <c r="B30" s="3" t="s">
        <v>363</v>
      </c>
      <c r="C30" s="3" t="s">
        <v>384</v>
      </c>
      <c r="D30" s="6" t="s">
        <v>393</v>
      </c>
      <c r="E30" s="6" t="s">
        <v>397</v>
      </c>
      <c r="F30" s="3" t="s">
        <v>400</v>
      </c>
      <c r="G30" s="3">
        <v>6</v>
      </c>
    </row>
    <row r="31" spans="1:7" x14ac:dyDescent="0.3">
      <c r="A31" s="3">
        <v>1892</v>
      </c>
      <c r="B31" s="3" t="s">
        <v>363</v>
      </c>
      <c r="C31" s="3" t="s">
        <v>384</v>
      </c>
      <c r="D31" s="6" t="s">
        <v>401</v>
      </c>
      <c r="E31" s="6" t="s">
        <v>402</v>
      </c>
      <c r="F31" s="3" t="s">
        <v>403</v>
      </c>
      <c r="G31" s="3">
        <v>6</v>
      </c>
    </row>
    <row r="32" spans="1:7" ht="20.399999999999999" x14ac:dyDescent="0.3">
      <c r="A32" s="3">
        <v>6699</v>
      </c>
      <c r="B32" s="3" t="s">
        <v>363</v>
      </c>
      <c r="C32" s="3" t="s">
        <v>384</v>
      </c>
      <c r="D32" s="6" t="s">
        <v>401</v>
      </c>
      <c r="E32" s="6" t="s">
        <v>404</v>
      </c>
      <c r="F32" s="3" t="s">
        <v>411</v>
      </c>
      <c r="G32" s="3">
        <v>6</v>
      </c>
    </row>
    <row r="33" spans="1:7" ht="20.399999999999999" x14ac:dyDescent="0.3">
      <c r="A33" s="3">
        <v>3638</v>
      </c>
      <c r="B33" s="3" t="s">
        <v>363</v>
      </c>
      <c r="C33" s="3" t="s">
        <v>384</v>
      </c>
      <c r="D33" s="6" t="s">
        <v>401</v>
      </c>
      <c r="E33" s="6" t="s">
        <v>404</v>
      </c>
      <c r="F33" s="3" t="s">
        <v>412</v>
      </c>
      <c r="G33" s="3">
        <v>6</v>
      </c>
    </row>
    <row r="34" spans="1:7" x14ac:dyDescent="0.3">
      <c r="A34" s="3">
        <v>91360</v>
      </c>
      <c r="B34" s="3" t="s">
        <v>363</v>
      </c>
      <c r="C34" s="3" t="s">
        <v>384</v>
      </c>
      <c r="D34" s="6" t="s">
        <v>401</v>
      </c>
      <c r="E34" s="6" t="s">
        <v>402</v>
      </c>
      <c r="F34" s="3" t="s">
        <v>413</v>
      </c>
      <c r="G34" s="3">
        <v>6</v>
      </c>
    </row>
    <row r="35" spans="1:7" ht="20.399999999999999" x14ac:dyDescent="0.3">
      <c r="A35" s="3">
        <v>103799</v>
      </c>
      <c r="B35" s="3" t="s">
        <v>368</v>
      </c>
      <c r="C35" s="3" t="s">
        <v>396</v>
      </c>
      <c r="D35" s="6" t="s">
        <v>401</v>
      </c>
      <c r="E35" s="6" t="s">
        <v>414</v>
      </c>
      <c r="F35" s="3" t="s">
        <v>415</v>
      </c>
      <c r="G35" s="3">
        <v>6</v>
      </c>
    </row>
    <row r="36" spans="1:7" x14ac:dyDescent="0.3">
      <c r="A36" s="3">
        <v>101647</v>
      </c>
      <c r="B36" s="3" t="s">
        <v>368</v>
      </c>
      <c r="C36" s="3" t="s">
        <v>396</v>
      </c>
      <c r="D36" s="6" t="s">
        <v>401</v>
      </c>
      <c r="E36" s="6" t="s">
        <v>406</v>
      </c>
      <c r="F36" s="3" t="s">
        <v>416</v>
      </c>
      <c r="G36" s="3">
        <v>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D54F1-BF24-4A46-9195-C2D366039722}">
  <dimension ref="A1:F18"/>
  <sheetViews>
    <sheetView topLeftCell="A2" workbookViewId="0">
      <selection activeCell="A21" sqref="A21"/>
    </sheetView>
  </sheetViews>
  <sheetFormatPr baseColWidth="10" defaultColWidth="11.44140625" defaultRowHeight="14.4" x14ac:dyDescent="0.3"/>
  <cols>
    <col min="1" max="1" width="10" bestFit="1" customWidth="1"/>
    <col min="2" max="2" width="17.44140625" customWidth="1"/>
    <col min="5" max="5" width="29.44140625" customWidth="1"/>
    <col min="6" max="6" width="39.6640625" customWidth="1"/>
  </cols>
  <sheetData>
    <row r="1" spans="1:6" x14ac:dyDescent="0.3">
      <c r="A1" t="s">
        <v>355</v>
      </c>
      <c r="B1">
        <v>4</v>
      </c>
    </row>
    <row r="2" spans="1:6" x14ac:dyDescent="0.3">
      <c r="A2" t="s">
        <v>5</v>
      </c>
      <c r="B2" t="s">
        <v>17</v>
      </c>
    </row>
    <row r="4" spans="1:6" ht="15" thickBot="1" x14ac:dyDescent="0.35">
      <c r="A4" s="10" t="s">
        <v>379</v>
      </c>
      <c r="B4" s="10" t="s">
        <v>356</v>
      </c>
      <c r="C4" s="10" t="s">
        <v>380</v>
      </c>
      <c r="D4" s="10" t="s">
        <v>372</v>
      </c>
      <c r="E4" s="10" t="s">
        <v>381</v>
      </c>
      <c r="F4" s="10" t="s">
        <v>382</v>
      </c>
    </row>
    <row r="5" spans="1:6" ht="30.75" customHeight="1" thickBot="1" x14ac:dyDescent="0.35">
      <c r="A5" s="3">
        <v>101525</v>
      </c>
      <c r="B5" s="3" t="s">
        <v>363</v>
      </c>
      <c r="C5" s="3" t="s">
        <v>384</v>
      </c>
      <c r="D5" s="6" t="s">
        <v>385</v>
      </c>
      <c r="E5" s="6" t="s">
        <v>386</v>
      </c>
      <c r="F5" s="3" t="s">
        <v>409</v>
      </c>
    </row>
    <row r="6" spans="1:6" ht="30.75" customHeight="1" thickBot="1" x14ac:dyDescent="0.35">
      <c r="A6" s="3">
        <v>91360</v>
      </c>
      <c r="B6" s="3" t="s">
        <v>363</v>
      </c>
      <c r="C6" s="3" t="s">
        <v>384</v>
      </c>
      <c r="D6" s="6" t="s">
        <v>401</v>
      </c>
      <c r="E6" s="6" t="s">
        <v>402</v>
      </c>
      <c r="F6" s="3" t="s">
        <v>413</v>
      </c>
    </row>
    <row r="7" spans="1:6" ht="30.75" customHeight="1" thickBot="1" x14ac:dyDescent="0.35">
      <c r="A7" s="3">
        <v>3638</v>
      </c>
      <c r="B7" s="3" t="s">
        <v>363</v>
      </c>
      <c r="C7" s="3" t="s">
        <v>384</v>
      </c>
      <c r="D7" s="6" t="s">
        <v>401</v>
      </c>
      <c r="E7" s="6" t="s">
        <v>404</v>
      </c>
      <c r="F7" s="3" t="s">
        <v>417</v>
      </c>
    </row>
    <row r="8" spans="1:6" ht="30.75" customHeight="1" thickBot="1" x14ac:dyDescent="0.35">
      <c r="A8" s="3">
        <v>103799</v>
      </c>
      <c r="B8" s="3" t="s">
        <v>368</v>
      </c>
      <c r="C8" s="3" t="s">
        <v>396</v>
      </c>
      <c r="D8" s="6" t="s">
        <v>401</v>
      </c>
      <c r="E8" s="6" t="s">
        <v>414</v>
      </c>
      <c r="F8" s="3" t="s">
        <v>415</v>
      </c>
    </row>
    <row r="9" spans="1:6" ht="30.75" customHeight="1" x14ac:dyDescent="0.3">
      <c r="A9" s="4">
        <v>101647</v>
      </c>
      <c r="B9" s="4" t="s">
        <v>368</v>
      </c>
      <c r="C9" s="4" t="s">
        <v>396</v>
      </c>
      <c r="D9" s="2" t="s">
        <v>401</v>
      </c>
      <c r="E9" s="2" t="s">
        <v>406</v>
      </c>
      <c r="F9" s="4" t="s">
        <v>416</v>
      </c>
    </row>
    <row r="12" spans="1:6" x14ac:dyDescent="0.3">
      <c r="A12" t="s">
        <v>5</v>
      </c>
      <c r="B12" t="s">
        <v>418</v>
      </c>
    </row>
    <row r="14" spans="1:6" x14ac:dyDescent="0.3">
      <c r="A14" s="10" t="s">
        <v>379</v>
      </c>
      <c r="B14" s="10" t="s">
        <v>356</v>
      </c>
      <c r="C14" s="10" t="s">
        <v>380</v>
      </c>
      <c r="D14" s="10" t="s">
        <v>372</v>
      </c>
      <c r="E14" s="10" t="s">
        <v>381</v>
      </c>
      <c r="F14" s="10" t="s">
        <v>382</v>
      </c>
    </row>
    <row r="15" spans="1:6" ht="20.399999999999999" x14ac:dyDescent="0.3">
      <c r="A15" s="3">
        <v>102473</v>
      </c>
      <c r="B15" s="3" t="s">
        <v>363</v>
      </c>
      <c r="C15" s="3" t="s">
        <v>419</v>
      </c>
      <c r="D15" s="6" t="s">
        <v>385</v>
      </c>
      <c r="E15" s="6" t="s">
        <v>390</v>
      </c>
      <c r="F15" s="3" t="s">
        <v>391</v>
      </c>
    </row>
    <row r="16" spans="1:6" ht="20.399999999999999" x14ac:dyDescent="0.3">
      <c r="A16" s="3">
        <v>53178</v>
      </c>
      <c r="B16" s="3" t="s">
        <v>368</v>
      </c>
      <c r="C16" s="3" t="s">
        <v>396</v>
      </c>
      <c r="D16" s="6" t="s">
        <v>393</v>
      </c>
      <c r="E16" s="6" t="s">
        <v>397</v>
      </c>
      <c r="F16" s="3" t="s">
        <v>398</v>
      </c>
    </row>
    <row r="17" spans="1:6" ht="20.399999999999999" x14ac:dyDescent="0.3">
      <c r="A17" s="3">
        <v>7470</v>
      </c>
      <c r="B17" s="3" t="s">
        <v>363</v>
      </c>
      <c r="C17" s="3" t="s">
        <v>384</v>
      </c>
      <c r="D17" s="6" t="s">
        <v>393</v>
      </c>
      <c r="E17" s="6" t="s">
        <v>394</v>
      </c>
      <c r="F17" s="3" t="s">
        <v>399</v>
      </c>
    </row>
    <row r="18" spans="1:6" ht="20.399999999999999" x14ac:dyDescent="0.3">
      <c r="A18" s="3">
        <v>103752</v>
      </c>
      <c r="B18" s="3" t="s">
        <v>363</v>
      </c>
      <c r="C18" s="3" t="s">
        <v>419</v>
      </c>
      <c r="D18" s="6" t="s">
        <v>401</v>
      </c>
      <c r="E18" s="6" t="s">
        <v>414</v>
      </c>
      <c r="F18" s="3" t="s">
        <v>420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E3E13-986C-45D3-8016-5EA4E4A0A910}">
  <dimension ref="A1:F2"/>
  <sheetViews>
    <sheetView workbookViewId="0">
      <selection activeCell="F2" sqref="F2"/>
    </sheetView>
  </sheetViews>
  <sheetFormatPr baseColWidth="10" defaultColWidth="8.88671875" defaultRowHeight="14.4" x14ac:dyDescent="0.3"/>
  <sheetData>
    <row r="1" spans="1:6" x14ac:dyDescent="0.3">
      <c r="A1" s="405" t="s">
        <v>379</v>
      </c>
      <c r="B1" s="405" t="s">
        <v>356</v>
      </c>
      <c r="C1" s="405" t="s">
        <v>380</v>
      </c>
      <c r="D1" s="405" t="s">
        <v>372</v>
      </c>
      <c r="E1" s="405" t="s">
        <v>381</v>
      </c>
      <c r="F1" s="405" t="s">
        <v>382</v>
      </c>
    </row>
    <row r="2" spans="1:6" x14ac:dyDescent="0.3">
      <c r="A2" s="405">
        <v>103752</v>
      </c>
      <c r="B2" t="s">
        <v>363</v>
      </c>
      <c r="C2" t="s">
        <v>419</v>
      </c>
      <c r="D2" t="s">
        <v>401</v>
      </c>
      <c r="E2" t="s">
        <v>414</v>
      </c>
      <c r="F2" t="s">
        <v>420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5140C-51E0-4497-BEA0-382057CA3A09}">
  <dimension ref="A1:R9"/>
  <sheetViews>
    <sheetView workbookViewId="0">
      <selection activeCell="O8" sqref="O8"/>
    </sheetView>
  </sheetViews>
  <sheetFormatPr baseColWidth="10" defaultColWidth="11.44140625" defaultRowHeight="14.4" x14ac:dyDescent="0.3"/>
  <cols>
    <col min="2" max="2" width="9" customWidth="1"/>
    <col min="3" max="12" width="8.44140625" customWidth="1"/>
  </cols>
  <sheetData>
    <row r="1" spans="1:18" x14ac:dyDescent="0.3">
      <c r="A1" t="s">
        <v>421</v>
      </c>
      <c r="B1">
        <v>1</v>
      </c>
    </row>
    <row r="2" spans="1:18" x14ac:dyDescent="0.3">
      <c r="A2" t="s">
        <v>5</v>
      </c>
      <c r="B2" t="s">
        <v>23</v>
      </c>
    </row>
    <row r="4" spans="1:18" x14ac:dyDescent="0.3">
      <c r="A4" s="41"/>
      <c r="B4" s="41" t="s">
        <v>422</v>
      </c>
      <c r="C4" s="41" t="s">
        <v>423</v>
      </c>
      <c r="D4" s="41" t="s">
        <v>424</v>
      </c>
      <c r="E4" s="41" t="s">
        <v>425</v>
      </c>
      <c r="F4" s="41" t="s">
        <v>426</v>
      </c>
      <c r="G4" s="41" t="s">
        <v>427</v>
      </c>
      <c r="H4" s="41" t="s">
        <v>428</v>
      </c>
      <c r="I4" s="41" t="s">
        <v>429</v>
      </c>
      <c r="J4" s="41" t="s">
        <v>430</v>
      </c>
      <c r="K4" s="41" t="s">
        <v>358</v>
      </c>
      <c r="L4" s="41" t="s">
        <v>359</v>
      </c>
      <c r="M4" s="41" t="s">
        <v>360</v>
      </c>
      <c r="N4" s="41" t="s">
        <v>361</v>
      </c>
      <c r="O4" s="41" t="s">
        <v>362</v>
      </c>
    </row>
    <row r="5" spans="1:18" ht="20.399999999999999" x14ac:dyDescent="0.3">
      <c r="A5" s="2" t="s">
        <v>431</v>
      </c>
      <c r="B5" s="2">
        <v>216</v>
      </c>
      <c r="C5" s="2">
        <v>236</v>
      </c>
      <c r="D5" s="2">
        <v>231</v>
      </c>
      <c r="E5" s="2">
        <v>371</v>
      </c>
      <c r="F5" s="2">
        <v>355</v>
      </c>
      <c r="G5" s="2">
        <v>436</v>
      </c>
      <c r="H5" s="2">
        <v>503</v>
      </c>
      <c r="I5" s="2">
        <v>499</v>
      </c>
      <c r="J5" s="2">
        <v>536</v>
      </c>
      <c r="K5" s="2">
        <v>594</v>
      </c>
      <c r="L5" s="2">
        <v>591</v>
      </c>
      <c r="M5" s="2">
        <v>649</v>
      </c>
      <c r="N5" s="2">
        <v>666</v>
      </c>
      <c r="O5" s="2">
        <v>690</v>
      </c>
    </row>
    <row r="6" spans="1:18" ht="16.8" x14ac:dyDescent="0.3">
      <c r="A6" s="2" t="s">
        <v>432</v>
      </c>
      <c r="B6" s="2">
        <v>47</v>
      </c>
      <c r="C6" s="2">
        <v>50</v>
      </c>
      <c r="D6" s="2">
        <v>68</v>
      </c>
      <c r="E6" s="2">
        <v>118</v>
      </c>
      <c r="F6" s="2">
        <v>100</v>
      </c>
      <c r="G6" s="2">
        <v>133</v>
      </c>
      <c r="H6" s="2">
        <v>136</v>
      </c>
      <c r="I6" s="2">
        <v>183</v>
      </c>
      <c r="J6" s="2">
        <v>165</v>
      </c>
      <c r="K6" s="2">
        <v>195</v>
      </c>
      <c r="L6" s="2">
        <v>180</v>
      </c>
      <c r="M6" s="2">
        <v>273</v>
      </c>
      <c r="N6" s="2">
        <v>276</v>
      </c>
      <c r="O6" s="2">
        <v>329</v>
      </c>
      <c r="P6" s="45"/>
      <c r="Q6" s="42"/>
      <c r="R6" s="43"/>
    </row>
    <row r="7" spans="1:18" ht="16.8" x14ac:dyDescent="0.3">
      <c r="A7" s="2" t="s">
        <v>433</v>
      </c>
      <c r="B7" s="2">
        <v>1016</v>
      </c>
      <c r="C7" s="2">
        <v>948</v>
      </c>
      <c r="D7" s="2">
        <v>704</v>
      </c>
      <c r="E7" s="2">
        <v>342</v>
      </c>
      <c r="F7" s="2">
        <v>397</v>
      </c>
      <c r="G7" s="2">
        <v>303</v>
      </c>
      <c r="H7" s="2">
        <v>222</v>
      </c>
      <c r="I7" s="2">
        <v>190</v>
      </c>
      <c r="J7" s="2">
        <v>179</v>
      </c>
      <c r="K7" s="2">
        <v>199</v>
      </c>
      <c r="L7" s="2">
        <v>153</v>
      </c>
      <c r="M7" s="2">
        <v>136</v>
      </c>
      <c r="N7" s="2">
        <v>96</v>
      </c>
      <c r="O7" s="2">
        <v>63</v>
      </c>
      <c r="P7" s="45"/>
    </row>
    <row r="8" spans="1:18" ht="16.8" x14ac:dyDescent="0.3">
      <c r="B8">
        <f>+SUM(B5:B7)</f>
        <v>1279</v>
      </c>
      <c r="C8">
        <f t="shared" ref="C8:M8" si="0">+SUM(C5:C7)</f>
        <v>1234</v>
      </c>
      <c r="D8">
        <f t="shared" si="0"/>
        <v>1003</v>
      </c>
      <c r="E8">
        <f t="shared" si="0"/>
        <v>831</v>
      </c>
      <c r="F8">
        <f t="shared" si="0"/>
        <v>852</v>
      </c>
      <c r="G8">
        <f t="shared" si="0"/>
        <v>872</v>
      </c>
      <c r="H8">
        <f t="shared" si="0"/>
        <v>861</v>
      </c>
      <c r="I8">
        <f t="shared" si="0"/>
        <v>872</v>
      </c>
      <c r="J8">
        <f t="shared" si="0"/>
        <v>880</v>
      </c>
      <c r="K8">
        <f t="shared" si="0"/>
        <v>988</v>
      </c>
      <c r="L8">
        <f t="shared" si="0"/>
        <v>924</v>
      </c>
      <c r="M8">
        <f t="shared" si="0"/>
        <v>1058</v>
      </c>
      <c r="N8">
        <f>SUM(N5:N7)</f>
        <v>1038</v>
      </c>
      <c r="O8">
        <f>SUM(O5:O7)</f>
        <v>1082</v>
      </c>
      <c r="P8" s="45"/>
    </row>
    <row r="9" spans="1:18" ht="16.8" x14ac:dyDescent="0.3">
      <c r="D9" s="44"/>
      <c r="E9" s="45"/>
      <c r="F9" s="45"/>
      <c r="G9" s="45"/>
      <c r="H9" s="45"/>
      <c r="I9" s="45"/>
      <c r="J9" s="45"/>
      <c r="K9" s="45"/>
      <c r="L9" s="45"/>
      <c r="M9" s="45"/>
      <c r="N9" s="45"/>
      <c r="O9" s="45"/>
      <c r="P9" s="45"/>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9CACE-5626-4632-816F-56AE2DAB136F}">
  <dimension ref="A1:F16"/>
  <sheetViews>
    <sheetView workbookViewId="0">
      <selection activeCell="A4" sqref="A4"/>
    </sheetView>
  </sheetViews>
  <sheetFormatPr baseColWidth="10" defaultColWidth="11.44140625" defaultRowHeight="14.4" x14ac:dyDescent="0.3"/>
  <cols>
    <col min="1" max="1" width="10" bestFit="1" customWidth="1"/>
    <col min="2" max="2" width="17.44140625" customWidth="1"/>
    <col min="5" max="5" width="29.44140625" customWidth="1"/>
    <col min="6" max="6" width="31.44140625" customWidth="1"/>
  </cols>
  <sheetData>
    <row r="1" spans="1:6" x14ac:dyDescent="0.3">
      <c r="A1" t="s">
        <v>355</v>
      </c>
      <c r="B1">
        <v>5</v>
      </c>
    </row>
    <row r="2" spans="1:6" x14ac:dyDescent="0.3">
      <c r="A2" t="s">
        <v>5</v>
      </c>
      <c r="B2" t="s">
        <v>18</v>
      </c>
    </row>
    <row r="4" spans="1:6" ht="15" thickBot="1" x14ac:dyDescent="0.35">
      <c r="A4" s="10" t="s">
        <v>379</v>
      </c>
      <c r="B4" s="10" t="s">
        <v>356</v>
      </c>
      <c r="C4" s="10" t="s">
        <v>380</v>
      </c>
      <c r="D4" s="10" t="s">
        <v>372</v>
      </c>
      <c r="E4" s="10" t="s">
        <v>381</v>
      </c>
      <c r="F4" s="10" t="s">
        <v>382</v>
      </c>
    </row>
    <row r="5" spans="1:6" ht="15" thickBot="1" x14ac:dyDescent="0.35">
      <c r="A5" s="3">
        <v>54726</v>
      </c>
      <c r="B5" s="3" t="s">
        <v>363</v>
      </c>
      <c r="C5" s="3" t="s">
        <v>384</v>
      </c>
      <c r="D5" s="6" t="s">
        <v>385</v>
      </c>
      <c r="E5" s="6" t="s">
        <v>386</v>
      </c>
      <c r="F5" s="3" t="s">
        <v>434</v>
      </c>
    </row>
    <row r="6" spans="1:6" ht="21" thickBot="1" x14ac:dyDescent="0.35">
      <c r="A6" s="3">
        <v>1894</v>
      </c>
      <c r="B6" s="3" t="s">
        <v>363</v>
      </c>
      <c r="C6" s="3" t="s">
        <v>384</v>
      </c>
      <c r="D6" s="6" t="s">
        <v>393</v>
      </c>
      <c r="E6" s="6" t="s">
        <v>435</v>
      </c>
      <c r="F6" s="3" t="s">
        <v>436</v>
      </c>
    </row>
    <row r="7" spans="1:6" ht="20.399999999999999" x14ac:dyDescent="0.3">
      <c r="A7" s="4">
        <v>111178</v>
      </c>
      <c r="B7" s="4" t="s">
        <v>368</v>
      </c>
      <c r="C7" s="4" t="s">
        <v>396</v>
      </c>
      <c r="D7" s="2" t="s">
        <v>401</v>
      </c>
      <c r="E7" s="2" t="s">
        <v>437</v>
      </c>
      <c r="F7" s="4" t="s">
        <v>438</v>
      </c>
    </row>
    <row r="10" spans="1:6" x14ac:dyDescent="0.3">
      <c r="A10" t="s">
        <v>5</v>
      </c>
      <c r="B10" t="s">
        <v>439</v>
      </c>
    </row>
    <row r="12" spans="1:6" x14ac:dyDescent="0.3">
      <c r="A12" s="10" t="s">
        <v>379</v>
      </c>
      <c r="B12" s="10" t="s">
        <v>356</v>
      </c>
      <c r="C12" s="10" t="s">
        <v>380</v>
      </c>
      <c r="D12" s="10" t="s">
        <v>372</v>
      </c>
      <c r="E12" s="10" t="s">
        <v>381</v>
      </c>
      <c r="F12" s="10" t="s">
        <v>382</v>
      </c>
    </row>
    <row r="13" spans="1:6" x14ac:dyDescent="0.3">
      <c r="A13" s="3">
        <v>101660</v>
      </c>
      <c r="B13" s="3" t="s">
        <v>440</v>
      </c>
      <c r="C13" s="3" t="s">
        <v>441</v>
      </c>
      <c r="D13" s="6" t="s">
        <v>401</v>
      </c>
      <c r="E13" s="6" t="s">
        <v>442</v>
      </c>
      <c r="F13" s="3" t="s">
        <v>443</v>
      </c>
    </row>
    <row r="14" spans="1:6" ht="20.399999999999999" x14ac:dyDescent="0.3">
      <c r="A14" s="3">
        <v>53632</v>
      </c>
      <c r="B14" s="3" t="s">
        <v>440</v>
      </c>
      <c r="C14" s="3" t="s">
        <v>441</v>
      </c>
      <c r="D14" s="6" t="s">
        <v>393</v>
      </c>
      <c r="E14" s="6" t="s">
        <v>444</v>
      </c>
      <c r="F14" s="3" t="s">
        <v>445</v>
      </c>
    </row>
    <row r="15" spans="1:6" x14ac:dyDescent="0.3">
      <c r="A15" s="3">
        <v>90399</v>
      </c>
      <c r="B15" s="3" t="s">
        <v>440</v>
      </c>
      <c r="C15" s="3" t="s">
        <v>441</v>
      </c>
      <c r="D15" s="6" t="s">
        <v>393</v>
      </c>
      <c r="E15" s="6" t="s">
        <v>446</v>
      </c>
      <c r="F15" s="3" t="s">
        <v>447</v>
      </c>
    </row>
    <row r="16" spans="1:6" x14ac:dyDescent="0.3">
      <c r="A16" s="3">
        <v>102847</v>
      </c>
      <c r="B16" s="3" t="s">
        <v>448</v>
      </c>
      <c r="C16" s="3" t="s">
        <v>449</v>
      </c>
      <c r="D16" s="6" t="s">
        <v>393</v>
      </c>
      <c r="E16" s="6" t="s">
        <v>446</v>
      </c>
      <c r="F16" s="3" t="s">
        <v>447</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6899F-B54A-4199-9405-1EEFC828BC54}">
  <dimension ref="A1:P17"/>
  <sheetViews>
    <sheetView zoomScale="85" zoomScaleNormal="85" workbookViewId="0"/>
  </sheetViews>
  <sheetFormatPr baseColWidth="10" defaultColWidth="11.44140625" defaultRowHeight="14.4" x14ac:dyDescent="0.3"/>
  <cols>
    <col min="1" max="1" width="10" bestFit="1" customWidth="1"/>
    <col min="2" max="2" width="17.44140625" customWidth="1"/>
    <col min="3" max="11" width="10.44140625" customWidth="1"/>
    <col min="12" max="12" width="5.44140625" bestFit="1" customWidth="1"/>
    <col min="13" max="16" width="10.44140625" customWidth="1"/>
  </cols>
  <sheetData>
    <row r="1" spans="1:16" x14ac:dyDescent="0.3">
      <c r="A1" t="s">
        <v>450</v>
      </c>
      <c r="B1">
        <v>6</v>
      </c>
    </row>
    <row r="2" spans="1:16" x14ac:dyDescent="0.3">
      <c r="A2" t="s">
        <v>5</v>
      </c>
      <c r="B2" t="s">
        <v>19</v>
      </c>
    </row>
    <row r="3" spans="1:16" ht="15" thickBot="1" x14ac:dyDescent="0.35"/>
    <row r="4" spans="1:16" x14ac:dyDescent="0.3">
      <c r="A4" s="11"/>
      <c r="B4" s="12" t="s">
        <v>451</v>
      </c>
      <c r="C4" s="12" t="s">
        <v>422</v>
      </c>
      <c r="D4" s="12" t="s">
        <v>423</v>
      </c>
      <c r="E4" s="12" t="s">
        <v>424</v>
      </c>
      <c r="F4" s="12" t="s">
        <v>425</v>
      </c>
      <c r="G4" s="12" t="s">
        <v>426</v>
      </c>
      <c r="H4" s="12" t="s">
        <v>427</v>
      </c>
      <c r="I4" s="12" t="s">
        <v>428</v>
      </c>
      <c r="J4" s="12" t="s">
        <v>429</v>
      </c>
      <c r="K4" s="12" t="s">
        <v>430</v>
      </c>
      <c r="L4" s="12" t="s">
        <v>358</v>
      </c>
      <c r="M4" s="12" t="s">
        <v>359</v>
      </c>
      <c r="N4" s="12" t="s">
        <v>360</v>
      </c>
      <c r="O4" s="12" t="s">
        <v>361</v>
      </c>
      <c r="P4" s="12" t="s">
        <v>362</v>
      </c>
    </row>
    <row r="5" spans="1:16" ht="15" thickBot="1" x14ac:dyDescent="0.35">
      <c r="A5" s="608" t="s">
        <v>452</v>
      </c>
      <c r="B5" s="608"/>
      <c r="C5" s="13">
        <v>7501</v>
      </c>
      <c r="D5" s="13">
        <v>7426</v>
      </c>
      <c r="E5" s="13">
        <v>6292</v>
      </c>
      <c r="F5" s="13">
        <v>6113</v>
      </c>
      <c r="G5" s="13">
        <v>5601</v>
      </c>
      <c r="H5" s="13">
        <v>5505</v>
      </c>
      <c r="I5" s="13">
        <v>5239</v>
      </c>
      <c r="J5" s="13">
        <v>5614</v>
      </c>
      <c r="K5" s="13">
        <v>5627</v>
      </c>
      <c r="L5" s="13">
        <v>5800</v>
      </c>
      <c r="M5" s="13">
        <v>5585</v>
      </c>
      <c r="N5" s="13">
        <v>5979</v>
      </c>
      <c r="O5" s="13">
        <f>SUM(O6:O10)</f>
        <v>6000</v>
      </c>
      <c r="P5" s="13">
        <f>SUM(P6:P10)</f>
        <v>6289</v>
      </c>
    </row>
    <row r="6" spans="1:16" x14ac:dyDescent="0.3">
      <c r="A6" s="609" t="s">
        <v>448</v>
      </c>
      <c r="B6" s="2" t="s">
        <v>453</v>
      </c>
      <c r="C6" s="2">
        <v>31</v>
      </c>
      <c r="D6" s="2">
        <v>27</v>
      </c>
      <c r="E6" s="2">
        <v>13</v>
      </c>
      <c r="F6" s="2">
        <v>13</v>
      </c>
      <c r="G6" s="2">
        <v>6</v>
      </c>
      <c r="H6" s="2">
        <v>5</v>
      </c>
      <c r="I6" s="2">
        <v>3</v>
      </c>
      <c r="J6" s="2">
        <v>2</v>
      </c>
      <c r="K6" s="2">
        <v>2</v>
      </c>
      <c r="L6" s="2">
        <v>1</v>
      </c>
      <c r="M6" s="2">
        <v>0</v>
      </c>
      <c r="N6" s="2">
        <v>0</v>
      </c>
      <c r="O6" s="2">
        <v>0</v>
      </c>
      <c r="P6" s="2">
        <v>0</v>
      </c>
    </row>
    <row r="7" spans="1:16" x14ac:dyDescent="0.3">
      <c r="A7" s="610"/>
      <c r="B7" s="2" t="s">
        <v>454</v>
      </c>
      <c r="C7" s="2">
        <v>392</v>
      </c>
      <c r="D7" s="2">
        <v>369</v>
      </c>
      <c r="E7" s="2">
        <v>291</v>
      </c>
      <c r="F7" s="2">
        <v>275</v>
      </c>
      <c r="G7" s="2">
        <v>263</v>
      </c>
      <c r="H7" s="2">
        <v>249</v>
      </c>
      <c r="I7" s="2">
        <v>320</v>
      </c>
      <c r="J7" s="2">
        <v>385</v>
      </c>
      <c r="K7" s="2">
        <v>423</v>
      </c>
      <c r="L7" s="2">
        <v>458</v>
      </c>
      <c r="M7" s="2">
        <v>442</v>
      </c>
      <c r="N7" s="2">
        <v>435</v>
      </c>
      <c r="O7" s="2">
        <v>390</v>
      </c>
      <c r="P7" s="2">
        <v>344</v>
      </c>
    </row>
    <row r="8" spans="1:16" x14ac:dyDescent="0.3">
      <c r="A8" s="610"/>
      <c r="B8" s="2" t="s">
        <v>455</v>
      </c>
      <c r="C8" s="2">
        <v>6391</v>
      </c>
      <c r="D8" s="2">
        <v>6327</v>
      </c>
      <c r="E8" s="2">
        <v>5430</v>
      </c>
      <c r="F8" s="2">
        <v>5294</v>
      </c>
      <c r="G8" s="2">
        <v>4822</v>
      </c>
      <c r="H8" s="2">
        <v>4768</v>
      </c>
      <c r="I8" s="2">
        <v>4429</v>
      </c>
      <c r="J8" s="2">
        <v>4720</v>
      </c>
      <c r="K8" s="2">
        <v>4665</v>
      </c>
      <c r="L8" s="2">
        <v>4755</v>
      </c>
      <c r="M8" s="2">
        <v>4535</v>
      </c>
      <c r="N8" s="2">
        <v>4880</v>
      </c>
      <c r="O8" s="2">
        <v>5006</v>
      </c>
      <c r="P8" s="2">
        <v>5351</v>
      </c>
    </row>
    <row r="9" spans="1:16" x14ac:dyDescent="0.3">
      <c r="A9" s="610"/>
      <c r="B9" s="2" t="s">
        <v>456</v>
      </c>
      <c r="C9" s="2">
        <v>569</v>
      </c>
      <c r="D9" s="2">
        <v>577</v>
      </c>
      <c r="E9" s="2">
        <v>446</v>
      </c>
      <c r="F9" s="2">
        <v>438</v>
      </c>
      <c r="G9" s="2">
        <v>435</v>
      </c>
      <c r="H9" s="2">
        <v>420</v>
      </c>
      <c r="I9" s="2">
        <v>437</v>
      </c>
      <c r="J9" s="2">
        <v>470</v>
      </c>
      <c r="K9" s="2">
        <v>467</v>
      </c>
      <c r="L9" s="2">
        <v>483</v>
      </c>
      <c r="M9" s="2">
        <v>499</v>
      </c>
      <c r="N9" s="2">
        <v>538</v>
      </c>
      <c r="O9" s="2">
        <v>525</v>
      </c>
      <c r="P9" s="2">
        <v>508</v>
      </c>
    </row>
    <row r="10" spans="1:16" ht="15" thickBot="1" x14ac:dyDescent="0.35">
      <c r="A10" s="608"/>
      <c r="B10" s="6" t="s">
        <v>457</v>
      </c>
      <c r="C10" s="6">
        <v>118</v>
      </c>
      <c r="D10" s="6">
        <v>126</v>
      </c>
      <c r="E10" s="6">
        <v>112</v>
      </c>
      <c r="F10" s="6">
        <v>93</v>
      </c>
      <c r="G10" s="6">
        <v>75</v>
      </c>
      <c r="H10" s="6">
        <v>63</v>
      </c>
      <c r="I10" s="6">
        <v>50</v>
      </c>
      <c r="J10" s="6">
        <v>37</v>
      </c>
      <c r="K10" s="6">
        <v>70</v>
      </c>
      <c r="L10" s="6">
        <v>103</v>
      </c>
      <c r="M10" s="6">
        <v>109</v>
      </c>
      <c r="N10" s="6">
        <v>126</v>
      </c>
      <c r="O10" s="6">
        <v>79</v>
      </c>
      <c r="P10" s="6">
        <v>86</v>
      </c>
    </row>
    <row r="11" spans="1:16" ht="15" thickBot="1" x14ac:dyDescent="0.35">
      <c r="A11" s="611" t="s">
        <v>458</v>
      </c>
      <c r="B11" s="611"/>
      <c r="C11" s="13">
        <v>43613</v>
      </c>
      <c r="D11" s="13">
        <v>44262</v>
      </c>
      <c r="E11" s="13">
        <v>44718</v>
      </c>
      <c r="F11" s="13">
        <v>43590</v>
      </c>
      <c r="G11" s="13">
        <v>42676</v>
      </c>
      <c r="H11" s="13">
        <v>43415</v>
      </c>
      <c r="I11" s="13">
        <v>43449</v>
      </c>
      <c r="J11" s="13">
        <v>43568</v>
      </c>
      <c r="K11" s="13">
        <v>44083</v>
      </c>
      <c r="L11" s="13">
        <v>44161</v>
      </c>
      <c r="M11" s="13">
        <v>43840</v>
      </c>
      <c r="N11" s="13">
        <v>47762</v>
      </c>
      <c r="O11" s="13">
        <f>SUM(O12:O16)</f>
        <v>48072</v>
      </c>
      <c r="P11" s="13">
        <f>SUM(P12:P16)</f>
        <v>52109</v>
      </c>
    </row>
    <row r="12" spans="1:16" x14ac:dyDescent="0.3">
      <c r="A12" s="609" t="s">
        <v>440</v>
      </c>
      <c r="B12" s="2" t="s">
        <v>453</v>
      </c>
      <c r="C12" s="2">
        <v>312</v>
      </c>
      <c r="D12" s="2">
        <v>355</v>
      </c>
      <c r="E12" s="2">
        <v>434</v>
      </c>
      <c r="F12" s="2">
        <v>370</v>
      </c>
      <c r="G12" s="2">
        <v>383</v>
      </c>
      <c r="H12" s="2">
        <v>427</v>
      </c>
      <c r="I12" s="2">
        <v>401</v>
      </c>
      <c r="J12" s="2">
        <v>344</v>
      </c>
      <c r="K12" s="2">
        <v>353</v>
      </c>
      <c r="L12" s="2">
        <v>328</v>
      </c>
      <c r="M12" s="2">
        <v>291</v>
      </c>
      <c r="N12" s="2">
        <v>355</v>
      </c>
      <c r="O12" s="2">
        <v>346</v>
      </c>
      <c r="P12" s="2">
        <v>382</v>
      </c>
    </row>
    <row r="13" spans="1:16" x14ac:dyDescent="0.3">
      <c r="A13" s="610"/>
      <c r="B13" s="2" t="s">
        <v>454</v>
      </c>
      <c r="C13" s="2">
        <v>5405</v>
      </c>
      <c r="D13" s="2">
        <v>5544</v>
      </c>
      <c r="E13" s="2">
        <v>5448</v>
      </c>
      <c r="F13" s="2">
        <v>5371</v>
      </c>
      <c r="G13" s="2">
        <v>5106</v>
      </c>
      <c r="H13" s="2">
        <v>5025</v>
      </c>
      <c r="I13" s="2">
        <v>4869</v>
      </c>
      <c r="J13" s="2">
        <v>4702</v>
      </c>
      <c r="K13" s="2">
        <v>4550</v>
      </c>
      <c r="L13" s="2">
        <v>4401</v>
      </c>
      <c r="M13" s="2">
        <v>4079</v>
      </c>
      <c r="N13" s="2">
        <v>4311</v>
      </c>
      <c r="O13" s="2">
        <v>4233</v>
      </c>
      <c r="P13" s="2">
        <v>4475</v>
      </c>
    </row>
    <row r="14" spans="1:16" x14ac:dyDescent="0.3">
      <c r="A14" s="610"/>
      <c r="B14" s="2" t="s">
        <v>455</v>
      </c>
      <c r="C14" s="2">
        <v>36710</v>
      </c>
      <c r="D14" s="2">
        <v>37056</v>
      </c>
      <c r="E14" s="2">
        <v>37269</v>
      </c>
      <c r="F14" s="2">
        <v>36150</v>
      </c>
      <c r="G14" s="2">
        <v>35640</v>
      </c>
      <c r="H14" s="2">
        <v>36070</v>
      </c>
      <c r="I14" s="2">
        <v>36076</v>
      </c>
      <c r="J14" s="2">
        <v>36074</v>
      </c>
      <c r="K14" s="2">
        <v>36409</v>
      </c>
      <c r="L14" s="2">
        <v>36534</v>
      </c>
      <c r="M14" s="2">
        <v>36412</v>
      </c>
      <c r="N14" s="2">
        <v>39351</v>
      </c>
      <c r="O14" s="2">
        <v>39465</v>
      </c>
      <c r="P14" s="2">
        <v>42158</v>
      </c>
    </row>
    <row r="15" spans="1:16" x14ac:dyDescent="0.3">
      <c r="A15" s="610"/>
      <c r="B15" s="2" t="s">
        <v>456</v>
      </c>
      <c r="C15" s="2">
        <v>1186</v>
      </c>
      <c r="D15" s="2">
        <v>1307</v>
      </c>
      <c r="E15" s="2">
        <v>1567</v>
      </c>
      <c r="F15" s="2">
        <v>1699</v>
      </c>
      <c r="G15" s="2">
        <v>1546</v>
      </c>
      <c r="H15" s="2">
        <v>1760</v>
      </c>
      <c r="I15" s="2">
        <v>1854</v>
      </c>
      <c r="J15" s="2">
        <v>1915</v>
      </c>
      <c r="K15" s="2">
        <v>1981</v>
      </c>
      <c r="L15" s="2">
        <v>1985</v>
      </c>
      <c r="M15" s="2">
        <v>1927</v>
      </c>
      <c r="N15" s="2">
        <v>2060</v>
      </c>
      <c r="O15" s="2">
        <v>1916</v>
      </c>
      <c r="P15" s="2">
        <v>1917</v>
      </c>
    </row>
    <row r="16" spans="1:16" ht="15" thickBot="1" x14ac:dyDescent="0.35">
      <c r="A16" s="608"/>
      <c r="B16" s="6" t="s">
        <v>457</v>
      </c>
      <c r="C16" s="6"/>
      <c r="D16" s="6"/>
      <c r="E16" s="6"/>
      <c r="F16" s="6"/>
      <c r="G16" s="6">
        <v>1</v>
      </c>
      <c r="H16" s="6">
        <v>133</v>
      </c>
      <c r="I16" s="6">
        <v>249</v>
      </c>
      <c r="J16" s="6">
        <v>533</v>
      </c>
      <c r="K16" s="6">
        <v>790</v>
      </c>
      <c r="L16" s="6">
        <v>913</v>
      </c>
      <c r="M16" s="6">
        <v>1131</v>
      </c>
      <c r="N16" s="6">
        <v>1685</v>
      </c>
      <c r="O16" s="6">
        <v>2112</v>
      </c>
      <c r="P16" s="6">
        <v>3177</v>
      </c>
    </row>
    <row r="17" spans="1:16" x14ac:dyDescent="0.3">
      <c r="A17" s="609" t="s">
        <v>459</v>
      </c>
      <c r="B17" s="609"/>
      <c r="C17" s="14" t="s">
        <v>460</v>
      </c>
      <c r="D17" s="14">
        <v>51688</v>
      </c>
      <c r="E17" s="14">
        <v>51010</v>
      </c>
      <c r="F17" s="14">
        <v>49703</v>
      </c>
      <c r="G17" s="14">
        <v>48277</v>
      </c>
      <c r="H17" s="14">
        <v>48920</v>
      </c>
      <c r="I17" s="14">
        <v>48688</v>
      </c>
      <c r="J17" s="14">
        <v>49182</v>
      </c>
      <c r="K17" s="14">
        <v>49710</v>
      </c>
      <c r="L17" s="14">
        <v>49961</v>
      </c>
      <c r="M17" s="14">
        <v>49425</v>
      </c>
      <c r="N17" s="14">
        <v>53741</v>
      </c>
      <c r="O17" s="14">
        <f>+O11+O5</f>
        <v>54072</v>
      </c>
      <c r="P17" s="14">
        <f>+P11+P5</f>
        <v>58398</v>
      </c>
    </row>
  </sheetData>
  <mergeCells count="5">
    <mergeCell ref="A5:B5"/>
    <mergeCell ref="A6:A10"/>
    <mergeCell ref="A11:B11"/>
    <mergeCell ref="A12:A16"/>
    <mergeCell ref="A17:B1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995BD-F303-4199-9843-01FA03E0E01D}">
  <dimension ref="A1:O9"/>
  <sheetViews>
    <sheetView workbookViewId="0">
      <selection activeCell="Q10" sqref="Q10"/>
    </sheetView>
  </sheetViews>
  <sheetFormatPr baseColWidth="10" defaultColWidth="11.44140625" defaultRowHeight="14.4" x14ac:dyDescent="0.3"/>
  <cols>
    <col min="1" max="1" width="16.44140625" customWidth="1"/>
    <col min="3" max="12" width="7.44140625" customWidth="1"/>
  </cols>
  <sheetData>
    <row r="1" spans="1:15" x14ac:dyDescent="0.3">
      <c r="A1" t="s">
        <v>421</v>
      </c>
      <c r="B1">
        <v>2</v>
      </c>
    </row>
    <row r="2" spans="1:15" x14ac:dyDescent="0.3">
      <c r="A2" t="s">
        <v>5</v>
      </c>
      <c r="B2" t="s">
        <v>27</v>
      </c>
    </row>
    <row r="4" spans="1:15" x14ac:dyDescent="0.3">
      <c r="A4" s="41"/>
      <c r="B4" s="41" t="s">
        <v>422</v>
      </c>
      <c r="C4" s="41" t="s">
        <v>423</v>
      </c>
      <c r="D4" s="41" t="s">
        <v>424</v>
      </c>
      <c r="E4" s="41" t="s">
        <v>425</v>
      </c>
      <c r="F4" s="41" t="s">
        <v>426</v>
      </c>
      <c r="G4" s="41" t="s">
        <v>427</v>
      </c>
      <c r="H4" s="41" t="s">
        <v>428</v>
      </c>
      <c r="I4" s="41" t="s">
        <v>429</v>
      </c>
      <c r="J4" s="41" t="s">
        <v>430</v>
      </c>
      <c r="K4" s="41" t="s">
        <v>358</v>
      </c>
      <c r="L4" s="41" t="s">
        <v>359</v>
      </c>
      <c r="M4" s="41" t="s">
        <v>360</v>
      </c>
      <c r="N4" s="510" t="s">
        <v>361</v>
      </c>
      <c r="O4" s="510" t="s">
        <v>362</v>
      </c>
    </row>
    <row r="5" spans="1:15" x14ac:dyDescent="0.3">
      <c r="A5" s="2" t="s">
        <v>461</v>
      </c>
      <c r="B5" s="2">
        <v>35</v>
      </c>
      <c r="C5" s="2">
        <v>41</v>
      </c>
      <c r="D5" s="2">
        <v>37</v>
      </c>
      <c r="E5" s="2">
        <v>47</v>
      </c>
      <c r="F5" s="2">
        <v>37</v>
      </c>
      <c r="G5" s="2">
        <v>51</v>
      </c>
      <c r="H5" s="2">
        <v>47</v>
      </c>
      <c r="I5" s="2">
        <v>46</v>
      </c>
      <c r="J5" s="2">
        <v>53</v>
      </c>
      <c r="K5" s="2">
        <v>71</v>
      </c>
      <c r="L5" s="2">
        <v>77</v>
      </c>
      <c r="M5" s="2">
        <v>94</v>
      </c>
      <c r="N5" s="2">
        <v>89</v>
      </c>
      <c r="O5" s="2">
        <v>85</v>
      </c>
    </row>
    <row r="6" spans="1:15" x14ac:dyDescent="0.3">
      <c r="A6" s="2" t="s">
        <v>457</v>
      </c>
      <c r="B6" s="2">
        <v>784</v>
      </c>
      <c r="C6" s="2">
        <v>830</v>
      </c>
      <c r="D6" s="2">
        <v>691</v>
      </c>
      <c r="E6" s="2">
        <v>604</v>
      </c>
      <c r="F6" s="2">
        <v>666</v>
      </c>
      <c r="G6" s="2">
        <v>593</v>
      </c>
      <c r="H6" s="2">
        <v>597</v>
      </c>
      <c r="I6" s="2">
        <v>686</v>
      </c>
      <c r="J6" s="2">
        <v>699</v>
      </c>
      <c r="K6" s="2">
        <v>766</v>
      </c>
      <c r="L6" s="2">
        <v>708</v>
      </c>
      <c r="M6" s="2">
        <v>819</v>
      </c>
      <c r="N6" s="2">
        <v>794</v>
      </c>
      <c r="O6" s="2">
        <v>829</v>
      </c>
    </row>
    <row r="7" spans="1:15" x14ac:dyDescent="0.3">
      <c r="A7" s="2" t="s">
        <v>456</v>
      </c>
      <c r="B7" s="2">
        <v>286</v>
      </c>
      <c r="C7" s="2">
        <v>233</v>
      </c>
      <c r="D7" s="2">
        <v>190</v>
      </c>
      <c r="E7" s="2">
        <v>122</v>
      </c>
      <c r="F7" s="2">
        <v>104</v>
      </c>
      <c r="G7" s="2">
        <v>188</v>
      </c>
      <c r="H7" s="2">
        <v>170</v>
      </c>
      <c r="I7" s="2">
        <v>95</v>
      </c>
      <c r="J7" s="2">
        <v>81</v>
      </c>
      <c r="K7" s="2">
        <v>91</v>
      </c>
      <c r="L7" s="2">
        <v>85</v>
      </c>
      <c r="M7" s="2">
        <v>83</v>
      </c>
      <c r="N7" s="2">
        <v>97</v>
      </c>
      <c r="O7" s="2">
        <v>98</v>
      </c>
    </row>
    <row r="8" spans="1:15" x14ac:dyDescent="0.3">
      <c r="A8" s="2" t="s">
        <v>462</v>
      </c>
      <c r="B8" s="2">
        <v>174</v>
      </c>
      <c r="C8" s="2">
        <v>130</v>
      </c>
      <c r="D8" s="2">
        <v>85</v>
      </c>
      <c r="E8" s="2">
        <v>58</v>
      </c>
      <c r="F8" s="2">
        <v>45</v>
      </c>
      <c r="G8" s="2">
        <v>40</v>
      </c>
      <c r="H8" s="2">
        <v>47</v>
      </c>
      <c r="I8" s="2">
        <v>45</v>
      </c>
      <c r="J8" s="2">
        <v>47</v>
      </c>
      <c r="K8" s="2">
        <v>60</v>
      </c>
      <c r="L8" s="2">
        <v>54</v>
      </c>
      <c r="M8" s="2">
        <v>62</v>
      </c>
      <c r="N8" s="2">
        <v>58</v>
      </c>
      <c r="O8" s="2">
        <v>70</v>
      </c>
    </row>
    <row r="9" spans="1:15" x14ac:dyDescent="0.3">
      <c r="B9">
        <f>+SUM(B5:B8)</f>
        <v>1279</v>
      </c>
      <c r="C9">
        <f t="shared" ref="C9:M9" si="0">+SUM(C5:C8)</f>
        <v>1234</v>
      </c>
      <c r="D9">
        <f t="shared" si="0"/>
        <v>1003</v>
      </c>
      <c r="E9">
        <f t="shared" si="0"/>
        <v>831</v>
      </c>
      <c r="F9">
        <f t="shared" si="0"/>
        <v>852</v>
      </c>
      <c r="G9">
        <f t="shared" si="0"/>
        <v>872</v>
      </c>
      <c r="H9">
        <f t="shared" si="0"/>
        <v>861</v>
      </c>
      <c r="I9">
        <f t="shared" si="0"/>
        <v>872</v>
      </c>
      <c r="J9">
        <f t="shared" si="0"/>
        <v>880</v>
      </c>
      <c r="K9">
        <f t="shared" si="0"/>
        <v>988</v>
      </c>
      <c r="L9">
        <f t="shared" si="0"/>
        <v>924</v>
      </c>
      <c r="M9">
        <f t="shared" si="0"/>
        <v>1058</v>
      </c>
      <c r="N9">
        <f>+SUM(N5:N8)</f>
        <v>1038</v>
      </c>
      <c r="O9">
        <f>+SUM(O5:O8)</f>
        <v>1082</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FB5F2-4B8E-4635-91F3-FF98C7AAF8F6}">
  <dimension ref="A1:P17"/>
  <sheetViews>
    <sheetView workbookViewId="0">
      <selection activeCell="O5" sqref="O5"/>
    </sheetView>
  </sheetViews>
  <sheetFormatPr baseColWidth="10" defaultColWidth="11.44140625" defaultRowHeight="14.4" x14ac:dyDescent="0.3"/>
  <cols>
    <col min="1" max="1" width="10" bestFit="1" customWidth="1"/>
    <col min="2" max="2" width="17.44140625" customWidth="1"/>
    <col min="3" max="13" width="5.44140625" bestFit="1" customWidth="1"/>
    <col min="14" max="16" width="5.44140625" customWidth="1"/>
  </cols>
  <sheetData>
    <row r="1" spans="1:16" x14ac:dyDescent="0.3">
      <c r="A1" t="s">
        <v>355</v>
      </c>
      <c r="B1">
        <v>7</v>
      </c>
    </row>
    <row r="2" spans="1:16" x14ac:dyDescent="0.3">
      <c r="A2" t="s">
        <v>5</v>
      </c>
      <c r="B2" t="s">
        <v>28</v>
      </c>
    </row>
    <row r="4" spans="1:16" x14ac:dyDescent="0.3">
      <c r="A4" s="7" t="s">
        <v>463</v>
      </c>
      <c r="B4" s="7" t="s">
        <v>464</v>
      </c>
      <c r="C4" s="7" t="s">
        <v>422</v>
      </c>
      <c r="D4" s="7" t="s">
        <v>423</v>
      </c>
      <c r="E4" s="7" t="s">
        <v>424</v>
      </c>
      <c r="F4" s="7" t="s">
        <v>425</v>
      </c>
      <c r="G4" s="7" t="s">
        <v>426</v>
      </c>
      <c r="H4" s="7" t="s">
        <v>427</v>
      </c>
      <c r="I4" s="7" t="s">
        <v>428</v>
      </c>
      <c r="J4" s="7" t="s">
        <v>429</v>
      </c>
      <c r="K4" s="7" t="s">
        <v>430</v>
      </c>
      <c r="L4" s="7" t="s">
        <v>358</v>
      </c>
      <c r="M4" s="7" t="s">
        <v>359</v>
      </c>
      <c r="N4" s="7" t="s">
        <v>360</v>
      </c>
      <c r="O4" s="7" t="s">
        <v>361</v>
      </c>
      <c r="P4" s="7" t="s">
        <v>362</v>
      </c>
    </row>
    <row r="5" spans="1:16" x14ac:dyDescent="0.3">
      <c r="A5" s="599" t="s">
        <v>440</v>
      </c>
      <c r="B5" s="15" t="s">
        <v>465</v>
      </c>
      <c r="C5" s="16">
        <v>28</v>
      </c>
      <c r="D5" s="16">
        <v>31</v>
      </c>
      <c r="E5" s="16">
        <v>32</v>
      </c>
      <c r="F5" s="16">
        <v>50</v>
      </c>
      <c r="G5" s="16">
        <v>48</v>
      </c>
      <c r="H5" s="17">
        <v>33</v>
      </c>
      <c r="I5" s="17">
        <v>57</v>
      </c>
      <c r="J5" s="17">
        <v>57</v>
      </c>
      <c r="K5" s="17">
        <v>45</v>
      </c>
      <c r="L5" s="17">
        <v>22</v>
      </c>
      <c r="M5" s="17">
        <v>74</v>
      </c>
      <c r="N5" s="17">
        <v>26</v>
      </c>
      <c r="O5" s="17"/>
      <c r="P5" s="17"/>
    </row>
    <row r="6" spans="1:16" x14ac:dyDescent="0.3">
      <c r="A6" s="599"/>
      <c r="B6" s="15" t="s">
        <v>454</v>
      </c>
      <c r="C6" s="16">
        <v>423</v>
      </c>
      <c r="D6" s="16">
        <v>493</v>
      </c>
      <c r="E6" s="16">
        <v>398</v>
      </c>
      <c r="F6" s="16">
        <v>507</v>
      </c>
      <c r="G6" s="16">
        <v>564</v>
      </c>
      <c r="H6" s="17">
        <v>531</v>
      </c>
      <c r="I6" s="17">
        <v>554</v>
      </c>
      <c r="J6" s="17">
        <v>418</v>
      </c>
      <c r="K6" s="17">
        <v>523</v>
      </c>
      <c r="L6" s="17">
        <v>361</v>
      </c>
      <c r="M6" s="17">
        <v>649</v>
      </c>
      <c r="N6" s="17">
        <v>378</v>
      </c>
      <c r="O6" s="17"/>
      <c r="P6" s="17"/>
    </row>
    <row r="7" spans="1:16" x14ac:dyDescent="0.3">
      <c r="A7" s="599"/>
      <c r="B7" s="15" t="s">
        <v>455</v>
      </c>
      <c r="C7" s="16">
        <v>2626</v>
      </c>
      <c r="D7" s="16">
        <v>3704</v>
      </c>
      <c r="E7" s="16">
        <v>4102</v>
      </c>
      <c r="F7" s="16">
        <v>5449</v>
      </c>
      <c r="G7" s="16">
        <v>5127</v>
      </c>
      <c r="H7" s="16">
        <v>5646</v>
      </c>
      <c r="I7" s="16">
        <v>4973</v>
      </c>
      <c r="J7" s="16">
        <v>4845</v>
      </c>
      <c r="K7" s="16">
        <v>4923</v>
      </c>
      <c r="L7" s="16">
        <v>3858</v>
      </c>
      <c r="M7" s="16">
        <v>4783</v>
      </c>
      <c r="N7" s="16">
        <v>3564</v>
      </c>
      <c r="O7" s="16"/>
      <c r="P7" s="16"/>
    </row>
    <row r="8" spans="1:16" x14ac:dyDescent="0.3">
      <c r="A8" s="599"/>
      <c r="B8" s="15" t="s">
        <v>456</v>
      </c>
      <c r="C8" s="16">
        <v>556</v>
      </c>
      <c r="D8" s="16">
        <v>348</v>
      </c>
      <c r="E8" s="16">
        <v>725</v>
      </c>
      <c r="F8" s="16">
        <v>527</v>
      </c>
      <c r="G8" s="16">
        <v>1088</v>
      </c>
      <c r="H8" s="16">
        <v>250</v>
      </c>
      <c r="I8" s="16">
        <v>1033</v>
      </c>
      <c r="J8" s="16">
        <v>501</v>
      </c>
      <c r="K8" s="16">
        <v>1122</v>
      </c>
      <c r="L8" s="16">
        <v>682</v>
      </c>
      <c r="M8" s="16">
        <v>1262</v>
      </c>
      <c r="N8" s="16">
        <v>1209</v>
      </c>
      <c r="O8" s="16"/>
      <c r="P8" s="16"/>
    </row>
    <row r="9" spans="1:16" ht="15" thickBot="1" x14ac:dyDescent="0.35">
      <c r="A9" s="599"/>
      <c r="B9" s="18" t="s">
        <v>457</v>
      </c>
      <c r="C9" s="19"/>
      <c r="D9" s="19"/>
      <c r="E9" s="19"/>
      <c r="F9" s="19"/>
      <c r="G9" s="19"/>
      <c r="H9" s="19"/>
      <c r="I9" s="19"/>
      <c r="J9" s="19"/>
      <c r="K9" s="20">
        <v>1</v>
      </c>
      <c r="L9" s="20">
        <v>10</v>
      </c>
      <c r="M9" s="20">
        <v>35</v>
      </c>
      <c r="N9" s="20">
        <v>56</v>
      </c>
      <c r="O9" s="20"/>
      <c r="P9" s="20"/>
    </row>
    <row r="10" spans="1:16" ht="15" thickBot="1" x14ac:dyDescent="0.35">
      <c r="A10" s="600"/>
      <c r="B10" s="21" t="s">
        <v>440</v>
      </c>
      <c r="C10" s="22">
        <v>3633</v>
      </c>
      <c r="D10" s="22">
        <v>4576</v>
      </c>
      <c r="E10" s="22">
        <v>5257</v>
      </c>
      <c r="F10" s="22">
        <v>6533</v>
      </c>
      <c r="G10" s="22">
        <v>6827</v>
      </c>
      <c r="H10" s="22">
        <v>6460</v>
      </c>
      <c r="I10" s="22">
        <v>6617</v>
      </c>
      <c r="J10" s="22">
        <v>5821</v>
      </c>
      <c r="K10" s="22">
        <v>6614</v>
      </c>
      <c r="L10" s="22">
        <v>4933</v>
      </c>
      <c r="M10" s="22">
        <v>6803</v>
      </c>
      <c r="N10" s="22">
        <v>5233</v>
      </c>
      <c r="O10" s="22"/>
      <c r="P10" s="22"/>
    </row>
    <row r="11" spans="1:16" x14ac:dyDescent="0.3">
      <c r="A11" s="598" t="s">
        <v>448</v>
      </c>
      <c r="B11" s="15" t="s">
        <v>465</v>
      </c>
      <c r="C11" s="16">
        <v>5</v>
      </c>
      <c r="D11" s="16">
        <v>1</v>
      </c>
      <c r="E11" s="16">
        <v>9</v>
      </c>
      <c r="F11" s="16">
        <v>6</v>
      </c>
      <c r="G11" s="16">
        <v>5</v>
      </c>
      <c r="H11" s="16">
        <v>3</v>
      </c>
      <c r="I11" s="16">
        <v>1</v>
      </c>
      <c r="J11" s="16">
        <v>2</v>
      </c>
      <c r="K11" s="16">
        <v>2</v>
      </c>
      <c r="L11" s="23"/>
      <c r="M11" s="23">
        <v>2</v>
      </c>
      <c r="N11" s="23"/>
      <c r="O11" s="23"/>
      <c r="P11" s="23"/>
    </row>
    <row r="12" spans="1:16" x14ac:dyDescent="0.3">
      <c r="A12" s="599"/>
      <c r="B12" s="15" t="s">
        <v>454</v>
      </c>
      <c r="C12" s="16">
        <v>96</v>
      </c>
      <c r="D12" s="16">
        <v>68</v>
      </c>
      <c r="E12" s="16">
        <v>92</v>
      </c>
      <c r="F12" s="16">
        <v>113</v>
      </c>
      <c r="G12" s="16">
        <v>75</v>
      </c>
      <c r="H12" s="16">
        <v>66</v>
      </c>
      <c r="I12" s="16">
        <v>78</v>
      </c>
      <c r="J12" s="16">
        <v>74</v>
      </c>
      <c r="K12" s="16">
        <v>81</v>
      </c>
      <c r="L12" s="16">
        <v>43</v>
      </c>
      <c r="M12" s="16">
        <v>67</v>
      </c>
      <c r="N12" s="16">
        <v>68</v>
      </c>
      <c r="O12" s="16"/>
      <c r="P12" s="16"/>
    </row>
    <row r="13" spans="1:16" x14ac:dyDescent="0.3">
      <c r="A13" s="599"/>
      <c r="B13" s="15" t="s">
        <v>455</v>
      </c>
      <c r="C13" s="16">
        <v>749</v>
      </c>
      <c r="D13" s="16">
        <v>853</v>
      </c>
      <c r="E13" s="16">
        <v>1136</v>
      </c>
      <c r="F13" s="16">
        <v>1101</v>
      </c>
      <c r="G13" s="16">
        <v>1062</v>
      </c>
      <c r="H13" s="16">
        <v>1041</v>
      </c>
      <c r="I13" s="16">
        <v>881</v>
      </c>
      <c r="J13" s="16">
        <v>849</v>
      </c>
      <c r="K13" s="16">
        <v>795</v>
      </c>
      <c r="L13" s="16">
        <v>735</v>
      </c>
      <c r="M13" s="16">
        <v>799</v>
      </c>
      <c r="N13" s="16">
        <v>746</v>
      </c>
      <c r="O13" s="16"/>
      <c r="P13" s="16"/>
    </row>
    <row r="14" spans="1:16" x14ac:dyDescent="0.3">
      <c r="A14" s="599"/>
      <c r="B14" s="15" t="s">
        <v>456</v>
      </c>
      <c r="C14" s="16">
        <v>257</v>
      </c>
      <c r="D14" s="16">
        <v>282</v>
      </c>
      <c r="E14" s="16">
        <v>341</v>
      </c>
      <c r="F14" s="16">
        <v>265</v>
      </c>
      <c r="G14" s="16">
        <v>298</v>
      </c>
      <c r="H14" s="16">
        <v>190</v>
      </c>
      <c r="I14" s="16">
        <v>146</v>
      </c>
      <c r="J14" s="16">
        <v>192</v>
      </c>
      <c r="K14" s="16">
        <v>295</v>
      </c>
      <c r="L14" s="16">
        <v>214</v>
      </c>
      <c r="M14" s="16">
        <v>297</v>
      </c>
      <c r="N14" s="16">
        <v>219</v>
      </c>
      <c r="O14" s="16"/>
      <c r="P14" s="16"/>
    </row>
    <row r="15" spans="1:16" ht="15" thickBot="1" x14ac:dyDescent="0.35">
      <c r="A15" s="599"/>
      <c r="B15" s="18" t="s">
        <v>457</v>
      </c>
      <c r="C15" s="20">
        <v>14</v>
      </c>
      <c r="D15" s="20">
        <v>10</v>
      </c>
      <c r="E15" s="20">
        <v>16</v>
      </c>
      <c r="F15" s="20">
        <v>18</v>
      </c>
      <c r="G15" s="20">
        <v>31</v>
      </c>
      <c r="H15" s="20">
        <v>18</v>
      </c>
      <c r="I15" s="20">
        <v>24</v>
      </c>
      <c r="J15" s="20">
        <v>7</v>
      </c>
      <c r="K15" s="20">
        <v>14</v>
      </c>
      <c r="L15" s="20">
        <v>117</v>
      </c>
      <c r="M15" s="20">
        <v>163</v>
      </c>
      <c r="N15" s="20">
        <v>266</v>
      </c>
      <c r="O15" s="20"/>
      <c r="P15" s="20"/>
    </row>
    <row r="16" spans="1:16" ht="15" thickBot="1" x14ac:dyDescent="0.35">
      <c r="A16" s="600"/>
      <c r="B16" s="21" t="s">
        <v>448</v>
      </c>
      <c r="C16" s="22">
        <v>1121</v>
      </c>
      <c r="D16" s="22">
        <v>1214</v>
      </c>
      <c r="E16" s="22">
        <v>1594</v>
      </c>
      <c r="F16" s="22">
        <v>1503</v>
      </c>
      <c r="G16" s="22">
        <v>1471</v>
      </c>
      <c r="H16" s="22">
        <v>1318</v>
      </c>
      <c r="I16" s="22">
        <v>1130</v>
      </c>
      <c r="J16" s="22">
        <v>1124</v>
      </c>
      <c r="K16" s="22">
        <v>1187</v>
      </c>
      <c r="L16" s="22">
        <v>1109</v>
      </c>
      <c r="M16" s="22">
        <v>1328</v>
      </c>
      <c r="N16" s="22">
        <v>1299</v>
      </c>
      <c r="O16" s="22"/>
      <c r="P16" s="22"/>
    </row>
    <row r="17" spans="1:16" x14ac:dyDescent="0.3">
      <c r="A17" s="598" t="s">
        <v>466</v>
      </c>
      <c r="B17" s="598"/>
      <c r="C17" s="24">
        <v>4754</v>
      </c>
      <c r="D17" s="24">
        <v>5790</v>
      </c>
      <c r="E17" s="24">
        <v>6851</v>
      </c>
      <c r="F17" s="24">
        <v>8036</v>
      </c>
      <c r="G17" s="24">
        <v>8298</v>
      </c>
      <c r="H17" s="24">
        <v>7778</v>
      </c>
      <c r="I17" s="24">
        <v>7747</v>
      </c>
      <c r="J17" s="24">
        <v>6945</v>
      </c>
      <c r="K17" s="24">
        <v>7801</v>
      </c>
      <c r="L17" s="24">
        <v>6042</v>
      </c>
      <c r="M17" s="24">
        <v>8131</v>
      </c>
      <c r="N17" s="24">
        <v>6532</v>
      </c>
      <c r="O17" s="24"/>
      <c r="P17" s="24"/>
    </row>
  </sheetData>
  <mergeCells count="3">
    <mergeCell ref="A17:B17"/>
    <mergeCell ref="A5:A10"/>
    <mergeCell ref="A11:A1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1762B-0F15-4ACF-BE3E-2AA7055F84C7}">
  <dimension ref="A1:C21"/>
  <sheetViews>
    <sheetView workbookViewId="0"/>
  </sheetViews>
  <sheetFormatPr baseColWidth="10" defaultColWidth="11.44140625" defaultRowHeight="14.4" x14ac:dyDescent="0.3"/>
  <cols>
    <col min="1" max="1" width="10" bestFit="1" customWidth="1"/>
    <col min="2" max="2" width="36.44140625" customWidth="1"/>
    <col min="3" max="3" width="8.44140625" customWidth="1"/>
    <col min="4" max="13" width="5.44140625" bestFit="1" customWidth="1"/>
  </cols>
  <sheetData>
    <row r="1" spans="1:3" x14ac:dyDescent="0.3">
      <c r="A1" t="s">
        <v>355</v>
      </c>
      <c r="B1">
        <v>8</v>
      </c>
    </row>
    <row r="2" spans="1:3" x14ac:dyDescent="0.3">
      <c r="A2" t="s">
        <v>5</v>
      </c>
      <c r="B2" t="s">
        <v>29</v>
      </c>
    </row>
    <row r="3" spans="1:3" ht="15" thickBot="1" x14ac:dyDescent="0.35"/>
    <row r="4" spans="1:3" ht="15" thickBot="1" x14ac:dyDescent="0.35">
      <c r="A4" s="25" t="s">
        <v>467</v>
      </c>
      <c r="B4" s="25" t="s">
        <v>468</v>
      </c>
      <c r="C4" s="25" t="s">
        <v>469</v>
      </c>
    </row>
    <row r="5" spans="1:3" ht="15" thickBot="1" x14ac:dyDescent="0.35">
      <c r="A5" s="612" t="s">
        <v>470</v>
      </c>
      <c r="B5" s="26" t="s">
        <v>471</v>
      </c>
      <c r="C5" s="19" t="s">
        <v>472</v>
      </c>
    </row>
    <row r="6" spans="1:3" ht="15" thickBot="1" x14ac:dyDescent="0.35">
      <c r="A6" s="613"/>
      <c r="B6" s="26" t="s">
        <v>473</v>
      </c>
      <c r="C6" s="19" t="s">
        <v>474</v>
      </c>
    </row>
    <row r="7" spans="1:3" ht="23.4" thickBot="1" x14ac:dyDescent="0.35">
      <c r="A7" s="613"/>
      <c r="B7" s="26" t="s">
        <v>475</v>
      </c>
      <c r="C7" s="19" t="s">
        <v>476</v>
      </c>
    </row>
    <row r="8" spans="1:3" ht="15" thickBot="1" x14ac:dyDescent="0.35">
      <c r="A8" s="614"/>
      <c r="B8" s="61" t="s">
        <v>477</v>
      </c>
      <c r="C8" s="23" t="s">
        <v>478</v>
      </c>
    </row>
    <row r="9" spans="1:3" ht="15" thickBot="1" x14ac:dyDescent="0.35">
      <c r="A9" s="612" t="s">
        <v>479</v>
      </c>
      <c r="B9" s="26" t="s">
        <v>480</v>
      </c>
      <c r="C9" s="19" t="s">
        <v>472</v>
      </c>
    </row>
    <row r="10" spans="1:3" ht="15" thickBot="1" x14ac:dyDescent="0.35">
      <c r="A10" s="613"/>
      <c r="B10" s="26" t="s">
        <v>481</v>
      </c>
      <c r="C10" s="19" t="s">
        <v>472</v>
      </c>
    </row>
    <row r="11" spans="1:3" ht="15" thickBot="1" x14ac:dyDescent="0.35">
      <c r="A11" s="613"/>
      <c r="B11" s="26" t="s">
        <v>482</v>
      </c>
      <c r="C11" s="19" t="s">
        <v>483</v>
      </c>
    </row>
    <row r="12" spans="1:3" ht="15" thickBot="1" x14ac:dyDescent="0.35">
      <c r="A12" s="613"/>
      <c r="B12" s="26" t="s">
        <v>484</v>
      </c>
      <c r="C12" s="19" t="s">
        <v>476</v>
      </c>
    </row>
    <row r="13" spans="1:3" ht="15" thickBot="1" x14ac:dyDescent="0.35">
      <c r="A13" s="613"/>
      <c r="B13" s="26" t="s">
        <v>485</v>
      </c>
      <c r="C13" s="19" t="s">
        <v>474</v>
      </c>
    </row>
    <row r="14" spans="1:3" ht="23.4" thickBot="1" x14ac:dyDescent="0.35">
      <c r="A14" s="613"/>
      <c r="B14" s="26" t="s">
        <v>486</v>
      </c>
      <c r="C14" s="19" t="s">
        <v>474</v>
      </c>
    </row>
    <row r="15" spans="1:3" ht="15" thickBot="1" x14ac:dyDescent="0.35">
      <c r="A15" s="613"/>
      <c r="B15" s="71" t="s">
        <v>487</v>
      </c>
      <c r="C15" s="61" t="s">
        <v>474</v>
      </c>
    </row>
    <row r="16" spans="1:3" ht="23.4" thickBot="1" x14ac:dyDescent="0.35">
      <c r="A16" s="614"/>
      <c r="B16" s="26" t="s">
        <v>488</v>
      </c>
      <c r="C16" s="19" t="s">
        <v>474</v>
      </c>
    </row>
    <row r="17" spans="1:3" ht="23.4" thickBot="1" x14ac:dyDescent="0.35">
      <c r="A17" s="612" t="s">
        <v>489</v>
      </c>
      <c r="B17" s="26" t="s">
        <v>490</v>
      </c>
      <c r="C17" s="19" t="s">
        <v>472</v>
      </c>
    </row>
    <row r="18" spans="1:3" ht="23.4" thickBot="1" x14ac:dyDescent="0.35">
      <c r="A18" s="613"/>
      <c r="B18" s="26" t="s">
        <v>491</v>
      </c>
      <c r="C18" s="19" t="s">
        <v>476</v>
      </c>
    </row>
    <row r="19" spans="1:3" ht="23.4" thickBot="1" x14ac:dyDescent="0.35">
      <c r="A19" s="613"/>
      <c r="B19" s="26" t="s">
        <v>492</v>
      </c>
      <c r="C19" s="19" t="s">
        <v>476</v>
      </c>
    </row>
    <row r="20" spans="1:3" ht="15" thickBot="1" x14ac:dyDescent="0.35">
      <c r="A20" s="614"/>
      <c r="B20" s="26" t="s">
        <v>493</v>
      </c>
      <c r="C20" s="19" t="s">
        <v>476</v>
      </c>
    </row>
    <row r="21" spans="1:3" x14ac:dyDescent="0.3">
      <c r="B21" s="384" t="s">
        <v>494</v>
      </c>
    </row>
  </sheetData>
  <mergeCells count="3">
    <mergeCell ref="A5:A8"/>
    <mergeCell ref="A9:A16"/>
    <mergeCell ref="A17:A20"/>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37709-03FE-4B81-ACC7-583EAA193783}">
  <dimension ref="A1:B9"/>
  <sheetViews>
    <sheetView workbookViewId="0"/>
  </sheetViews>
  <sheetFormatPr baseColWidth="10" defaultColWidth="11.44140625" defaultRowHeight="14.4" x14ac:dyDescent="0.3"/>
  <cols>
    <col min="1" max="1" width="10" bestFit="1" customWidth="1"/>
    <col min="2" max="2" width="23.44140625" customWidth="1"/>
    <col min="3" max="3" width="8.44140625" customWidth="1"/>
    <col min="4" max="13" width="5.44140625" bestFit="1" customWidth="1"/>
  </cols>
  <sheetData>
    <row r="1" spans="1:2" x14ac:dyDescent="0.3">
      <c r="A1" t="s">
        <v>355</v>
      </c>
      <c r="B1">
        <v>9</v>
      </c>
    </row>
    <row r="2" spans="1:2" x14ac:dyDescent="0.3">
      <c r="A2" t="s">
        <v>5</v>
      </c>
      <c r="B2" t="s">
        <v>495</v>
      </c>
    </row>
    <row r="4" spans="1:2" x14ac:dyDescent="0.3">
      <c r="A4" s="27"/>
      <c r="B4" s="28" t="s">
        <v>496</v>
      </c>
    </row>
    <row r="5" spans="1:2" ht="15" thickBot="1" x14ac:dyDescent="0.35">
      <c r="A5" s="29" t="s">
        <v>497</v>
      </c>
      <c r="B5" s="29">
        <v>80</v>
      </c>
    </row>
    <row r="6" spans="1:2" ht="15" thickBot="1" x14ac:dyDescent="0.35">
      <c r="A6" s="29" t="s">
        <v>498</v>
      </c>
      <c r="B6" s="29">
        <v>32</v>
      </c>
    </row>
    <row r="7" spans="1:2" ht="15" thickBot="1" x14ac:dyDescent="0.35">
      <c r="A7" s="29" t="s">
        <v>499</v>
      </c>
      <c r="B7" s="29">
        <v>10</v>
      </c>
    </row>
    <row r="8" spans="1:2" x14ac:dyDescent="0.3">
      <c r="A8" s="30" t="s">
        <v>466</v>
      </c>
      <c r="B8" s="30">
        <f>SUM(B5:B7)</f>
        <v>122</v>
      </c>
    </row>
    <row r="9" spans="1:2" x14ac:dyDescent="0.3">
      <c r="A9" t="s">
        <v>500</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5D0E8-7453-4121-AFF1-7A06E09936DF}">
  <dimension ref="A1:K8"/>
  <sheetViews>
    <sheetView zoomScale="102" zoomScaleNormal="160" workbookViewId="0">
      <selection activeCell="J8" sqref="J8"/>
    </sheetView>
  </sheetViews>
  <sheetFormatPr baseColWidth="10" defaultColWidth="11.44140625" defaultRowHeight="14.4" x14ac:dyDescent="0.3"/>
  <cols>
    <col min="1" max="1" width="10" customWidth="1"/>
    <col min="2" max="2" width="38.44140625" customWidth="1"/>
    <col min="3" max="3" width="8.44140625" customWidth="1"/>
    <col min="4" max="8" width="6.44140625" customWidth="1"/>
    <col min="9" max="11" width="7.88671875" customWidth="1"/>
    <col min="12" max="14" width="5.44140625" bestFit="1" customWidth="1"/>
  </cols>
  <sheetData>
    <row r="1" spans="1:11" x14ac:dyDescent="0.3">
      <c r="A1" t="s">
        <v>355</v>
      </c>
      <c r="B1">
        <v>10</v>
      </c>
    </row>
    <row r="2" spans="1:11" x14ac:dyDescent="0.3">
      <c r="A2" t="s">
        <v>5</v>
      </c>
      <c r="B2" t="s">
        <v>501</v>
      </c>
    </row>
    <row r="4" spans="1:11" x14ac:dyDescent="0.3">
      <c r="B4" s="31" t="s">
        <v>502</v>
      </c>
      <c r="C4" s="32">
        <v>2019</v>
      </c>
      <c r="D4" s="32">
        <v>2020</v>
      </c>
      <c r="E4" s="32">
        <v>2021</v>
      </c>
      <c r="F4" s="32">
        <v>2022</v>
      </c>
      <c r="G4" s="32">
        <v>2023</v>
      </c>
      <c r="H4" s="33">
        <v>2024</v>
      </c>
      <c r="I4" s="33">
        <v>2025</v>
      </c>
      <c r="J4" s="33" t="s">
        <v>362</v>
      </c>
      <c r="K4" s="33"/>
    </row>
    <row r="5" spans="1:11" ht="15" thickBot="1" x14ac:dyDescent="0.35">
      <c r="B5" s="34" t="s">
        <v>503</v>
      </c>
      <c r="C5" s="35">
        <v>23</v>
      </c>
      <c r="D5" s="35">
        <v>26</v>
      </c>
      <c r="E5" s="35">
        <v>24</v>
      </c>
      <c r="F5" s="35">
        <v>36</v>
      </c>
      <c r="G5" s="35">
        <v>33</v>
      </c>
      <c r="H5" s="36">
        <v>31</v>
      </c>
      <c r="I5" s="529">
        <v>30</v>
      </c>
      <c r="J5" s="36">
        <v>31</v>
      </c>
      <c r="K5" s="528"/>
    </row>
    <row r="6" spans="1:11" ht="15" thickBot="1" x14ac:dyDescent="0.35">
      <c r="B6" s="34" t="s">
        <v>489</v>
      </c>
      <c r="C6" s="35">
        <v>32</v>
      </c>
      <c r="D6" s="35">
        <v>36</v>
      </c>
      <c r="E6" s="35">
        <v>44</v>
      </c>
      <c r="F6" s="35">
        <v>34</v>
      </c>
      <c r="G6" s="35">
        <v>32</v>
      </c>
      <c r="H6" s="36">
        <v>30</v>
      </c>
      <c r="I6" s="529">
        <v>27</v>
      </c>
      <c r="J6" s="36">
        <v>28</v>
      </c>
      <c r="K6" s="528"/>
    </row>
    <row r="7" spans="1:11" ht="15" thickBot="1" x14ac:dyDescent="0.35">
      <c r="B7" s="34" t="s">
        <v>504</v>
      </c>
      <c r="C7" s="35">
        <v>54</v>
      </c>
      <c r="D7" s="35">
        <v>63</v>
      </c>
      <c r="E7" s="35">
        <v>65</v>
      </c>
      <c r="F7" s="35">
        <v>54</v>
      </c>
      <c r="G7" s="35">
        <v>68</v>
      </c>
      <c r="H7" s="36">
        <v>71</v>
      </c>
      <c r="I7" s="529">
        <v>58</v>
      </c>
      <c r="J7" s="36">
        <v>63</v>
      </c>
      <c r="K7" s="528"/>
    </row>
    <row r="8" spans="1:11" x14ac:dyDescent="0.3">
      <c r="B8" s="37" t="s">
        <v>505</v>
      </c>
      <c r="C8" s="38">
        <v>109</v>
      </c>
      <c r="D8" s="38">
        <v>125</v>
      </c>
      <c r="E8" s="38">
        <v>133</v>
      </c>
      <c r="F8" s="38">
        <v>124</v>
      </c>
      <c r="G8" s="38">
        <v>133</v>
      </c>
      <c r="H8" s="39">
        <v>132</v>
      </c>
      <c r="I8" s="530">
        <v>115</v>
      </c>
      <c r="J8" s="39">
        <f>SUM(J5:J7)</f>
        <v>122</v>
      </c>
      <c r="K8" s="39"/>
    </row>
  </sheetData>
  <pageMargins left="0.7" right="0.7" top="0.75" bottom="0.75" header="0.3" footer="0.3"/>
  <pageSetup orientation="portrait" horizontalDpi="0" verticalDpi="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7F22-8A2E-49FF-BE8F-7147966BCCB8}">
  <dimension ref="A1:K14"/>
  <sheetViews>
    <sheetView workbookViewId="0">
      <selection activeCell="K5" sqref="K5"/>
    </sheetView>
  </sheetViews>
  <sheetFormatPr baseColWidth="10" defaultColWidth="11.44140625" defaultRowHeight="14.4" x14ac:dyDescent="0.3"/>
  <cols>
    <col min="1" max="1" width="19.44140625" customWidth="1"/>
    <col min="2" max="2" width="36.44140625" bestFit="1" customWidth="1"/>
    <col min="3" max="8" width="13" customWidth="1"/>
    <col min="9" max="10" width="8.44140625" customWidth="1"/>
    <col min="11" max="11" width="8.109375" bestFit="1" customWidth="1"/>
    <col min="12" max="14" width="5.44140625" bestFit="1" customWidth="1"/>
  </cols>
  <sheetData>
    <row r="1" spans="1:11" x14ac:dyDescent="0.3">
      <c r="A1" t="s">
        <v>450</v>
      </c>
      <c r="B1">
        <v>23</v>
      </c>
    </row>
    <row r="2" spans="1:11" x14ac:dyDescent="0.3">
      <c r="A2" t="s">
        <v>5</v>
      </c>
      <c r="B2" t="s">
        <v>37</v>
      </c>
    </row>
    <row r="3" spans="1:11" ht="15" thickBot="1" x14ac:dyDescent="0.35"/>
    <row r="4" spans="1:11" ht="15.6" thickBot="1" x14ac:dyDescent="0.35">
      <c r="A4" s="459" t="s">
        <v>506</v>
      </c>
      <c r="B4" s="460" t="s">
        <v>507</v>
      </c>
      <c r="C4" s="460">
        <v>2019</v>
      </c>
      <c r="D4" s="460">
        <v>2020</v>
      </c>
      <c r="E4" s="460">
        <v>2021</v>
      </c>
      <c r="F4" s="460">
        <v>2022</v>
      </c>
      <c r="G4" s="460">
        <v>2023</v>
      </c>
      <c r="H4" s="460">
        <v>2024</v>
      </c>
      <c r="I4" s="460">
        <v>2025</v>
      </c>
      <c r="J4" s="460" t="s">
        <v>362</v>
      </c>
    </row>
    <row r="5" spans="1:11" ht="15.6" thickBot="1" x14ac:dyDescent="0.35">
      <c r="A5" s="615" t="s">
        <v>508</v>
      </c>
      <c r="B5" s="515" t="s">
        <v>509</v>
      </c>
      <c r="C5" s="515">
        <v>109</v>
      </c>
      <c r="D5" s="515">
        <v>125</v>
      </c>
      <c r="E5" s="515">
        <v>133</v>
      </c>
      <c r="F5" s="515">
        <v>124</v>
      </c>
      <c r="G5" s="515">
        <v>133</v>
      </c>
      <c r="H5" s="515">
        <v>132</v>
      </c>
      <c r="I5" s="531">
        <v>115</v>
      </c>
      <c r="J5" s="515"/>
      <c r="K5" t="s">
        <v>510</v>
      </c>
    </row>
    <row r="6" spans="1:11" ht="15.6" thickBot="1" x14ac:dyDescent="0.35">
      <c r="A6" s="616"/>
      <c r="B6" s="515" t="s">
        <v>511</v>
      </c>
      <c r="C6" s="515">
        <v>13</v>
      </c>
      <c r="D6" s="515">
        <v>86</v>
      </c>
      <c r="E6" s="515">
        <v>108</v>
      </c>
      <c r="F6" s="515">
        <v>106</v>
      </c>
      <c r="G6" s="515">
        <v>68</v>
      </c>
      <c r="H6" s="515">
        <v>97</v>
      </c>
      <c r="I6" s="531">
        <v>101</v>
      </c>
      <c r="J6" s="515"/>
      <c r="K6" t="s">
        <v>512</v>
      </c>
    </row>
    <row r="7" spans="1:11" ht="15.6" thickBot="1" x14ac:dyDescent="0.35">
      <c r="A7" s="616"/>
      <c r="B7" s="515" t="s">
        <v>513</v>
      </c>
      <c r="C7" s="515">
        <v>103</v>
      </c>
      <c r="D7" s="515">
        <v>2059</v>
      </c>
      <c r="E7" s="515">
        <v>4269</v>
      </c>
      <c r="F7" s="515">
        <v>2893</v>
      </c>
      <c r="G7" s="515">
        <v>1401</v>
      </c>
      <c r="H7" s="515">
        <v>3747</v>
      </c>
      <c r="I7" s="531">
        <v>2493</v>
      </c>
      <c r="J7" s="515"/>
      <c r="K7" t="s">
        <v>512</v>
      </c>
    </row>
    <row r="8" spans="1:11" ht="30.6" thickBot="1" x14ac:dyDescent="0.35">
      <c r="A8" s="616"/>
      <c r="B8" s="515" t="s">
        <v>514</v>
      </c>
      <c r="C8" s="516" t="s">
        <v>515</v>
      </c>
      <c r="D8" s="516" t="s">
        <v>515</v>
      </c>
      <c r="E8" s="516">
        <v>85</v>
      </c>
      <c r="F8" s="517">
        <v>4389</v>
      </c>
      <c r="G8" s="515">
        <v>4284</v>
      </c>
      <c r="H8" s="515">
        <v>3593</v>
      </c>
      <c r="I8" s="532">
        <v>14410</v>
      </c>
      <c r="J8" s="518"/>
      <c r="K8" t="s">
        <v>516</v>
      </c>
    </row>
    <row r="9" spans="1:11" ht="15.6" thickBot="1" x14ac:dyDescent="0.35">
      <c r="A9" s="617"/>
      <c r="B9" s="515" t="s">
        <v>517</v>
      </c>
      <c r="C9" s="515">
        <v>145</v>
      </c>
      <c r="D9" s="515">
        <v>147</v>
      </c>
      <c r="E9" s="515">
        <v>142</v>
      </c>
      <c r="F9" s="515">
        <v>143</v>
      </c>
      <c r="G9" s="515">
        <v>141</v>
      </c>
      <c r="H9" s="515">
        <v>141</v>
      </c>
      <c r="I9" s="531">
        <v>141</v>
      </c>
      <c r="J9" s="515"/>
      <c r="K9" t="s">
        <v>518</v>
      </c>
    </row>
    <row r="10" spans="1:11" ht="15.6" thickBot="1" x14ac:dyDescent="0.35">
      <c r="A10" s="618" t="s">
        <v>519</v>
      </c>
      <c r="B10" s="461" t="s">
        <v>520</v>
      </c>
      <c r="C10" s="461">
        <v>558</v>
      </c>
      <c r="D10" s="461">
        <v>180</v>
      </c>
      <c r="E10" s="461">
        <v>183</v>
      </c>
      <c r="F10" s="461">
        <v>216</v>
      </c>
      <c r="G10" s="461">
        <v>114</v>
      </c>
      <c r="H10" s="461">
        <v>299</v>
      </c>
      <c r="I10" s="533">
        <v>198</v>
      </c>
      <c r="J10" s="461"/>
      <c r="K10" t="s">
        <v>518</v>
      </c>
    </row>
    <row r="11" spans="1:11" ht="45" x14ac:dyDescent="0.3">
      <c r="A11" s="619"/>
      <c r="B11" s="461" t="s">
        <v>521</v>
      </c>
      <c r="C11" s="461">
        <v>65</v>
      </c>
      <c r="D11" s="462">
        <v>2578</v>
      </c>
      <c r="E11" s="462">
        <v>4121</v>
      </c>
      <c r="F11" s="461">
        <v>245</v>
      </c>
      <c r="G11" s="462">
        <v>1628</v>
      </c>
      <c r="H11" s="461">
        <v>151</v>
      </c>
      <c r="I11" s="533">
        <v>301</v>
      </c>
      <c r="J11" s="461"/>
      <c r="K11" t="s">
        <v>522</v>
      </c>
    </row>
    <row r="12" spans="1:11" ht="15" x14ac:dyDescent="0.3">
      <c r="A12" s="620" t="s">
        <v>523</v>
      </c>
      <c r="B12" s="461" t="s">
        <v>524</v>
      </c>
      <c r="C12" s="461">
        <v>2246</v>
      </c>
      <c r="D12" s="462">
        <v>1177</v>
      </c>
      <c r="E12" s="462">
        <v>1526</v>
      </c>
      <c r="F12" s="462">
        <v>1975</v>
      </c>
      <c r="G12" s="462">
        <v>2561</v>
      </c>
      <c r="H12" s="462">
        <v>2947</v>
      </c>
      <c r="I12" s="534">
        <v>2501</v>
      </c>
      <c r="J12" s="461">
        <v>1939</v>
      </c>
      <c r="K12" t="s">
        <v>525</v>
      </c>
    </row>
    <row r="13" spans="1:11" ht="30" x14ac:dyDescent="0.3">
      <c r="A13" s="621"/>
      <c r="B13" s="461" t="s">
        <v>526</v>
      </c>
      <c r="C13" s="461">
        <v>957</v>
      </c>
      <c r="D13" s="461">
        <v>633</v>
      </c>
      <c r="E13" s="461">
        <v>414</v>
      </c>
      <c r="F13" s="461">
        <v>755</v>
      </c>
      <c r="G13" s="461">
        <v>1103</v>
      </c>
      <c r="H13" s="462">
        <v>1149</v>
      </c>
      <c r="I13" s="534">
        <v>1010</v>
      </c>
      <c r="J13" s="461">
        <v>12686</v>
      </c>
      <c r="K13" t="s">
        <v>527</v>
      </c>
    </row>
    <row r="14" spans="1:11" ht="45" x14ac:dyDescent="0.3">
      <c r="A14" s="463" t="s">
        <v>528</v>
      </c>
      <c r="B14" s="461" t="s">
        <v>529</v>
      </c>
      <c r="C14" s="461" t="s">
        <v>515</v>
      </c>
      <c r="D14" s="461" t="s">
        <v>515</v>
      </c>
      <c r="E14" s="461">
        <v>11</v>
      </c>
      <c r="F14" s="461">
        <v>10</v>
      </c>
      <c r="G14" s="461" t="s">
        <v>515</v>
      </c>
      <c r="H14" s="461" t="s">
        <v>515</v>
      </c>
      <c r="I14" s="533" t="s">
        <v>515</v>
      </c>
      <c r="J14" s="461"/>
      <c r="K14" s="588" t="s">
        <v>530</v>
      </c>
    </row>
  </sheetData>
  <mergeCells count="3">
    <mergeCell ref="A5:A9"/>
    <mergeCell ref="A10:A11"/>
    <mergeCell ref="A12:A1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5C48-5256-4F07-A573-089B645C11AA}">
  <dimension ref="A1:D11"/>
  <sheetViews>
    <sheetView workbookViewId="0">
      <selection activeCell="B26" sqref="B26"/>
    </sheetView>
  </sheetViews>
  <sheetFormatPr baseColWidth="10" defaultColWidth="11.44140625" defaultRowHeight="14.4" x14ac:dyDescent="0.3"/>
  <cols>
    <col min="1" max="1" width="27.44140625" customWidth="1"/>
    <col min="2" max="2" width="24.88671875" customWidth="1"/>
    <col min="3" max="3" width="19.109375" customWidth="1"/>
    <col min="4" max="4" width="25.44140625" customWidth="1"/>
    <col min="5" max="6" width="5.44140625" bestFit="1" customWidth="1"/>
  </cols>
  <sheetData>
    <row r="1" spans="1:4" x14ac:dyDescent="0.3">
      <c r="A1" t="s">
        <v>355</v>
      </c>
      <c r="B1">
        <v>29</v>
      </c>
    </row>
    <row r="2" spans="1:4" x14ac:dyDescent="0.3">
      <c r="A2" t="s">
        <v>5</v>
      </c>
      <c r="B2" t="s">
        <v>40</v>
      </c>
    </row>
    <row r="3" spans="1:4" ht="15" thickBot="1" x14ac:dyDescent="0.35"/>
    <row r="4" spans="1:4" ht="27" thickBot="1" x14ac:dyDescent="0.35">
      <c r="A4" s="230" t="s">
        <v>531</v>
      </c>
      <c r="B4" s="230" t="s">
        <v>360</v>
      </c>
      <c r="C4" s="230" t="s">
        <v>361</v>
      </c>
      <c r="D4" s="28" t="s">
        <v>362</v>
      </c>
    </row>
    <row r="5" spans="1:4" ht="15" thickBot="1" x14ac:dyDescent="0.35">
      <c r="A5" s="29">
        <v>2019</v>
      </c>
      <c r="B5" s="29">
        <v>3292</v>
      </c>
      <c r="C5" s="506">
        <v>3664</v>
      </c>
      <c r="D5" s="506">
        <v>4274</v>
      </c>
    </row>
    <row r="6" spans="1:4" ht="15" thickBot="1" x14ac:dyDescent="0.35">
      <c r="A6" s="29">
        <v>2020</v>
      </c>
      <c r="B6" s="29">
        <v>2320</v>
      </c>
      <c r="C6" s="506">
        <v>2512</v>
      </c>
      <c r="D6" s="506">
        <v>3958</v>
      </c>
    </row>
    <row r="7" spans="1:4" ht="15" thickBot="1" x14ac:dyDescent="0.35">
      <c r="A7" s="29">
        <v>2021</v>
      </c>
      <c r="B7" s="29">
        <v>3637</v>
      </c>
      <c r="C7" s="506">
        <v>3908</v>
      </c>
      <c r="D7" s="506">
        <v>6344</v>
      </c>
    </row>
    <row r="8" spans="1:4" ht="15.6" thickBot="1" x14ac:dyDescent="0.35">
      <c r="A8" s="29">
        <v>2022</v>
      </c>
      <c r="B8" s="464">
        <v>162767</v>
      </c>
      <c r="C8" s="507">
        <v>175069</v>
      </c>
      <c r="D8" s="507">
        <v>233123</v>
      </c>
    </row>
    <row r="9" spans="1:4" ht="15.6" thickBot="1" x14ac:dyDescent="0.35">
      <c r="A9" s="29">
        <v>2023</v>
      </c>
      <c r="B9" s="49">
        <v>8709</v>
      </c>
      <c r="C9" s="508">
        <v>8854</v>
      </c>
      <c r="D9" s="508">
        <v>9786</v>
      </c>
    </row>
    <row r="10" spans="1:4" ht="15.6" thickBot="1" x14ac:dyDescent="0.35">
      <c r="A10" s="29">
        <v>2024</v>
      </c>
      <c r="B10" s="49">
        <v>18195</v>
      </c>
      <c r="C10" s="508">
        <v>33111</v>
      </c>
      <c r="D10" s="508">
        <v>89295</v>
      </c>
    </row>
    <row r="11" spans="1:4" ht="15.6" thickBot="1" x14ac:dyDescent="0.35">
      <c r="A11" s="29">
        <v>2025</v>
      </c>
      <c r="B11" s="49"/>
      <c r="C11" s="508"/>
      <c r="D11" s="508">
        <v>41816</v>
      </c>
    </row>
  </sheetData>
  <hyperlinks>
    <hyperlink ref="A9" location="_ftn1" display="_ftn1" xr:uid="{81305BEA-EAED-4A8C-8DAC-639328F3B9BB}"/>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C82A2-5047-4C4D-9225-A0ADE6FE49DE}">
  <dimension ref="A1:O6"/>
  <sheetViews>
    <sheetView workbookViewId="0"/>
  </sheetViews>
  <sheetFormatPr baseColWidth="10" defaultColWidth="13.44140625" defaultRowHeight="14.4" x14ac:dyDescent="0.3"/>
  <cols>
    <col min="1" max="1" width="30.44140625" customWidth="1"/>
    <col min="2" max="2" width="8.44140625" customWidth="1"/>
    <col min="3" max="13" width="6.44140625" bestFit="1" customWidth="1"/>
    <col min="14" max="14" width="6.6640625" bestFit="1" customWidth="1"/>
    <col min="15" max="15" width="9.88671875" customWidth="1"/>
  </cols>
  <sheetData>
    <row r="1" spans="1:15" x14ac:dyDescent="0.3">
      <c r="A1" t="s">
        <v>355</v>
      </c>
      <c r="B1">
        <v>32</v>
      </c>
    </row>
    <row r="2" spans="1:15" x14ac:dyDescent="0.3">
      <c r="A2" t="s">
        <v>5</v>
      </c>
      <c r="B2" t="s">
        <v>532</v>
      </c>
    </row>
    <row r="3" spans="1:15" ht="15" thickBot="1" x14ac:dyDescent="0.35"/>
    <row r="4" spans="1:15" ht="29.4" thickBot="1" x14ac:dyDescent="0.35">
      <c r="A4" s="52"/>
      <c r="B4" s="53" t="s">
        <v>422</v>
      </c>
      <c r="C4" s="54" t="s">
        <v>423</v>
      </c>
      <c r="D4" s="54" t="s">
        <v>424</v>
      </c>
      <c r="E4" s="54" t="s">
        <v>425</v>
      </c>
      <c r="F4" s="54" t="s">
        <v>426</v>
      </c>
      <c r="G4" s="54" t="s">
        <v>427</v>
      </c>
      <c r="H4" s="54" t="s">
        <v>428</v>
      </c>
      <c r="I4" s="54" t="s">
        <v>429</v>
      </c>
      <c r="J4" s="54" t="s">
        <v>430</v>
      </c>
      <c r="K4" s="54" t="s">
        <v>358</v>
      </c>
      <c r="L4" s="57" t="s">
        <v>359</v>
      </c>
      <c r="M4" s="57" t="s">
        <v>360</v>
      </c>
      <c r="N4" s="57" t="s">
        <v>361</v>
      </c>
      <c r="O4" s="57" t="s">
        <v>362</v>
      </c>
    </row>
    <row r="5" spans="1:15" ht="63.75" customHeight="1" thickBot="1" x14ac:dyDescent="0.35">
      <c r="A5" s="55" t="s">
        <v>533</v>
      </c>
      <c r="B5" s="56">
        <v>13</v>
      </c>
      <c r="C5" s="56">
        <v>8</v>
      </c>
      <c r="D5" s="56">
        <v>8</v>
      </c>
      <c r="E5" s="56">
        <v>5</v>
      </c>
      <c r="F5" s="56">
        <v>7</v>
      </c>
      <c r="G5" s="56">
        <v>40</v>
      </c>
      <c r="H5" s="56">
        <v>34</v>
      </c>
      <c r="I5" s="56">
        <v>36</v>
      </c>
      <c r="J5" s="56">
        <v>24</v>
      </c>
      <c r="K5" s="56">
        <v>27</v>
      </c>
      <c r="L5" s="399">
        <v>21</v>
      </c>
      <c r="M5" s="399">
        <v>15</v>
      </c>
      <c r="N5" s="56"/>
      <c r="O5" s="56"/>
    </row>
    <row r="6" spans="1:15" ht="28.2" thickBot="1" x14ac:dyDescent="0.35">
      <c r="A6" s="55" t="s">
        <v>534</v>
      </c>
      <c r="B6" s="56">
        <v>96</v>
      </c>
      <c r="C6" s="56">
        <v>92</v>
      </c>
      <c r="D6" s="56">
        <v>82</v>
      </c>
      <c r="E6" s="56">
        <v>111</v>
      </c>
      <c r="F6" s="56">
        <v>120</v>
      </c>
      <c r="G6" s="56">
        <v>78</v>
      </c>
      <c r="H6" s="56">
        <v>92</v>
      </c>
      <c r="I6" s="56">
        <v>93</v>
      </c>
      <c r="J6" s="56">
        <v>109</v>
      </c>
      <c r="K6" s="56">
        <v>85</v>
      </c>
      <c r="L6" s="535">
        <f>38+26</f>
        <v>64</v>
      </c>
      <c r="M6" s="536">
        <f>82+38</f>
        <v>120</v>
      </c>
      <c r="N6" s="56"/>
      <c r="O6" s="56"/>
    </row>
  </sheetData>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731A3-108A-43CA-8C05-D50ED5B8871A}">
  <dimension ref="A1:P12"/>
  <sheetViews>
    <sheetView workbookViewId="0"/>
  </sheetViews>
  <sheetFormatPr baseColWidth="10" defaultColWidth="11.44140625" defaultRowHeight="14.4" x14ac:dyDescent="0.3"/>
  <cols>
    <col min="1" max="1" width="27.44140625" customWidth="1"/>
    <col min="2" max="2" width="10.44140625" customWidth="1"/>
    <col min="3" max="10" width="5.44140625" bestFit="1" customWidth="1"/>
    <col min="11" max="12" width="6.44140625" bestFit="1" customWidth="1"/>
    <col min="13" max="15" width="6.44140625" customWidth="1"/>
    <col min="16" max="16" width="11.44140625" bestFit="1" customWidth="1"/>
  </cols>
  <sheetData>
    <row r="1" spans="1:16" x14ac:dyDescent="0.3">
      <c r="A1" t="s">
        <v>355</v>
      </c>
      <c r="B1">
        <v>33</v>
      </c>
    </row>
    <row r="2" spans="1:16" x14ac:dyDescent="0.3">
      <c r="A2" t="s">
        <v>5</v>
      </c>
      <c r="B2" t="s">
        <v>50</v>
      </c>
    </row>
    <row r="3" spans="1:16" ht="15" thickBot="1" x14ac:dyDescent="0.35"/>
    <row r="4" spans="1:16" x14ac:dyDescent="0.3">
      <c r="A4" s="422" t="s">
        <v>535</v>
      </c>
      <c r="B4" s="423" t="s">
        <v>422</v>
      </c>
      <c r="C4" s="423" t="s">
        <v>423</v>
      </c>
      <c r="D4" s="423" t="s">
        <v>424</v>
      </c>
      <c r="E4" s="423" t="s">
        <v>425</v>
      </c>
      <c r="F4" s="423" t="s">
        <v>426</v>
      </c>
      <c r="G4" s="423" t="s">
        <v>427</v>
      </c>
      <c r="H4" s="423" t="s">
        <v>428</v>
      </c>
      <c r="I4" s="423" t="s">
        <v>429</v>
      </c>
      <c r="J4" s="423" t="s">
        <v>430</v>
      </c>
      <c r="K4" s="423" t="s">
        <v>358</v>
      </c>
      <c r="L4" s="423" t="s">
        <v>359</v>
      </c>
      <c r="M4" s="423" t="s">
        <v>360</v>
      </c>
      <c r="N4" s="423" t="s">
        <v>361</v>
      </c>
      <c r="O4" s="423" t="s">
        <v>362</v>
      </c>
      <c r="P4" s="423" t="s">
        <v>536</v>
      </c>
    </row>
    <row r="5" spans="1:16" x14ac:dyDescent="0.3">
      <c r="A5" s="424" t="s">
        <v>537</v>
      </c>
      <c r="B5" s="425"/>
      <c r="C5" s="425"/>
      <c r="D5" s="426">
        <v>19</v>
      </c>
      <c r="E5" s="426">
        <v>6</v>
      </c>
      <c r="F5" s="426">
        <v>2</v>
      </c>
      <c r="G5" s="426">
        <v>26</v>
      </c>
      <c r="H5" s="426">
        <v>20</v>
      </c>
      <c r="I5" s="426">
        <v>32</v>
      </c>
      <c r="J5" s="426">
        <v>21</v>
      </c>
      <c r="K5" s="426">
        <v>22</v>
      </c>
      <c r="L5" s="426">
        <v>16</v>
      </c>
      <c r="M5" s="426">
        <v>13</v>
      </c>
      <c r="N5" s="426"/>
      <c r="O5" s="426"/>
      <c r="P5" s="424">
        <f>+SUM(B5:O5)</f>
        <v>177</v>
      </c>
    </row>
    <row r="6" spans="1:16" x14ac:dyDescent="0.3">
      <c r="A6" s="424" t="s">
        <v>538</v>
      </c>
      <c r="B6" s="426">
        <v>185</v>
      </c>
      <c r="C6" s="426">
        <v>238</v>
      </c>
      <c r="D6" s="426">
        <v>1038</v>
      </c>
      <c r="E6" s="426">
        <v>80</v>
      </c>
      <c r="F6" s="426">
        <v>721</v>
      </c>
      <c r="G6" s="426">
        <v>630</v>
      </c>
      <c r="H6" s="426">
        <v>1519</v>
      </c>
      <c r="I6" s="426">
        <v>129</v>
      </c>
      <c r="J6" s="426">
        <v>1994</v>
      </c>
      <c r="K6" s="426">
        <v>1329</v>
      </c>
      <c r="L6" s="426">
        <v>1804</v>
      </c>
      <c r="M6" s="426">
        <v>226</v>
      </c>
      <c r="N6" s="426"/>
      <c r="O6" s="426"/>
      <c r="P6" s="424">
        <f t="shared" ref="P6:P11" si="0">+SUM(B6:O6)</f>
        <v>9893</v>
      </c>
    </row>
    <row r="7" spans="1:16" x14ac:dyDescent="0.3">
      <c r="A7" s="424" t="s">
        <v>539</v>
      </c>
      <c r="B7" s="426">
        <v>2</v>
      </c>
      <c r="C7" s="426">
        <v>102</v>
      </c>
      <c r="D7" s="426">
        <v>427</v>
      </c>
      <c r="E7" s="426">
        <v>409</v>
      </c>
      <c r="F7" s="426">
        <v>677</v>
      </c>
      <c r="G7" s="426">
        <v>15</v>
      </c>
      <c r="H7" s="426">
        <v>384</v>
      </c>
      <c r="I7" s="426">
        <v>267</v>
      </c>
      <c r="J7" s="426">
        <v>406</v>
      </c>
      <c r="K7" s="426">
        <v>475</v>
      </c>
      <c r="L7" s="426">
        <v>240</v>
      </c>
      <c r="M7" s="426">
        <v>100</v>
      </c>
      <c r="N7" s="426"/>
      <c r="O7" s="426"/>
      <c r="P7" s="424">
        <f t="shared" si="0"/>
        <v>3504</v>
      </c>
    </row>
    <row r="8" spans="1:16" x14ac:dyDescent="0.3">
      <c r="A8" s="424" t="s">
        <v>540</v>
      </c>
      <c r="B8" s="426">
        <v>13</v>
      </c>
      <c r="C8" s="426">
        <v>61</v>
      </c>
      <c r="D8" s="426">
        <v>175</v>
      </c>
      <c r="E8" s="426">
        <v>2752</v>
      </c>
      <c r="F8" s="426">
        <v>842</v>
      </c>
      <c r="G8" s="426">
        <v>1025</v>
      </c>
      <c r="H8" s="426">
        <v>593</v>
      </c>
      <c r="I8" s="426">
        <v>471</v>
      </c>
      <c r="J8" s="426">
        <v>375</v>
      </c>
      <c r="K8" s="426">
        <v>1177</v>
      </c>
      <c r="L8" s="426">
        <v>2633</v>
      </c>
      <c r="M8" s="426">
        <v>673</v>
      </c>
      <c r="N8" s="426"/>
      <c r="O8" s="426"/>
      <c r="P8" s="424">
        <f t="shared" si="0"/>
        <v>10790</v>
      </c>
    </row>
    <row r="9" spans="1:16" x14ac:dyDescent="0.3">
      <c r="A9" s="424" t="s">
        <v>541</v>
      </c>
      <c r="B9" s="426">
        <v>21</v>
      </c>
      <c r="C9" s="426">
        <v>86</v>
      </c>
      <c r="D9" s="426">
        <v>62</v>
      </c>
      <c r="E9" s="426">
        <v>25</v>
      </c>
      <c r="F9" s="426">
        <v>92</v>
      </c>
      <c r="G9" s="426">
        <v>56</v>
      </c>
      <c r="H9" s="426">
        <v>25</v>
      </c>
      <c r="I9" s="426">
        <v>44</v>
      </c>
      <c r="J9" s="426">
        <v>43</v>
      </c>
      <c r="K9" s="426">
        <v>12</v>
      </c>
      <c r="L9" s="426">
        <v>19</v>
      </c>
      <c r="M9" s="426">
        <v>56</v>
      </c>
      <c r="N9" s="426"/>
      <c r="O9" s="426"/>
      <c r="P9" s="424">
        <f t="shared" si="0"/>
        <v>541</v>
      </c>
    </row>
    <row r="10" spans="1:16" x14ac:dyDescent="0.3">
      <c r="A10" s="424" t="s">
        <v>542</v>
      </c>
      <c r="B10" s="426">
        <v>20</v>
      </c>
      <c r="C10" s="426">
        <v>98</v>
      </c>
      <c r="D10" s="426">
        <v>74</v>
      </c>
      <c r="E10" s="426">
        <v>220</v>
      </c>
      <c r="F10" s="426">
        <v>142</v>
      </c>
      <c r="G10" s="426">
        <v>47</v>
      </c>
      <c r="H10" s="426">
        <v>39</v>
      </c>
      <c r="I10" s="426">
        <v>18</v>
      </c>
      <c r="J10" s="426">
        <v>37</v>
      </c>
      <c r="K10" s="426">
        <v>102</v>
      </c>
      <c r="L10" s="426">
        <v>48</v>
      </c>
      <c r="M10" s="426">
        <v>737</v>
      </c>
      <c r="N10" s="426"/>
      <c r="O10" s="426"/>
      <c r="P10" s="424">
        <f t="shared" si="0"/>
        <v>1582</v>
      </c>
    </row>
    <row r="11" spans="1:16" x14ac:dyDescent="0.3">
      <c r="A11" s="424" t="s">
        <v>543</v>
      </c>
      <c r="B11" s="426">
        <v>37</v>
      </c>
      <c r="C11" s="426">
        <v>856</v>
      </c>
      <c r="D11" s="426">
        <v>1938</v>
      </c>
      <c r="E11" s="426">
        <v>1138</v>
      </c>
      <c r="F11" s="426">
        <v>2158</v>
      </c>
      <c r="G11" s="426">
        <v>489</v>
      </c>
      <c r="H11" s="426">
        <v>555</v>
      </c>
      <c r="I11" s="426">
        <v>708</v>
      </c>
      <c r="J11" s="426">
        <v>220</v>
      </c>
      <c r="K11" s="426">
        <v>928</v>
      </c>
      <c r="L11" s="426">
        <v>2201</v>
      </c>
      <c r="M11" s="426">
        <v>322</v>
      </c>
      <c r="N11" s="426"/>
      <c r="O11" s="426"/>
      <c r="P11" s="424">
        <f t="shared" si="0"/>
        <v>11550</v>
      </c>
    </row>
    <row r="12" spans="1:16" x14ac:dyDescent="0.3">
      <c r="A12" s="424" t="s">
        <v>536</v>
      </c>
      <c r="B12" s="424">
        <v>278</v>
      </c>
      <c r="C12" s="424">
        <v>1441</v>
      </c>
      <c r="D12" s="424">
        <v>3733</v>
      </c>
      <c r="E12" s="424">
        <v>4630</v>
      </c>
      <c r="F12" s="424">
        <v>4634</v>
      </c>
      <c r="G12" s="424">
        <v>2288</v>
      </c>
      <c r="H12" s="424">
        <v>3135</v>
      </c>
      <c r="I12" s="424">
        <v>1669</v>
      </c>
      <c r="J12" s="424">
        <v>3096</v>
      </c>
      <c r="K12" s="424">
        <f>SUM(K5:K11)</f>
        <v>4045</v>
      </c>
      <c r="L12" s="424">
        <f>SUM(L5:L11)</f>
        <v>6961</v>
      </c>
      <c r="M12" s="424">
        <f>SUM(M5:M11)</f>
        <v>2127</v>
      </c>
      <c r="N12" s="424"/>
      <c r="O12" s="424"/>
      <c r="P12" s="424">
        <f>+SUM(B12:O12)</f>
        <v>38037</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2AF60-0BBE-487E-89C3-363C3801C90E}">
  <dimension ref="A1:C14"/>
  <sheetViews>
    <sheetView workbookViewId="0">
      <selection activeCell="B12" sqref="B12"/>
    </sheetView>
  </sheetViews>
  <sheetFormatPr baseColWidth="10" defaultColWidth="11.44140625" defaultRowHeight="14.4" x14ac:dyDescent="0.3"/>
  <cols>
    <col min="1" max="1" width="27.44140625" customWidth="1"/>
    <col min="2" max="2" width="10.44140625" customWidth="1"/>
  </cols>
  <sheetData>
    <row r="1" spans="1:3" x14ac:dyDescent="0.3">
      <c r="A1" t="s">
        <v>355</v>
      </c>
      <c r="B1">
        <v>34</v>
      </c>
    </row>
    <row r="2" spans="1:3" x14ac:dyDescent="0.3">
      <c r="A2" t="s">
        <v>5</v>
      </c>
      <c r="B2" t="s">
        <v>51</v>
      </c>
    </row>
    <row r="3" spans="1:3" ht="15" thickBot="1" x14ac:dyDescent="0.35"/>
    <row r="4" spans="1:3" ht="15.6" thickBot="1" x14ac:dyDescent="0.35">
      <c r="A4" s="62" t="s">
        <v>535</v>
      </c>
      <c r="B4" s="51" t="s">
        <v>544</v>
      </c>
    </row>
    <row r="5" spans="1:3" ht="15.6" thickBot="1" x14ac:dyDescent="0.35">
      <c r="A5" s="63">
        <v>2019</v>
      </c>
      <c r="B5" s="63">
        <v>27</v>
      </c>
    </row>
    <row r="6" spans="1:3" ht="15.6" thickBot="1" x14ac:dyDescent="0.35">
      <c r="A6" s="63">
        <v>2020</v>
      </c>
      <c r="B6" s="63">
        <v>38</v>
      </c>
    </row>
    <row r="7" spans="1:3" ht="15.6" thickBot="1" x14ac:dyDescent="0.35">
      <c r="A7" s="63">
        <v>2021</v>
      </c>
      <c r="B7" s="63">
        <v>40</v>
      </c>
    </row>
    <row r="8" spans="1:3" ht="15.6" thickBot="1" x14ac:dyDescent="0.35">
      <c r="A8" s="63">
        <v>2022</v>
      </c>
      <c r="B8" s="63">
        <v>50</v>
      </c>
    </row>
    <row r="9" spans="1:3" ht="15.6" thickBot="1" x14ac:dyDescent="0.35">
      <c r="A9" s="63">
        <v>2023</v>
      </c>
      <c r="B9" s="63">
        <v>42</v>
      </c>
    </row>
    <row r="10" spans="1:3" ht="15.6" thickBot="1" x14ac:dyDescent="0.35">
      <c r="A10" s="63">
        <v>2024</v>
      </c>
      <c r="B10" s="63">
        <v>28</v>
      </c>
    </row>
    <row r="11" spans="1:3" ht="15.6" thickBot="1" x14ac:dyDescent="0.35">
      <c r="A11" s="63">
        <v>2025</v>
      </c>
      <c r="B11" s="63">
        <v>23</v>
      </c>
      <c r="C11" t="s">
        <v>545</v>
      </c>
    </row>
    <row r="12" spans="1:3" ht="15.6" thickBot="1" x14ac:dyDescent="0.35">
      <c r="A12" s="63" t="s">
        <v>362</v>
      </c>
      <c r="B12" s="63">
        <v>9</v>
      </c>
    </row>
    <row r="13" spans="1:3" ht="15.6" thickBot="1" x14ac:dyDescent="0.35">
      <c r="A13" s="64" t="s">
        <v>466</v>
      </c>
      <c r="B13" s="64">
        <f>SUM(B5:B12)</f>
        <v>257</v>
      </c>
    </row>
    <row r="14" spans="1:3" ht="15" thickBot="1" x14ac:dyDescent="0.35">
      <c r="A14" s="60" t="s">
        <v>536</v>
      </c>
      <c r="B14" s="60">
        <f>+B13</f>
        <v>257</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02495-6BED-4DE7-A10C-A4A48F701163}">
  <dimension ref="A1:BX18"/>
  <sheetViews>
    <sheetView topLeftCell="O1" workbookViewId="0">
      <selection activeCell="BM9" sqref="BM9"/>
    </sheetView>
  </sheetViews>
  <sheetFormatPr baseColWidth="10" defaultColWidth="11.44140625" defaultRowHeight="14.4" x14ac:dyDescent="0.3"/>
  <cols>
    <col min="1" max="1" width="27.44140625" customWidth="1"/>
    <col min="2" max="73" width="5.44140625" customWidth="1"/>
    <col min="74" max="75" width="5" bestFit="1" customWidth="1"/>
    <col min="76" max="76" width="5.44140625" bestFit="1" customWidth="1"/>
  </cols>
  <sheetData>
    <row r="1" spans="1:76" x14ac:dyDescent="0.3">
      <c r="A1" t="s">
        <v>355</v>
      </c>
      <c r="B1" t="s">
        <v>54</v>
      </c>
    </row>
    <row r="2" spans="1:76" x14ac:dyDescent="0.3">
      <c r="A2" t="s">
        <v>5</v>
      </c>
      <c r="B2" t="s">
        <v>55</v>
      </c>
    </row>
    <row r="4" spans="1:76" x14ac:dyDescent="0.3">
      <c r="A4" s="297" t="s">
        <v>546</v>
      </c>
      <c r="B4" s="297" t="s">
        <v>547</v>
      </c>
      <c r="C4" s="297"/>
      <c r="D4" s="297"/>
      <c r="E4" s="297"/>
      <c r="F4" s="297"/>
      <c r="G4" s="297" t="s">
        <v>548</v>
      </c>
      <c r="H4" s="297"/>
      <c r="I4" s="297"/>
      <c r="J4" s="297"/>
      <c r="K4" s="297"/>
      <c r="L4" s="297" t="s">
        <v>549</v>
      </c>
      <c r="M4" s="297"/>
      <c r="N4" s="297"/>
      <c r="O4" s="297"/>
      <c r="P4" s="297"/>
      <c r="Q4" s="297" t="s">
        <v>550</v>
      </c>
      <c r="R4" s="297"/>
      <c r="S4" s="297"/>
      <c r="T4" s="297"/>
      <c r="U4" s="297"/>
      <c r="V4" s="297" t="s">
        <v>551</v>
      </c>
      <c r="W4" s="297"/>
      <c r="X4" s="297"/>
      <c r="Y4" s="297"/>
      <c r="Z4" s="297"/>
      <c r="AA4" s="297" t="s">
        <v>552</v>
      </c>
      <c r="AB4" s="297"/>
      <c r="AC4" s="297"/>
      <c r="AD4" s="297"/>
      <c r="AE4" s="297"/>
      <c r="AF4" s="297" t="s">
        <v>553</v>
      </c>
      <c r="AG4" s="297"/>
      <c r="AH4" s="297"/>
      <c r="AI4" s="297"/>
      <c r="AJ4" s="297"/>
      <c r="AK4" s="297" t="s">
        <v>554</v>
      </c>
      <c r="AL4" s="297"/>
      <c r="AM4" s="297"/>
      <c r="AN4" s="297"/>
      <c r="AO4" s="297"/>
      <c r="AP4" s="297" t="s">
        <v>555</v>
      </c>
      <c r="AQ4" s="297"/>
      <c r="AR4" s="297"/>
      <c r="AS4" s="297"/>
      <c r="AT4" s="297"/>
      <c r="AU4" s="297" t="s">
        <v>556</v>
      </c>
      <c r="AV4" s="297"/>
      <c r="AW4" s="297"/>
      <c r="AX4" s="297"/>
      <c r="AY4" s="297"/>
      <c r="AZ4" s="297" t="s">
        <v>557</v>
      </c>
      <c r="BA4" s="297"/>
      <c r="BB4" s="297"/>
      <c r="BC4" s="297"/>
      <c r="BD4" s="297"/>
      <c r="BE4" s="297" t="s">
        <v>558</v>
      </c>
      <c r="BF4" s="297"/>
      <c r="BG4" s="297"/>
      <c r="BH4" s="297"/>
      <c r="BI4" s="297"/>
      <c r="BJ4" s="297" t="s">
        <v>559</v>
      </c>
      <c r="BK4" s="297"/>
      <c r="BL4" s="297"/>
      <c r="BM4" s="297"/>
      <c r="BN4" s="297"/>
      <c r="BO4" s="297" t="s">
        <v>560</v>
      </c>
      <c r="BP4" s="297"/>
      <c r="BQ4" s="297"/>
      <c r="BR4" s="297"/>
      <c r="BS4" s="297"/>
      <c r="BT4" s="297" t="s">
        <v>561</v>
      </c>
      <c r="BU4" s="297"/>
      <c r="BV4" s="297"/>
      <c r="BW4" s="297"/>
      <c r="BX4" s="297"/>
    </row>
    <row r="5" spans="1:76" x14ac:dyDescent="0.3">
      <c r="A5" s="297" t="s">
        <v>535</v>
      </c>
      <c r="B5" s="297">
        <v>2022</v>
      </c>
      <c r="C5" s="297">
        <v>2023</v>
      </c>
      <c r="D5" s="297">
        <v>2024</v>
      </c>
      <c r="E5" s="297">
        <v>2025</v>
      </c>
      <c r="F5" s="297">
        <v>2026</v>
      </c>
      <c r="G5" s="297">
        <v>2022</v>
      </c>
      <c r="H5" s="297">
        <v>2023</v>
      </c>
      <c r="I5" s="297">
        <v>2024</v>
      </c>
      <c r="J5" s="297">
        <v>2025</v>
      </c>
      <c r="K5" s="297">
        <v>2026</v>
      </c>
      <c r="L5" s="297">
        <v>2022</v>
      </c>
      <c r="M5" s="297">
        <v>2023</v>
      </c>
      <c r="N5" s="297">
        <v>2024</v>
      </c>
      <c r="O5" s="297">
        <v>2025</v>
      </c>
      <c r="P5" s="297">
        <v>2026</v>
      </c>
      <c r="Q5" s="297">
        <v>2022</v>
      </c>
      <c r="R5" s="297">
        <v>2023</v>
      </c>
      <c r="S5" s="297">
        <v>2024</v>
      </c>
      <c r="T5" s="297">
        <v>2025</v>
      </c>
      <c r="U5" s="297">
        <v>2026</v>
      </c>
      <c r="V5" s="297">
        <v>2022</v>
      </c>
      <c r="W5" s="297">
        <v>2023</v>
      </c>
      <c r="X5" s="297">
        <v>2024</v>
      </c>
      <c r="Y5" s="297">
        <v>2025</v>
      </c>
      <c r="Z5" s="297">
        <v>2026</v>
      </c>
      <c r="AA5" s="297">
        <v>2022</v>
      </c>
      <c r="AB5" s="297">
        <v>2023</v>
      </c>
      <c r="AC5" s="297">
        <v>2024</v>
      </c>
      <c r="AD5" s="297">
        <v>2025</v>
      </c>
      <c r="AE5" s="297">
        <v>2026</v>
      </c>
      <c r="AF5" s="297">
        <v>2022</v>
      </c>
      <c r="AG5" s="297">
        <v>2023</v>
      </c>
      <c r="AH5" s="297">
        <v>2024</v>
      </c>
      <c r="AI5" s="297">
        <v>2025</v>
      </c>
      <c r="AJ5" s="297">
        <v>2026</v>
      </c>
      <c r="AK5" s="297">
        <v>2022</v>
      </c>
      <c r="AL5" s="297">
        <v>2023</v>
      </c>
      <c r="AM5" s="297">
        <v>2024</v>
      </c>
      <c r="AN5" s="297">
        <v>2025</v>
      </c>
      <c r="AO5" s="297">
        <v>2026</v>
      </c>
      <c r="AP5" s="297">
        <v>2022</v>
      </c>
      <c r="AQ5" s="297">
        <v>2023</v>
      </c>
      <c r="AR5" s="297">
        <v>2024</v>
      </c>
      <c r="AS5" s="297">
        <v>2025</v>
      </c>
      <c r="AT5" s="297">
        <v>2026</v>
      </c>
      <c r="AU5" s="297">
        <v>2022</v>
      </c>
      <c r="AV5" s="297">
        <v>2023</v>
      </c>
      <c r="AW5" s="297">
        <v>2024</v>
      </c>
      <c r="AX5" s="297">
        <v>2025</v>
      </c>
      <c r="AY5" s="297">
        <v>2026</v>
      </c>
      <c r="AZ5" s="297">
        <v>2022</v>
      </c>
      <c r="BA5" s="297">
        <v>2023</v>
      </c>
      <c r="BB5" s="297">
        <v>2024</v>
      </c>
      <c r="BC5" s="297">
        <v>2025</v>
      </c>
      <c r="BD5" s="297">
        <v>2026</v>
      </c>
      <c r="BE5" s="297">
        <v>2022</v>
      </c>
      <c r="BF5" s="297">
        <v>2023</v>
      </c>
      <c r="BG5" s="297">
        <v>2024</v>
      </c>
      <c r="BH5" s="297">
        <v>2025</v>
      </c>
      <c r="BI5" s="297">
        <v>2026</v>
      </c>
      <c r="BJ5" s="297">
        <v>2022</v>
      </c>
      <c r="BK5" s="297">
        <v>2023</v>
      </c>
      <c r="BL5" s="297">
        <v>2024</v>
      </c>
      <c r="BM5" s="589">
        <v>2025</v>
      </c>
      <c r="BN5" s="589">
        <v>2026</v>
      </c>
      <c r="BO5" s="297">
        <v>2022</v>
      </c>
      <c r="BP5" s="297">
        <v>2023</v>
      </c>
      <c r="BQ5" s="297">
        <v>2024</v>
      </c>
      <c r="BR5" s="297">
        <v>2025</v>
      </c>
      <c r="BS5" s="297">
        <v>2026</v>
      </c>
      <c r="BT5" s="297">
        <v>2022</v>
      </c>
      <c r="BU5" s="297">
        <v>2023</v>
      </c>
      <c r="BV5" s="297">
        <v>2024</v>
      </c>
      <c r="BW5" s="297">
        <v>2025</v>
      </c>
      <c r="BX5" s="297">
        <v>2026</v>
      </c>
    </row>
    <row r="6" spans="1:76" x14ac:dyDescent="0.3">
      <c r="A6" s="240" t="s">
        <v>562</v>
      </c>
      <c r="B6" s="240">
        <v>54</v>
      </c>
      <c r="C6" s="240">
        <v>48</v>
      </c>
      <c r="D6" s="240">
        <v>43</v>
      </c>
      <c r="E6" s="240">
        <v>33</v>
      </c>
      <c r="F6" s="240">
        <v>45</v>
      </c>
      <c r="G6" s="240" t="s">
        <v>515</v>
      </c>
      <c r="H6" s="240">
        <v>45</v>
      </c>
      <c r="I6" s="240">
        <v>55</v>
      </c>
      <c r="J6" s="240">
        <v>38</v>
      </c>
      <c r="K6" s="240">
        <v>50</v>
      </c>
      <c r="L6" s="240">
        <v>46</v>
      </c>
      <c r="M6" s="240">
        <v>46</v>
      </c>
      <c r="N6" s="240">
        <v>43</v>
      </c>
      <c r="O6" s="240">
        <v>33</v>
      </c>
      <c r="P6" s="240">
        <v>40</v>
      </c>
      <c r="Q6" s="240">
        <v>49</v>
      </c>
      <c r="R6" s="240">
        <v>44</v>
      </c>
      <c r="S6" s="240">
        <v>47</v>
      </c>
      <c r="T6" s="240">
        <v>36</v>
      </c>
      <c r="U6" s="240">
        <v>38</v>
      </c>
      <c r="V6" s="240">
        <v>32</v>
      </c>
      <c r="W6" s="240">
        <v>30</v>
      </c>
      <c r="X6" s="240">
        <v>31</v>
      </c>
      <c r="Y6" s="240">
        <v>30</v>
      </c>
      <c r="Z6" s="240">
        <v>26</v>
      </c>
      <c r="AA6" s="240">
        <v>29</v>
      </c>
      <c r="AB6" s="240">
        <v>25</v>
      </c>
      <c r="AC6" s="240">
        <v>21</v>
      </c>
      <c r="AD6" s="240">
        <v>24</v>
      </c>
      <c r="AE6" s="240">
        <v>16</v>
      </c>
      <c r="AF6" s="240">
        <v>29</v>
      </c>
      <c r="AG6" s="240">
        <v>23</v>
      </c>
      <c r="AH6" s="240">
        <v>38</v>
      </c>
      <c r="AI6" s="240">
        <v>32</v>
      </c>
      <c r="AJ6" s="240">
        <v>36</v>
      </c>
      <c r="AK6" s="240">
        <v>32</v>
      </c>
      <c r="AL6" s="240">
        <v>28</v>
      </c>
      <c r="AM6" s="240">
        <v>16</v>
      </c>
      <c r="AN6" s="240">
        <v>13</v>
      </c>
      <c r="AO6" s="240">
        <v>9</v>
      </c>
      <c r="AP6" s="240">
        <v>27</v>
      </c>
      <c r="AQ6" s="240">
        <v>22</v>
      </c>
      <c r="AR6" s="240">
        <v>17</v>
      </c>
      <c r="AS6" s="240">
        <v>16</v>
      </c>
      <c r="AT6" s="240">
        <v>12</v>
      </c>
      <c r="AU6" s="240" t="s">
        <v>515</v>
      </c>
      <c r="AV6" s="240">
        <v>26</v>
      </c>
      <c r="AW6" s="240">
        <v>22</v>
      </c>
      <c r="AX6" s="240">
        <v>22</v>
      </c>
      <c r="AY6" s="240">
        <v>25</v>
      </c>
      <c r="AZ6" s="240">
        <v>26</v>
      </c>
      <c r="BA6" s="240">
        <v>23</v>
      </c>
      <c r="BB6" s="240">
        <v>25</v>
      </c>
      <c r="BC6" s="240">
        <v>23</v>
      </c>
      <c r="BD6" s="240">
        <v>14</v>
      </c>
      <c r="BE6" s="240">
        <v>35</v>
      </c>
      <c r="BF6" s="240">
        <v>32</v>
      </c>
      <c r="BG6" s="240">
        <v>36</v>
      </c>
      <c r="BH6" s="240">
        <v>33</v>
      </c>
      <c r="BI6" s="240">
        <v>38</v>
      </c>
      <c r="BJ6" s="240">
        <v>21</v>
      </c>
      <c r="BK6" s="240">
        <v>15</v>
      </c>
      <c r="BL6" s="240">
        <v>17</v>
      </c>
      <c r="BM6" s="240">
        <v>16</v>
      </c>
      <c r="BN6" s="240">
        <v>12</v>
      </c>
      <c r="BO6" s="240">
        <v>16</v>
      </c>
      <c r="BP6" s="240">
        <v>14</v>
      </c>
      <c r="BQ6" s="240">
        <v>13</v>
      </c>
      <c r="BR6" s="240">
        <v>14</v>
      </c>
      <c r="BS6" s="240">
        <v>8</v>
      </c>
      <c r="BT6" s="240">
        <v>9</v>
      </c>
      <c r="BU6" s="240">
        <v>9</v>
      </c>
      <c r="BV6" s="240">
        <v>7</v>
      </c>
      <c r="BW6" s="240">
        <v>9</v>
      </c>
      <c r="BX6" s="240">
        <v>6</v>
      </c>
    </row>
    <row r="7" spans="1:76" x14ac:dyDescent="0.3">
      <c r="A7" s="240" t="s">
        <v>563</v>
      </c>
      <c r="B7" s="240">
        <v>29</v>
      </c>
      <c r="C7" s="240">
        <v>34</v>
      </c>
      <c r="D7" s="240">
        <v>26</v>
      </c>
      <c r="E7" s="240">
        <v>33</v>
      </c>
      <c r="F7" s="240">
        <v>28</v>
      </c>
      <c r="G7" s="240" t="s">
        <v>515</v>
      </c>
      <c r="H7" s="240">
        <v>36</v>
      </c>
      <c r="I7" s="240">
        <v>30</v>
      </c>
      <c r="J7" s="240">
        <v>34</v>
      </c>
      <c r="K7" s="240">
        <v>34</v>
      </c>
      <c r="L7" s="240">
        <v>36</v>
      </c>
      <c r="M7" s="240">
        <v>34</v>
      </c>
      <c r="N7" s="240">
        <v>35</v>
      </c>
      <c r="O7" s="240">
        <v>39</v>
      </c>
      <c r="P7" s="240">
        <v>32</v>
      </c>
      <c r="Q7" s="240">
        <v>34</v>
      </c>
      <c r="R7" s="240">
        <v>34</v>
      </c>
      <c r="S7" s="240">
        <v>29</v>
      </c>
      <c r="T7" s="240">
        <v>41</v>
      </c>
      <c r="U7" s="240">
        <v>31</v>
      </c>
      <c r="V7" s="240">
        <v>35</v>
      </c>
      <c r="W7" s="240">
        <v>39</v>
      </c>
      <c r="X7" s="240">
        <v>35</v>
      </c>
      <c r="Y7" s="240">
        <v>35</v>
      </c>
      <c r="Z7" s="240">
        <v>34</v>
      </c>
      <c r="AA7" s="240">
        <v>33</v>
      </c>
      <c r="AB7" s="240">
        <v>33</v>
      </c>
      <c r="AC7" s="240">
        <v>34</v>
      </c>
      <c r="AD7" s="240">
        <v>33</v>
      </c>
      <c r="AE7" s="240">
        <v>27</v>
      </c>
      <c r="AF7" s="240">
        <v>37</v>
      </c>
      <c r="AG7" s="240">
        <v>34</v>
      </c>
      <c r="AH7" s="240">
        <v>33</v>
      </c>
      <c r="AI7" s="240">
        <v>33</v>
      </c>
      <c r="AJ7" s="240">
        <v>34</v>
      </c>
      <c r="AK7" s="240">
        <v>28</v>
      </c>
      <c r="AL7" s="240">
        <v>29</v>
      </c>
      <c r="AM7" s="240">
        <v>16</v>
      </c>
      <c r="AN7" s="240">
        <v>21</v>
      </c>
      <c r="AO7" s="240">
        <v>13</v>
      </c>
      <c r="AP7" s="240">
        <v>38</v>
      </c>
      <c r="AQ7" s="240">
        <v>35</v>
      </c>
      <c r="AR7" s="240">
        <v>27</v>
      </c>
      <c r="AS7" s="240">
        <v>27</v>
      </c>
      <c r="AT7" s="240">
        <v>25</v>
      </c>
      <c r="AU7" s="240" t="s">
        <v>515</v>
      </c>
      <c r="AV7" s="240">
        <v>30</v>
      </c>
      <c r="AW7" s="240">
        <v>24</v>
      </c>
      <c r="AX7" s="240">
        <v>27</v>
      </c>
      <c r="AY7" s="240">
        <v>23</v>
      </c>
      <c r="AZ7" s="240">
        <v>34</v>
      </c>
      <c r="BA7" s="240">
        <v>32</v>
      </c>
      <c r="BB7" s="240">
        <v>29</v>
      </c>
      <c r="BC7" s="240">
        <v>28</v>
      </c>
      <c r="BD7" s="240">
        <v>29</v>
      </c>
      <c r="BE7" s="240">
        <v>23</v>
      </c>
      <c r="BF7" s="240">
        <v>24</v>
      </c>
      <c r="BG7" s="240">
        <v>27</v>
      </c>
      <c r="BH7" s="240">
        <v>34</v>
      </c>
      <c r="BI7" s="240">
        <v>26</v>
      </c>
      <c r="BJ7" s="240">
        <v>36</v>
      </c>
      <c r="BK7" s="240">
        <v>35</v>
      </c>
      <c r="BL7" s="240">
        <v>27</v>
      </c>
      <c r="BM7" s="240">
        <v>27</v>
      </c>
      <c r="BN7" s="240">
        <v>25</v>
      </c>
      <c r="BO7" s="240">
        <v>27</v>
      </c>
      <c r="BP7" s="240">
        <v>28</v>
      </c>
      <c r="BQ7" s="240">
        <v>21</v>
      </c>
      <c r="BR7" s="240">
        <v>25</v>
      </c>
      <c r="BS7" s="240">
        <v>17</v>
      </c>
      <c r="BT7" s="240">
        <v>22</v>
      </c>
      <c r="BU7" s="240">
        <v>21</v>
      </c>
      <c r="BV7" s="240">
        <v>18</v>
      </c>
      <c r="BW7" s="240">
        <v>21</v>
      </c>
      <c r="BX7" s="240">
        <v>13</v>
      </c>
    </row>
    <row r="8" spans="1:76" x14ac:dyDescent="0.3">
      <c r="A8" s="240" t="s">
        <v>564</v>
      </c>
      <c r="B8" s="240">
        <v>8</v>
      </c>
      <c r="C8" s="240">
        <v>11</v>
      </c>
      <c r="D8" s="240">
        <v>21</v>
      </c>
      <c r="E8" s="240">
        <v>23</v>
      </c>
      <c r="F8" s="240">
        <v>16</v>
      </c>
      <c r="G8" s="240" t="s">
        <v>515</v>
      </c>
      <c r="H8" s="240">
        <v>15</v>
      </c>
      <c r="I8" s="240">
        <v>11</v>
      </c>
      <c r="J8" s="240">
        <v>17</v>
      </c>
      <c r="K8" s="240">
        <v>10</v>
      </c>
      <c r="L8" s="240">
        <v>13</v>
      </c>
      <c r="M8" s="240">
        <v>15</v>
      </c>
      <c r="N8" s="240">
        <v>17</v>
      </c>
      <c r="O8" s="240">
        <v>20</v>
      </c>
      <c r="P8" s="240">
        <v>23</v>
      </c>
      <c r="Q8" s="240">
        <v>10</v>
      </c>
      <c r="R8" s="240">
        <v>12</v>
      </c>
      <c r="S8" s="240">
        <v>17</v>
      </c>
      <c r="T8" s="240">
        <v>15</v>
      </c>
      <c r="U8" s="240">
        <v>16</v>
      </c>
      <c r="V8" s="240">
        <v>19</v>
      </c>
      <c r="W8" s="240">
        <v>20</v>
      </c>
      <c r="X8" s="240">
        <v>23</v>
      </c>
      <c r="Y8" s="240">
        <v>23</v>
      </c>
      <c r="Z8" s="240">
        <v>29</v>
      </c>
      <c r="AA8" s="240">
        <v>21</v>
      </c>
      <c r="AB8" s="240">
        <v>24</v>
      </c>
      <c r="AC8" s="240">
        <v>25</v>
      </c>
      <c r="AD8" s="240">
        <v>24</v>
      </c>
      <c r="AE8" s="240">
        <v>28</v>
      </c>
      <c r="AF8" s="240">
        <v>23</v>
      </c>
      <c r="AG8" s="240">
        <v>31</v>
      </c>
      <c r="AH8" s="240">
        <v>19</v>
      </c>
      <c r="AI8" s="240">
        <v>25</v>
      </c>
      <c r="AJ8" s="240">
        <v>20</v>
      </c>
      <c r="AK8" s="240">
        <v>17</v>
      </c>
      <c r="AL8" s="240">
        <v>19</v>
      </c>
      <c r="AM8" s="240">
        <v>26</v>
      </c>
      <c r="AN8" s="240">
        <v>23</v>
      </c>
      <c r="AO8" s="240">
        <v>21</v>
      </c>
      <c r="AP8" s="240">
        <v>25</v>
      </c>
      <c r="AQ8" s="240">
        <v>30</v>
      </c>
      <c r="AR8" s="240">
        <v>32</v>
      </c>
      <c r="AS8" s="240">
        <v>30</v>
      </c>
      <c r="AT8" s="240">
        <v>28</v>
      </c>
      <c r="AU8" s="240" t="s">
        <v>515</v>
      </c>
      <c r="AV8" s="240">
        <v>18</v>
      </c>
      <c r="AW8" s="240">
        <v>20</v>
      </c>
      <c r="AX8" s="240">
        <v>24</v>
      </c>
      <c r="AY8" s="240">
        <v>21</v>
      </c>
      <c r="AZ8" s="240">
        <v>25</v>
      </c>
      <c r="BA8" s="240">
        <v>30</v>
      </c>
      <c r="BB8" s="240">
        <v>27</v>
      </c>
      <c r="BC8" s="240">
        <v>26</v>
      </c>
      <c r="BD8" s="240">
        <v>26</v>
      </c>
      <c r="BE8" s="240">
        <v>15</v>
      </c>
      <c r="BF8" s="240">
        <v>17</v>
      </c>
      <c r="BG8" s="240">
        <v>15</v>
      </c>
      <c r="BH8" s="240">
        <v>16</v>
      </c>
      <c r="BI8" s="240">
        <v>16</v>
      </c>
      <c r="BJ8" s="240">
        <v>27</v>
      </c>
      <c r="BK8" s="240">
        <v>31</v>
      </c>
      <c r="BL8" s="240">
        <v>32</v>
      </c>
      <c r="BM8" s="240">
        <v>30</v>
      </c>
      <c r="BN8" s="240">
        <v>28</v>
      </c>
      <c r="BO8" s="240">
        <v>29</v>
      </c>
      <c r="BP8" s="240">
        <v>28</v>
      </c>
      <c r="BQ8" s="240">
        <v>32</v>
      </c>
      <c r="BR8" s="240">
        <v>25</v>
      </c>
      <c r="BS8" s="240">
        <v>32</v>
      </c>
      <c r="BT8" s="240">
        <v>36</v>
      </c>
      <c r="BU8" s="240">
        <v>31</v>
      </c>
      <c r="BV8" s="240">
        <v>38</v>
      </c>
      <c r="BW8" s="240">
        <v>31</v>
      </c>
      <c r="BX8" s="240">
        <v>32</v>
      </c>
    </row>
    <row r="9" spans="1:76" x14ac:dyDescent="0.3">
      <c r="A9" s="240" t="s">
        <v>565</v>
      </c>
      <c r="B9" s="240">
        <v>9</v>
      </c>
      <c r="C9" s="240">
        <v>7</v>
      </c>
      <c r="D9" s="240">
        <v>11</v>
      </c>
      <c r="E9" s="240">
        <v>11</v>
      </c>
      <c r="F9" s="240">
        <v>12</v>
      </c>
      <c r="G9" s="240" t="s">
        <v>515</v>
      </c>
      <c r="H9" s="240">
        <v>4</v>
      </c>
      <c r="I9" s="240">
        <v>4</v>
      </c>
      <c r="J9" s="240">
        <v>11</v>
      </c>
      <c r="K9" s="240">
        <v>6</v>
      </c>
      <c r="L9" s="240">
        <v>5</v>
      </c>
      <c r="M9" s="240">
        <v>5</v>
      </c>
      <c r="N9" s="240">
        <v>5</v>
      </c>
      <c r="O9" s="240">
        <v>8</v>
      </c>
      <c r="P9" s="240">
        <v>5</v>
      </c>
      <c r="Q9" s="240">
        <v>7</v>
      </c>
      <c r="R9" s="240">
        <v>10</v>
      </c>
      <c r="S9" s="240">
        <v>7</v>
      </c>
      <c r="T9" s="240">
        <v>9</v>
      </c>
      <c r="U9" s="240">
        <v>15</v>
      </c>
      <c r="V9" s="240">
        <v>14</v>
      </c>
      <c r="W9" s="240">
        <v>11</v>
      </c>
      <c r="X9" s="240">
        <v>11</v>
      </c>
      <c r="Y9" s="240">
        <v>13</v>
      </c>
      <c r="Z9" s="240">
        <v>11</v>
      </c>
      <c r="AA9" s="240">
        <v>17</v>
      </c>
      <c r="AB9" s="240">
        <v>18</v>
      </c>
      <c r="AC9" s="240">
        <v>20</v>
      </c>
      <c r="AD9" s="240">
        <v>20</v>
      </c>
      <c r="AE9" s="240">
        <v>30</v>
      </c>
      <c r="AF9" s="240">
        <v>11</v>
      </c>
      <c r="AG9" s="240">
        <v>12</v>
      </c>
      <c r="AH9" s="240">
        <v>10</v>
      </c>
      <c r="AI9" s="240">
        <v>10</v>
      </c>
      <c r="AJ9" s="240">
        <v>10</v>
      </c>
      <c r="AK9" s="240">
        <v>23</v>
      </c>
      <c r="AL9" s="240">
        <v>24</v>
      </c>
      <c r="AM9" s="240">
        <v>42</v>
      </c>
      <c r="AN9" s="240">
        <v>43</v>
      </c>
      <c r="AO9" s="240">
        <v>57</v>
      </c>
      <c r="AP9" s="240">
        <v>10</v>
      </c>
      <c r="AQ9" s="240">
        <v>13</v>
      </c>
      <c r="AR9" s="240">
        <v>23</v>
      </c>
      <c r="AS9" s="240">
        <v>28</v>
      </c>
      <c r="AT9" s="240">
        <v>36</v>
      </c>
      <c r="AU9" s="240" t="s">
        <v>515</v>
      </c>
      <c r="AV9" s="240">
        <v>26</v>
      </c>
      <c r="AW9" s="240">
        <v>34</v>
      </c>
      <c r="AX9" s="240">
        <v>27</v>
      </c>
      <c r="AY9" s="240">
        <v>31</v>
      </c>
      <c r="AZ9" s="240">
        <v>15</v>
      </c>
      <c r="BA9" s="240">
        <v>15</v>
      </c>
      <c r="BB9" s="240">
        <v>19</v>
      </c>
      <c r="BC9" s="240">
        <v>24</v>
      </c>
      <c r="BD9" s="240">
        <v>32</v>
      </c>
      <c r="BE9" s="240">
        <v>27</v>
      </c>
      <c r="BF9" s="240">
        <v>27</v>
      </c>
      <c r="BG9" s="240">
        <v>22</v>
      </c>
      <c r="BH9" s="240">
        <v>17</v>
      </c>
      <c r="BI9" s="240">
        <v>20</v>
      </c>
      <c r="BJ9" s="240">
        <v>16</v>
      </c>
      <c r="BK9" s="240">
        <v>19</v>
      </c>
      <c r="BL9" s="240">
        <v>24</v>
      </c>
      <c r="BM9" s="240">
        <v>28</v>
      </c>
      <c r="BN9" s="240">
        <v>36</v>
      </c>
      <c r="BO9" s="240">
        <v>28</v>
      </c>
      <c r="BP9" s="240">
        <v>30</v>
      </c>
      <c r="BQ9" s="240">
        <v>34</v>
      </c>
      <c r="BR9" s="240">
        <v>36</v>
      </c>
      <c r="BS9" s="240">
        <v>43</v>
      </c>
      <c r="BT9" s="240">
        <v>33</v>
      </c>
      <c r="BU9" s="240">
        <v>39</v>
      </c>
      <c r="BV9" s="240">
        <v>37</v>
      </c>
      <c r="BW9" s="240">
        <v>39</v>
      </c>
      <c r="BX9" s="240">
        <v>48</v>
      </c>
    </row>
    <row r="18" spans="14:16" x14ac:dyDescent="0.3">
      <c r="N18" s="325"/>
      <c r="O18" s="325"/>
      <c r="P18" s="325"/>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2EA90-6B8A-4D2B-8489-494EB34D9BF6}">
  <dimension ref="A1:K18"/>
  <sheetViews>
    <sheetView workbookViewId="0">
      <selection activeCell="J5" sqref="J5"/>
    </sheetView>
  </sheetViews>
  <sheetFormatPr baseColWidth="10" defaultColWidth="11.44140625" defaultRowHeight="14.4" x14ac:dyDescent="0.3"/>
  <cols>
    <col min="1" max="1" width="27.44140625" customWidth="1"/>
    <col min="2" max="2" width="10.44140625" customWidth="1"/>
    <col min="3" max="6" width="9.44140625" customWidth="1"/>
    <col min="7" max="7" width="5.44140625" bestFit="1" customWidth="1"/>
    <col min="8" max="8" width="7.44140625" customWidth="1"/>
    <col min="9" max="10" width="8" customWidth="1"/>
    <col min="11" max="11" width="9.44140625" bestFit="1" customWidth="1"/>
    <col min="12" max="12" width="5.44140625" bestFit="1" customWidth="1"/>
    <col min="13" max="13" width="6.44140625" bestFit="1" customWidth="1"/>
    <col min="14" max="14" width="5.44140625" bestFit="1" customWidth="1"/>
    <col min="15" max="15" width="6.44140625" bestFit="1" customWidth="1"/>
    <col min="16" max="16" width="5.44140625" bestFit="1" customWidth="1"/>
    <col min="17" max="17" width="7" bestFit="1" customWidth="1"/>
    <col min="18" max="18" width="5.44140625" bestFit="1" customWidth="1"/>
    <col min="19" max="19" width="6.44140625" bestFit="1" customWidth="1"/>
    <col min="20" max="22" width="5.44140625" bestFit="1" customWidth="1"/>
  </cols>
  <sheetData>
    <row r="1" spans="1:11" x14ac:dyDescent="0.3">
      <c r="A1" t="s">
        <v>355</v>
      </c>
      <c r="B1" t="s">
        <v>59</v>
      </c>
    </row>
    <row r="2" spans="1:11" x14ac:dyDescent="0.3">
      <c r="A2" t="s">
        <v>5</v>
      </c>
      <c r="B2" t="s">
        <v>60</v>
      </c>
    </row>
    <row r="5" spans="1:11" ht="57.6" x14ac:dyDescent="0.3">
      <c r="A5" s="299" t="s">
        <v>566</v>
      </c>
      <c r="B5" s="299" t="s">
        <v>567</v>
      </c>
      <c r="C5" s="299" t="s">
        <v>568</v>
      </c>
      <c r="D5" s="299" t="s">
        <v>569</v>
      </c>
      <c r="E5" s="299" t="s">
        <v>570</v>
      </c>
      <c r="F5" s="299" t="s">
        <v>571</v>
      </c>
      <c r="G5" s="299" t="s">
        <v>572</v>
      </c>
      <c r="H5" s="299" t="s">
        <v>573</v>
      </c>
      <c r="I5" s="299" t="s">
        <v>574</v>
      </c>
      <c r="J5" s="298" t="s">
        <v>575</v>
      </c>
      <c r="K5" s="298" t="s">
        <v>576</v>
      </c>
    </row>
    <row r="6" spans="1:11" x14ac:dyDescent="0.3">
      <c r="A6" s="300" t="s">
        <v>577</v>
      </c>
      <c r="B6" s="300">
        <v>0</v>
      </c>
      <c r="C6" s="300">
        <v>0</v>
      </c>
      <c r="D6" s="300">
        <v>98</v>
      </c>
      <c r="E6" s="300">
        <v>98</v>
      </c>
      <c r="F6" s="300">
        <v>99</v>
      </c>
      <c r="G6" s="300">
        <v>76</v>
      </c>
      <c r="H6" s="300">
        <v>71</v>
      </c>
      <c r="I6" s="300">
        <v>91</v>
      </c>
      <c r="J6" s="300">
        <v>94</v>
      </c>
      <c r="K6" s="300">
        <v>93</v>
      </c>
    </row>
    <row r="7" spans="1:11" x14ac:dyDescent="0.3">
      <c r="A7" s="300" t="s">
        <v>578</v>
      </c>
      <c r="B7" s="300">
        <v>25</v>
      </c>
      <c r="C7" s="300">
        <v>25</v>
      </c>
      <c r="D7" s="300">
        <v>88</v>
      </c>
      <c r="E7" s="300">
        <v>88</v>
      </c>
      <c r="F7" s="300">
        <v>90</v>
      </c>
      <c r="G7" s="300">
        <v>31</v>
      </c>
      <c r="H7" s="300">
        <v>29</v>
      </c>
      <c r="I7" s="300">
        <v>46</v>
      </c>
      <c r="J7" s="300">
        <v>48</v>
      </c>
      <c r="K7" s="300">
        <v>57</v>
      </c>
    </row>
    <row r="8" spans="1:11" x14ac:dyDescent="0.3">
      <c r="A8" s="300" t="s">
        <v>579</v>
      </c>
      <c r="B8" s="300">
        <v>19</v>
      </c>
      <c r="C8" s="300">
        <v>19</v>
      </c>
      <c r="D8" s="300">
        <v>64</v>
      </c>
      <c r="E8" s="300">
        <v>65</v>
      </c>
      <c r="F8" s="300">
        <v>58</v>
      </c>
      <c r="G8" s="300">
        <v>27</v>
      </c>
      <c r="H8" s="300">
        <v>25</v>
      </c>
      <c r="I8" s="300">
        <v>25</v>
      </c>
      <c r="J8" s="300">
        <v>25</v>
      </c>
      <c r="K8" s="300">
        <v>24</v>
      </c>
    </row>
    <row r="9" spans="1:11" ht="28.8" x14ac:dyDescent="0.3">
      <c r="A9" s="300" t="s">
        <v>580</v>
      </c>
      <c r="B9" s="300">
        <v>15</v>
      </c>
      <c r="C9" s="300">
        <v>16</v>
      </c>
      <c r="D9" s="300">
        <v>57</v>
      </c>
      <c r="E9" s="300">
        <v>57</v>
      </c>
      <c r="F9" s="300">
        <v>52</v>
      </c>
      <c r="G9" s="300">
        <v>16</v>
      </c>
      <c r="H9" s="300">
        <v>18</v>
      </c>
      <c r="I9" s="300">
        <v>19</v>
      </c>
      <c r="J9" s="300">
        <v>15</v>
      </c>
      <c r="K9" s="300">
        <v>19</v>
      </c>
    </row>
    <row r="10" spans="1:11" ht="28.8" x14ac:dyDescent="0.3">
      <c r="A10" s="300" t="s">
        <v>581</v>
      </c>
      <c r="B10" s="300">
        <v>16</v>
      </c>
      <c r="C10" s="300">
        <v>14</v>
      </c>
      <c r="D10" s="300">
        <v>74</v>
      </c>
      <c r="E10" s="300">
        <v>74</v>
      </c>
      <c r="F10" s="300">
        <v>72</v>
      </c>
      <c r="G10" s="300">
        <v>14</v>
      </c>
      <c r="H10" s="300">
        <v>15</v>
      </c>
      <c r="I10" s="300">
        <v>26</v>
      </c>
      <c r="J10" s="300">
        <v>23</v>
      </c>
      <c r="K10" s="300">
        <v>28</v>
      </c>
    </row>
    <row r="11" spans="1:11" x14ac:dyDescent="0.3">
      <c r="A11" s="300" t="s">
        <v>560</v>
      </c>
      <c r="B11" s="300">
        <v>13</v>
      </c>
      <c r="C11" s="300">
        <v>14</v>
      </c>
      <c r="D11" s="300">
        <v>57</v>
      </c>
      <c r="E11" s="300">
        <v>57</v>
      </c>
      <c r="F11" s="300">
        <v>48</v>
      </c>
      <c r="G11" s="300">
        <v>17</v>
      </c>
      <c r="H11" s="300">
        <v>16</v>
      </c>
      <c r="I11" s="300">
        <v>20</v>
      </c>
      <c r="J11" s="300">
        <v>17</v>
      </c>
      <c r="K11" s="300">
        <v>17</v>
      </c>
    </row>
    <row r="12" spans="1:11" ht="28.8" x14ac:dyDescent="0.3">
      <c r="A12" s="300" t="s">
        <v>582</v>
      </c>
      <c r="B12" s="300">
        <v>12</v>
      </c>
      <c r="C12" s="300">
        <v>13</v>
      </c>
      <c r="D12" s="300">
        <v>57</v>
      </c>
      <c r="E12" s="300">
        <v>57</v>
      </c>
      <c r="F12" s="300">
        <v>50</v>
      </c>
      <c r="G12" s="300">
        <v>13</v>
      </c>
      <c r="H12" s="300">
        <v>15</v>
      </c>
      <c r="I12" s="300">
        <v>20</v>
      </c>
      <c r="J12" s="300">
        <v>11</v>
      </c>
      <c r="K12" s="300">
        <v>17</v>
      </c>
    </row>
    <row r="13" spans="1:11" x14ac:dyDescent="0.3">
      <c r="A13" s="300" t="s">
        <v>583</v>
      </c>
      <c r="B13" s="300">
        <v>11</v>
      </c>
      <c r="C13" s="300">
        <v>11</v>
      </c>
      <c r="D13" s="300">
        <v>53</v>
      </c>
      <c r="E13" s="300">
        <v>54</v>
      </c>
      <c r="F13" s="300">
        <v>53</v>
      </c>
      <c r="G13" s="300">
        <v>11</v>
      </c>
      <c r="H13" s="300">
        <v>14</v>
      </c>
      <c r="I13" s="300">
        <v>17</v>
      </c>
      <c r="J13" s="300">
        <v>17</v>
      </c>
      <c r="K13" s="300">
        <v>17</v>
      </c>
    </row>
    <row r="14" spans="1:11" x14ac:dyDescent="0.3">
      <c r="A14" s="300" t="s">
        <v>584</v>
      </c>
      <c r="B14" s="300">
        <v>12</v>
      </c>
      <c r="C14" s="300">
        <v>10</v>
      </c>
      <c r="D14" s="300">
        <v>51</v>
      </c>
      <c r="E14" s="300">
        <v>51</v>
      </c>
      <c r="F14" s="300">
        <v>41</v>
      </c>
      <c r="G14" s="300">
        <v>12</v>
      </c>
      <c r="H14" s="300">
        <v>12</v>
      </c>
      <c r="I14" s="300">
        <v>14</v>
      </c>
      <c r="J14" s="300">
        <v>13</v>
      </c>
      <c r="K14" s="300">
        <v>12</v>
      </c>
    </row>
    <row r="15" spans="1:11" x14ac:dyDescent="0.3">
      <c r="A15" s="300" t="s">
        <v>585</v>
      </c>
      <c r="B15" s="300">
        <v>7</v>
      </c>
      <c r="C15" s="300">
        <v>9</v>
      </c>
      <c r="D15" s="300">
        <v>34</v>
      </c>
      <c r="E15" s="300">
        <v>34</v>
      </c>
      <c r="F15" s="300">
        <v>39</v>
      </c>
      <c r="G15" s="300">
        <v>8</v>
      </c>
      <c r="H15" s="300">
        <v>11</v>
      </c>
      <c r="I15" s="300">
        <v>8</v>
      </c>
      <c r="J15" s="300">
        <v>9</v>
      </c>
      <c r="K15" s="300">
        <v>9</v>
      </c>
    </row>
    <row r="16" spans="1:11" x14ac:dyDescent="0.3">
      <c r="A16" s="300" t="s">
        <v>586</v>
      </c>
      <c r="B16" s="300">
        <v>7</v>
      </c>
      <c r="C16" s="300">
        <v>8</v>
      </c>
      <c r="D16" s="300">
        <v>45</v>
      </c>
      <c r="E16" s="300">
        <v>46</v>
      </c>
      <c r="F16" s="300">
        <v>42</v>
      </c>
      <c r="G16" s="300">
        <v>9</v>
      </c>
      <c r="H16" s="300">
        <v>8</v>
      </c>
      <c r="I16" s="300">
        <v>13</v>
      </c>
      <c r="J16" s="300">
        <v>14</v>
      </c>
      <c r="K16" s="300">
        <v>12</v>
      </c>
    </row>
    <row r="17" spans="1:11" x14ac:dyDescent="0.3">
      <c r="A17" s="300" t="s">
        <v>587</v>
      </c>
      <c r="B17" s="300">
        <v>20</v>
      </c>
      <c r="C17" s="300">
        <v>0</v>
      </c>
      <c r="D17" s="300">
        <v>0</v>
      </c>
      <c r="E17" s="300">
        <v>0</v>
      </c>
      <c r="F17" s="300">
        <v>0</v>
      </c>
      <c r="G17" s="300">
        <v>22</v>
      </c>
      <c r="H17" s="300">
        <v>0</v>
      </c>
      <c r="I17" s="300">
        <v>0</v>
      </c>
      <c r="J17" s="300">
        <v>0</v>
      </c>
      <c r="K17" s="300">
        <v>0</v>
      </c>
    </row>
    <row r="18" spans="1:11" x14ac:dyDescent="0.3">
      <c r="A18" s="300" t="s">
        <v>588</v>
      </c>
      <c r="B18" s="300">
        <v>0</v>
      </c>
      <c r="C18" s="300">
        <v>0</v>
      </c>
      <c r="D18" s="300">
        <v>2</v>
      </c>
      <c r="E18" s="300">
        <v>2</v>
      </c>
      <c r="F18" s="300">
        <v>1</v>
      </c>
      <c r="G18" s="300">
        <v>24</v>
      </c>
      <c r="H18" s="300">
        <v>29</v>
      </c>
      <c r="I18" s="300">
        <v>9</v>
      </c>
      <c r="J18" s="300">
        <v>6</v>
      </c>
      <c r="K18" s="300">
        <v>7</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3AB94-8C4E-4B61-919F-6E0D3118AB20}">
  <dimension ref="A1:B18"/>
  <sheetViews>
    <sheetView workbookViewId="0">
      <selection activeCell="A19" sqref="A19"/>
    </sheetView>
  </sheetViews>
  <sheetFormatPr baseColWidth="10" defaultColWidth="11.44140625" defaultRowHeight="14.4" x14ac:dyDescent="0.3"/>
  <cols>
    <col min="1" max="1" width="10.44140625" customWidth="1"/>
    <col min="2" max="2" width="14.44140625" customWidth="1"/>
    <col min="3" max="3" width="8.44140625" bestFit="1" customWidth="1"/>
    <col min="4" max="4" width="5.44140625" bestFit="1" customWidth="1"/>
    <col min="5" max="5" width="9.44140625" bestFit="1" customWidth="1"/>
    <col min="6" max="6" width="5.44140625" bestFit="1" customWidth="1"/>
    <col min="7" max="7" width="6.44140625" bestFit="1" customWidth="1"/>
    <col min="8" max="8" width="5.44140625" bestFit="1" customWidth="1"/>
    <col min="9" max="9" width="6.44140625" bestFit="1" customWidth="1"/>
    <col min="10" max="10" width="5.44140625" bestFit="1" customWidth="1"/>
    <col min="11" max="11" width="7" bestFit="1" customWidth="1"/>
    <col min="12" max="12" width="5.44140625" bestFit="1" customWidth="1"/>
    <col min="13" max="13" width="6.44140625" bestFit="1" customWidth="1"/>
    <col min="14" max="16" width="5.44140625" bestFit="1" customWidth="1"/>
  </cols>
  <sheetData>
    <row r="1" spans="1:2" x14ac:dyDescent="0.3">
      <c r="A1" t="s">
        <v>355</v>
      </c>
      <c r="B1" t="s">
        <v>61</v>
      </c>
    </row>
    <row r="2" spans="1:2" x14ac:dyDescent="0.3">
      <c r="A2" t="s">
        <v>5</v>
      </c>
      <c r="B2" t="s">
        <v>62</v>
      </c>
    </row>
    <row r="4" spans="1:2" ht="16.8" x14ac:dyDescent="0.3">
      <c r="A4" s="66" t="s">
        <v>589</v>
      </c>
      <c r="B4" s="66" t="s">
        <v>590</v>
      </c>
    </row>
    <row r="5" spans="1:2" ht="16.8" x14ac:dyDescent="0.3">
      <c r="A5" s="65" t="s">
        <v>422</v>
      </c>
      <c r="B5" s="301">
        <v>13200188</v>
      </c>
    </row>
    <row r="6" spans="1:2" ht="16.8" x14ac:dyDescent="0.3">
      <c r="A6" s="65" t="s">
        <v>423</v>
      </c>
      <c r="B6" s="301">
        <v>34020199</v>
      </c>
    </row>
    <row r="7" spans="1:2" ht="16.8" x14ac:dyDescent="0.3">
      <c r="A7" s="65" t="s">
        <v>424</v>
      </c>
      <c r="B7" s="301">
        <v>17009280</v>
      </c>
    </row>
    <row r="8" spans="1:2" ht="16.8" x14ac:dyDescent="0.3">
      <c r="A8" s="65" t="s">
        <v>425</v>
      </c>
      <c r="B8" s="301">
        <v>19029200</v>
      </c>
    </row>
    <row r="9" spans="1:2" ht="16.8" x14ac:dyDescent="0.3">
      <c r="A9" s="65" t="s">
        <v>426</v>
      </c>
      <c r="B9" s="301">
        <v>27009290</v>
      </c>
    </row>
    <row r="10" spans="1:2" ht="16.8" x14ac:dyDescent="0.3">
      <c r="A10" s="65" t="s">
        <v>427</v>
      </c>
      <c r="B10" s="301">
        <v>46554692</v>
      </c>
    </row>
    <row r="11" spans="1:2" ht="16.8" x14ac:dyDescent="0.3">
      <c r="A11" s="65" t="s">
        <v>428</v>
      </c>
      <c r="B11" s="301">
        <v>31564416</v>
      </c>
    </row>
    <row r="12" spans="1:2" ht="16.8" x14ac:dyDescent="0.3">
      <c r="A12" s="65" t="s">
        <v>429</v>
      </c>
      <c r="B12" s="301">
        <v>50097397</v>
      </c>
    </row>
    <row r="13" spans="1:2" ht="16.8" x14ac:dyDescent="0.3">
      <c r="A13" s="65" t="s">
        <v>430</v>
      </c>
      <c r="B13" s="301">
        <v>80857419</v>
      </c>
    </row>
    <row r="14" spans="1:2" ht="16.8" x14ac:dyDescent="0.3">
      <c r="A14" s="65" t="s">
        <v>358</v>
      </c>
      <c r="B14" s="301">
        <v>33220565</v>
      </c>
    </row>
    <row r="15" spans="1:2" ht="16.8" x14ac:dyDescent="0.3">
      <c r="A15" s="65" t="s">
        <v>359</v>
      </c>
      <c r="B15" s="322">
        <v>39978224</v>
      </c>
    </row>
    <row r="16" spans="1:2" ht="16.8" x14ac:dyDescent="0.3">
      <c r="A16" s="65" t="s">
        <v>360</v>
      </c>
      <c r="B16" s="322">
        <v>91672969</v>
      </c>
    </row>
    <row r="17" spans="1:2" ht="16.8" x14ac:dyDescent="0.3">
      <c r="A17" s="65" t="s">
        <v>361</v>
      </c>
      <c r="B17" s="322">
        <v>23878687</v>
      </c>
    </row>
    <row r="18" spans="1:2" ht="16.8" x14ac:dyDescent="0.3">
      <c r="A18" s="65" t="s">
        <v>362</v>
      </c>
      <c r="B18" s="322">
        <v>21399531</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45B47-56F2-4D9A-B02D-73316EB6C48D}">
  <dimension ref="A1:K17"/>
  <sheetViews>
    <sheetView workbookViewId="0"/>
  </sheetViews>
  <sheetFormatPr baseColWidth="10" defaultColWidth="11.44140625" defaultRowHeight="14.4" x14ac:dyDescent="0.3"/>
  <cols>
    <col min="1" max="1" width="27.44140625" customWidth="1"/>
    <col min="2" max="2" width="10.44140625" customWidth="1"/>
    <col min="3" max="9" width="11.44140625" customWidth="1"/>
  </cols>
  <sheetData>
    <row r="1" spans="1:11" x14ac:dyDescent="0.3">
      <c r="A1" t="s">
        <v>355</v>
      </c>
      <c r="B1">
        <v>36</v>
      </c>
    </row>
    <row r="2" spans="1:11" x14ac:dyDescent="0.3">
      <c r="A2" t="s">
        <v>5</v>
      </c>
      <c r="B2" t="s">
        <v>64</v>
      </c>
    </row>
    <row r="3" spans="1:11" ht="15" thickBot="1" x14ac:dyDescent="0.35"/>
    <row r="4" spans="1:11" ht="15.6" thickBot="1" x14ac:dyDescent="0.35">
      <c r="A4" s="62" t="s">
        <v>591</v>
      </c>
      <c r="B4" s="62">
        <v>2019</v>
      </c>
      <c r="C4" s="62">
        <v>2020</v>
      </c>
      <c r="D4" s="62">
        <v>2021</v>
      </c>
      <c r="E4" s="62">
        <v>2022</v>
      </c>
      <c r="F4" s="62">
        <v>2023</v>
      </c>
      <c r="G4" s="67" t="s">
        <v>592</v>
      </c>
      <c r="H4" s="67" t="s">
        <v>359</v>
      </c>
      <c r="I4" s="67" t="s">
        <v>360</v>
      </c>
      <c r="J4" s="67" t="s">
        <v>361</v>
      </c>
      <c r="K4" s="67" t="s">
        <v>362</v>
      </c>
    </row>
    <row r="5" spans="1:11" ht="15.6" thickBot="1" x14ac:dyDescent="0.35">
      <c r="A5" s="63" t="s">
        <v>593</v>
      </c>
      <c r="B5" s="63">
        <v>18.233000000000001</v>
      </c>
      <c r="C5" s="63">
        <v>14.324</v>
      </c>
      <c r="D5" s="63">
        <v>17.806999999999999</v>
      </c>
      <c r="E5" s="63">
        <v>20.995000000000001</v>
      </c>
      <c r="F5" s="63">
        <v>30.827000000000002</v>
      </c>
      <c r="G5" s="64">
        <v>13291</v>
      </c>
      <c r="H5" s="64">
        <v>11793</v>
      </c>
      <c r="I5" s="64">
        <v>14538</v>
      </c>
      <c r="J5" s="64">
        <v>14259</v>
      </c>
      <c r="K5" s="64">
        <v>9186</v>
      </c>
    </row>
    <row r="6" spans="1:11" ht="15.6" thickBot="1" x14ac:dyDescent="0.35">
      <c r="A6" s="63" t="s">
        <v>594</v>
      </c>
      <c r="B6" s="63">
        <v>9.3930000000000007</v>
      </c>
      <c r="C6" s="63">
        <v>2.0089999999999999</v>
      </c>
      <c r="D6" s="63">
        <v>3.609</v>
      </c>
      <c r="E6" s="63">
        <v>9.3230000000000004</v>
      </c>
      <c r="F6" s="63">
        <v>21.652999999999999</v>
      </c>
      <c r="G6" s="64">
        <v>20582</v>
      </c>
      <c r="H6" s="64">
        <v>15974</v>
      </c>
      <c r="I6" s="64">
        <v>19968</v>
      </c>
      <c r="J6" s="64">
        <v>26920</v>
      </c>
      <c r="K6" s="64">
        <v>28597</v>
      </c>
    </row>
    <row r="7" spans="1:11" ht="15.6" thickBot="1" x14ac:dyDescent="0.35">
      <c r="A7" s="63" t="s">
        <v>595</v>
      </c>
      <c r="B7" s="63">
        <v>4.6219999999999999</v>
      </c>
      <c r="C7" s="63">
        <v>476</v>
      </c>
      <c r="D7" s="63">
        <v>1.198</v>
      </c>
      <c r="E7" s="63">
        <v>19.619</v>
      </c>
      <c r="F7" s="63">
        <v>7.4809999999999999</v>
      </c>
      <c r="G7" s="64">
        <v>5461</v>
      </c>
      <c r="H7" s="64">
        <v>5753</v>
      </c>
      <c r="I7" s="64">
        <v>5200</v>
      </c>
      <c r="J7" s="64">
        <v>3539</v>
      </c>
      <c r="K7" s="64">
        <v>361</v>
      </c>
    </row>
    <row r="8" spans="1:11" ht="15.6" thickBot="1" x14ac:dyDescent="0.35">
      <c r="A8" s="63" t="s">
        <v>596</v>
      </c>
      <c r="B8" s="63">
        <v>37.113999999999997</v>
      </c>
      <c r="C8" s="63">
        <v>35.572000000000003</v>
      </c>
      <c r="D8" s="63">
        <v>21.573</v>
      </c>
      <c r="E8" s="63">
        <v>20.026</v>
      </c>
      <c r="F8" s="63">
        <v>38.695</v>
      </c>
      <c r="G8" s="64">
        <v>18245</v>
      </c>
      <c r="H8" s="64">
        <v>24362</v>
      </c>
      <c r="I8" s="64">
        <v>17930</v>
      </c>
      <c r="J8" s="64">
        <v>14519</v>
      </c>
      <c r="K8" s="64">
        <v>14285</v>
      </c>
    </row>
    <row r="9" spans="1:11" ht="15.6" thickBot="1" x14ac:dyDescent="0.35">
      <c r="A9" s="63" t="s">
        <v>597</v>
      </c>
      <c r="B9" s="63">
        <v>136.96</v>
      </c>
      <c r="C9" s="63">
        <v>169.92599999999999</v>
      </c>
      <c r="D9" s="63">
        <v>175.39400000000001</v>
      </c>
      <c r="E9" s="63">
        <v>157.39099999999999</v>
      </c>
      <c r="F9" s="63">
        <v>184.4</v>
      </c>
      <c r="G9" s="64">
        <v>120682</v>
      </c>
      <c r="H9" s="64">
        <v>104251</v>
      </c>
      <c r="I9" s="64">
        <v>105415</v>
      </c>
      <c r="J9" s="64">
        <v>87620</v>
      </c>
      <c r="K9" s="64">
        <v>101831</v>
      </c>
    </row>
    <row r="10" spans="1:11" ht="15.6" thickBot="1" x14ac:dyDescent="0.35">
      <c r="A10" s="63" t="s">
        <v>598</v>
      </c>
      <c r="B10" s="63">
        <v>3.3450000000000002</v>
      </c>
      <c r="C10" s="63">
        <v>31</v>
      </c>
      <c r="D10" s="63">
        <v>232</v>
      </c>
      <c r="E10" s="63">
        <v>627</v>
      </c>
      <c r="F10" s="63">
        <v>2.258</v>
      </c>
      <c r="G10" s="64">
        <v>3868</v>
      </c>
      <c r="H10" s="64">
        <v>709</v>
      </c>
      <c r="I10" s="64">
        <v>3465</v>
      </c>
      <c r="J10" s="64">
        <f>2139+6</f>
        <v>2145</v>
      </c>
      <c r="K10" s="64">
        <v>2695</v>
      </c>
    </row>
    <row r="11" spans="1:11" ht="15.6" thickBot="1" x14ac:dyDescent="0.35">
      <c r="A11" s="63" t="s">
        <v>599</v>
      </c>
      <c r="B11" s="63">
        <v>30.210999999999999</v>
      </c>
      <c r="C11" s="63">
        <v>10.202999999999999</v>
      </c>
      <c r="D11" s="63">
        <v>4.8230000000000004</v>
      </c>
      <c r="E11" s="63">
        <v>4.673</v>
      </c>
      <c r="F11" s="63">
        <v>2.984</v>
      </c>
      <c r="G11" s="64">
        <v>934</v>
      </c>
      <c r="H11" s="64">
        <v>753</v>
      </c>
      <c r="I11" s="64">
        <v>2099</v>
      </c>
      <c r="J11" s="64">
        <v>1843</v>
      </c>
      <c r="K11" s="64">
        <v>1426</v>
      </c>
    </row>
    <row r="12" spans="1:11" ht="15.6" thickBot="1" x14ac:dyDescent="0.35">
      <c r="A12" s="63" t="s">
        <v>600</v>
      </c>
      <c r="B12" s="63">
        <v>1.8069999999999999</v>
      </c>
      <c r="C12" s="63">
        <v>1.306</v>
      </c>
      <c r="D12" s="63">
        <v>1.1910000000000001</v>
      </c>
      <c r="E12" s="63">
        <v>1.2270000000000001</v>
      </c>
      <c r="F12" s="63">
        <v>533</v>
      </c>
      <c r="G12" s="64">
        <v>117</v>
      </c>
      <c r="H12" s="64">
        <v>77</v>
      </c>
      <c r="I12" s="64">
        <v>197</v>
      </c>
      <c r="J12" s="64">
        <v>318</v>
      </c>
      <c r="K12" s="64">
        <v>34</v>
      </c>
    </row>
    <row r="13" spans="1:11" ht="15.6" thickBot="1" x14ac:dyDescent="0.35">
      <c r="A13" s="63" t="s">
        <v>601</v>
      </c>
      <c r="B13" s="63"/>
      <c r="C13" s="63"/>
      <c r="D13" s="63"/>
      <c r="E13" s="63"/>
      <c r="F13" s="63"/>
      <c r="G13" s="64"/>
      <c r="H13" s="64"/>
      <c r="I13" s="64">
        <v>1137</v>
      </c>
      <c r="J13" s="64">
        <v>1280</v>
      </c>
      <c r="K13" s="64">
        <v>5882</v>
      </c>
    </row>
    <row r="14" spans="1:11" ht="15.6" thickBot="1" x14ac:dyDescent="0.35">
      <c r="A14" s="63" t="s">
        <v>371</v>
      </c>
      <c r="B14" s="63">
        <v>241.685</v>
      </c>
      <c r="C14" s="63">
        <v>233.84700000000001</v>
      </c>
      <c r="D14" s="63">
        <v>225.827</v>
      </c>
      <c r="E14" s="63">
        <v>233.881</v>
      </c>
      <c r="F14" s="63">
        <v>288.83100000000002</v>
      </c>
      <c r="G14" s="64">
        <v>183180</v>
      </c>
      <c r="H14" s="64">
        <v>163672</v>
      </c>
      <c r="I14" s="64">
        <f>+SUM(I5:I13)</f>
        <v>169949</v>
      </c>
      <c r="J14" s="64">
        <f>+SUM(J5:J13)</f>
        <v>152443</v>
      </c>
      <c r="K14" s="64">
        <f>+SUM(K5:K13)</f>
        <v>164297</v>
      </c>
    </row>
    <row r="17" spans="9:11" x14ac:dyDescent="0.3">
      <c r="I17" s="427"/>
      <c r="J17" s="427"/>
      <c r="K17" s="427"/>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8A3F2-C398-4E7C-821D-213FAEA54ADE}">
  <dimension ref="A1:E12"/>
  <sheetViews>
    <sheetView workbookViewId="0">
      <selection activeCell="D6" sqref="D6"/>
    </sheetView>
  </sheetViews>
  <sheetFormatPr baseColWidth="10" defaultColWidth="11.44140625" defaultRowHeight="14.4" x14ac:dyDescent="0.3"/>
  <cols>
    <col min="1" max="1" width="48.44140625" customWidth="1"/>
    <col min="2" max="2" width="10.44140625" customWidth="1"/>
  </cols>
  <sheetData>
    <row r="1" spans="1:5" x14ac:dyDescent="0.3">
      <c r="A1" t="s">
        <v>355</v>
      </c>
      <c r="B1">
        <v>39</v>
      </c>
    </row>
    <row r="2" spans="1:5" x14ac:dyDescent="0.3">
      <c r="A2" t="s">
        <v>5</v>
      </c>
      <c r="B2" t="s">
        <v>66</v>
      </c>
    </row>
    <row r="5" spans="1:5" ht="15" thickBot="1" x14ac:dyDescent="0.35">
      <c r="B5" s="713">
        <v>2025</v>
      </c>
      <c r="C5" s="713"/>
      <c r="D5" s="714" t="s">
        <v>362</v>
      </c>
      <c r="E5" s="714"/>
    </row>
    <row r="6" spans="1:5" ht="15" thickBot="1" x14ac:dyDescent="0.35">
      <c r="A6" s="68" t="s">
        <v>602</v>
      </c>
      <c r="B6" s="143" t="s">
        <v>603</v>
      </c>
      <c r="C6" s="421" t="s">
        <v>604</v>
      </c>
      <c r="D6" s="559" t="s">
        <v>603</v>
      </c>
      <c r="E6" s="559" t="s">
        <v>604</v>
      </c>
    </row>
    <row r="7" spans="1:5" x14ac:dyDescent="0.3">
      <c r="A7" s="374" t="s">
        <v>605</v>
      </c>
      <c r="B7" s="362">
        <v>24.233000000000001</v>
      </c>
      <c r="C7" s="362">
        <v>46.171999999999997</v>
      </c>
      <c r="D7" s="362">
        <v>24.234000000000002</v>
      </c>
      <c r="E7" s="715">
        <v>46260</v>
      </c>
    </row>
    <row r="8" spans="1:5" x14ac:dyDescent="0.3">
      <c r="A8" s="374" t="s">
        <v>606</v>
      </c>
      <c r="B8" s="362">
        <v>284</v>
      </c>
      <c r="C8" s="362">
        <v>284</v>
      </c>
      <c r="D8" s="362">
        <v>310</v>
      </c>
      <c r="E8" s="362">
        <v>310</v>
      </c>
    </row>
    <row r="9" spans="1:5" ht="20.399999999999999" x14ac:dyDescent="0.3">
      <c r="A9" s="375" t="s">
        <v>607</v>
      </c>
      <c r="B9" s="362">
        <v>5.298</v>
      </c>
      <c r="C9" s="362">
        <v>5.298</v>
      </c>
      <c r="D9" s="362">
        <v>5.298</v>
      </c>
      <c r="E9" s="362">
        <v>5.298</v>
      </c>
    </row>
    <row r="10" spans="1:5" x14ac:dyDescent="0.3">
      <c r="A10" s="374" t="s">
        <v>608</v>
      </c>
      <c r="B10" s="362">
        <v>140.27799999999999</v>
      </c>
      <c r="C10" s="362">
        <v>140.27799999999999</v>
      </c>
      <c r="D10" s="362">
        <v>145.66499999999999</v>
      </c>
      <c r="E10" s="362">
        <v>145665</v>
      </c>
    </row>
    <row r="11" spans="1:5" ht="20.399999999999999" x14ac:dyDescent="0.3">
      <c r="A11" s="375" t="s">
        <v>609</v>
      </c>
      <c r="B11" s="362" t="s">
        <v>610</v>
      </c>
      <c r="C11" s="362" t="s">
        <v>610</v>
      </c>
      <c r="D11" s="362" t="s">
        <v>610</v>
      </c>
      <c r="E11" s="362" t="s">
        <v>610</v>
      </c>
    </row>
    <row r="12" spans="1:5" x14ac:dyDescent="0.3">
      <c r="A12" s="374" t="s">
        <v>611</v>
      </c>
      <c r="B12" s="362">
        <v>4.8310000000000004</v>
      </c>
      <c r="C12" s="362">
        <v>4.8310000000000004</v>
      </c>
      <c r="D12" s="362">
        <v>5.5060000000000002</v>
      </c>
      <c r="E12" s="362">
        <v>5.5060000000000002</v>
      </c>
    </row>
  </sheetData>
  <mergeCells count="2">
    <mergeCell ref="B5:C5"/>
    <mergeCell ref="D5:E5"/>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FB44D-C95C-4EDC-BBF9-68E38BE74971}">
  <dimension ref="A1:E15"/>
  <sheetViews>
    <sheetView workbookViewId="0">
      <selection activeCell="B3" sqref="B3:E4"/>
    </sheetView>
  </sheetViews>
  <sheetFormatPr baseColWidth="10" defaultColWidth="11.44140625" defaultRowHeight="14.4" x14ac:dyDescent="0.3"/>
  <cols>
    <col min="1" max="1" width="46.44140625" customWidth="1"/>
    <col min="2" max="2" width="10.44140625" style="328" customWidth="1"/>
    <col min="3" max="3" width="11.44140625" style="328"/>
  </cols>
  <sheetData>
    <row r="1" spans="1:5" x14ac:dyDescent="0.3">
      <c r="A1" t="s">
        <v>355</v>
      </c>
      <c r="B1" s="328">
        <v>40</v>
      </c>
    </row>
    <row r="2" spans="1:5" x14ac:dyDescent="0.3">
      <c r="A2" t="s">
        <v>5</v>
      </c>
      <c r="B2" s="465" t="s">
        <v>70</v>
      </c>
    </row>
    <row r="3" spans="1:5" ht="15" thickBot="1" x14ac:dyDescent="0.35">
      <c r="B3" s="713">
        <v>2025</v>
      </c>
      <c r="C3" s="713"/>
      <c r="D3" s="714">
        <v>2026</v>
      </c>
      <c r="E3" s="714"/>
    </row>
    <row r="4" spans="1:5" ht="15" thickBot="1" x14ac:dyDescent="0.35">
      <c r="A4" s="72" t="s">
        <v>612</v>
      </c>
      <c r="B4" s="143" t="s">
        <v>603</v>
      </c>
      <c r="C4" s="421" t="s">
        <v>604</v>
      </c>
      <c r="D4" s="560" t="s">
        <v>603</v>
      </c>
      <c r="E4" s="560" t="s">
        <v>604</v>
      </c>
    </row>
    <row r="5" spans="1:5" x14ac:dyDescent="0.3">
      <c r="A5" s="363" t="s">
        <v>613</v>
      </c>
      <c r="B5" s="364">
        <v>1823</v>
      </c>
      <c r="C5" s="364">
        <v>5342</v>
      </c>
      <c r="D5" s="364">
        <v>1844</v>
      </c>
      <c r="E5" s="364">
        <v>5366</v>
      </c>
    </row>
    <row r="6" spans="1:5" x14ac:dyDescent="0.3">
      <c r="A6" s="363" t="s">
        <v>614</v>
      </c>
      <c r="B6" s="365">
        <v>5443</v>
      </c>
      <c r="C6" s="365">
        <v>10846</v>
      </c>
      <c r="D6" s="364">
        <v>5516</v>
      </c>
      <c r="E6" s="364">
        <v>10957</v>
      </c>
    </row>
    <row r="7" spans="1:5" x14ac:dyDescent="0.3">
      <c r="A7" s="363" t="s">
        <v>615</v>
      </c>
      <c r="B7" s="364">
        <v>4646</v>
      </c>
      <c r="C7" s="364">
        <v>7176</v>
      </c>
      <c r="D7" s="364">
        <v>4665</v>
      </c>
      <c r="E7" s="364">
        <v>7210</v>
      </c>
    </row>
    <row r="8" spans="1:5" x14ac:dyDescent="0.3">
      <c r="A8" s="363" t="s">
        <v>616</v>
      </c>
      <c r="B8" s="365">
        <v>5527</v>
      </c>
      <c r="C8" s="365">
        <v>10139</v>
      </c>
      <c r="D8" s="364">
        <v>5592</v>
      </c>
      <c r="E8" s="364">
        <v>10239</v>
      </c>
    </row>
    <row r="9" spans="1:5" x14ac:dyDescent="0.3">
      <c r="A9" s="363" t="s">
        <v>617</v>
      </c>
      <c r="B9" s="364">
        <v>1878</v>
      </c>
      <c r="C9" s="364">
        <v>2316</v>
      </c>
      <c r="D9" s="364">
        <v>1919</v>
      </c>
      <c r="E9" s="364">
        <v>2385</v>
      </c>
    </row>
    <row r="10" spans="1:5" x14ac:dyDescent="0.3">
      <c r="A10" s="363" t="s">
        <v>618</v>
      </c>
      <c r="B10" s="365">
        <v>806</v>
      </c>
      <c r="C10" s="365">
        <v>1237</v>
      </c>
      <c r="D10" s="561">
        <v>811</v>
      </c>
      <c r="E10" s="364">
        <v>1244</v>
      </c>
    </row>
    <row r="11" spans="1:5" x14ac:dyDescent="0.3">
      <c r="A11" s="363" t="s">
        <v>619</v>
      </c>
      <c r="B11" s="364">
        <v>615</v>
      </c>
      <c r="C11" s="364">
        <v>1302</v>
      </c>
      <c r="D11" s="561">
        <v>616</v>
      </c>
      <c r="E11" s="364">
        <v>1304</v>
      </c>
    </row>
    <row r="12" spans="1:5" x14ac:dyDescent="0.3">
      <c r="A12" s="363" t="s">
        <v>620</v>
      </c>
      <c r="B12" s="365">
        <v>1984</v>
      </c>
      <c r="C12" s="365">
        <v>3427</v>
      </c>
      <c r="D12" s="364">
        <v>2025</v>
      </c>
      <c r="E12" s="364">
        <v>3509</v>
      </c>
    </row>
    <row r="13" spans="1:5" ht="27.6" x14ac:dyDescent="0.3">
      <c r="A13" s="363" t="s">
        <v>621</v>
      </c>
      <c r="B13" s="364">
        <v>1123</v>
      </c>
      <c r="C13" s="364">
        <v>3791</v>
      </c>
      <c r="D13" s="364">
        <v>1164</v>
      </c>
      <c r="E13" s="364">
        <v>3847</v>
      </c>
    </row>
    <row r="14" spans="1:5" x14ac:dyDescent="0.3">
      <c r="A14" s="363" t="s">
        <v>622</v>
      </c>
      <c r="B14" s="365">
        <v>81</v>
      </c>
      <c r="C14" s="365">
        <v>111</v>
      </c>
      <c r="D14" s="561">
        <v>81</v>
      </c>
      <c r="E14" s="364">
        <v>111</v>
      </c>
    </row>
    <row r="15" spans="1:5" x14ac:dyDescent="0.3">
      <c r="A15" s="363" t="s">
        <v>371</v>
      </c>
      <c r="B15" s="366">
        <f>SUM(B5:B14)</f>
        <v>23926</v>
      </c>
      <c r="C15" s="366">
        <f>SUM(C5:C14)</f>
        <v>45687</v>
      </c>
      <c r="D15" s="366">
        <f>SUM(D5:D14)</f>
        <v>24233</v>
      </c>
      <c r="E15" s="366">
        <v>46172</v>
      </c>
    </row>
  </sheetData>
  <mergeCells count="2">
    <mergeCell ref="B3:C3"/>
    <mergeCell ref="D3:E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2B374-D34A-4CC7-92FC-35A8C331B926}">
  <dimension ref="A1:C11"/>
  <sheetViews>
    <sheetView workbookViewId="0"/>
  </sheetViews>
  <sheetFormatPr baseColWidth="10" defaultColWidth="11.44140625" defaultRowHeight="14.4" x14ac:dyDescent="0.3"/>
  <cols>
    <col min="1" max="1" width="41.6640625" customWidth="1"/>
    <col min="2" max="2" width="10.44140625" customWidth="1"/>
    <col min="3" max="3" width="11.44140625" style="328"/>
  </cols>
  <sheetData>
    <row r="1" spans="1:3" x14ac:dyDescent="0.3">
      <c r="A1" t="s">
        <v>355</v>
      </c>
      <c r="B1">
        <v>41</v>
      </c>
    </row>
    <row r="2" spans="1:3" x14ac:dyDescent="0.3">
      <c r="A2" t="s">
        <v>5</v>
      </c>
      <c r="B2" t="s">
        <v>71</v>
      </c>
    </row>
    <row r="3" spans="1:3" ht="15" thickBot="1" x14ac:dyDescent="0.35"/>
    <row r="4" spans="1:3" x14ac:dyDescent="0.3">
      <c r="A4" s="77" t="s">
        <v>623</v>
      </c>
      <c r="B4" s="418">
        <v>2025</v>
      </c>
      <c r="C4" s="418" t="s">
        <v>362</v>
      </c>
    </row>
    <row r="5" spans="1:3" x14ac:dyDescent="0.3">
      <c r="A5" s="372" t="s">
        <v>624</v>
      </c>
      <c r="B5" s="419">
        <v>33</v>
      </c>
      <c r="C5" s="368">
        <v>37</v>
      </c>
    </row>
    <row r="6" spans="1:3" x14ac:dyDescent="0.3">
      <c r="A6" s="373" t="s">
        <v>625</v>
      </c>
      <c r="B6" s="420">
        <v>21</v>
      </c>
      <c r="C6" s="368">
        <v>25</v>
      </c>
    </row>
    <row r="7" spans="1:3" x14ac:dyDescent="0.3">
      <c r="A7" s="373" t="s">
        <v>626</v>
      </c>
      <c r="B7" s="420">
        <v>48</v>
      </c>
      <c r="C7" s="368">
        <v>48</v>
      </c>
    </row>
    <row r="8" spans="1:3" x14ac:dyDescent="0.3">
      <c r="A8" s="372" t="s">
        <v>627</v>
      </c>
      <c r="B8" s="420">
        <v>11</v>
      </c>
      <c r="C8" s="368">
        <v>20</v>
      </c>
    </row>
    <row r="9" spans="1:3" x14ac:dyDescent="0.3">
      <c r="A9" s="373" t="s">
        <v>628</v>
      </c>
      <c r="B9" s="420">
        <v>164</v>
      </c>
      <c r="C9" s="368">
        <v>171</v>
      </c>
    </row>
    <row r="10" spans="1:3" ht="12.75" customHeight="1" x14ac:dyDescent="0.3">
      <c r="A10" s="373" t="s">
        <v>629</v>
      </c>
      <c r="B10" s="420">
        <v>7</v>
      </c>
      <c r="C10" s="368">
        <v>9</v>
      </c>
    </row>
    <row r="11" spans="1:3" x14ac:dyDescent="0.3">
      <c r="A11" s="369" t="s">
        <v>466</v>
      </c>
      <c r="B11" s="419">
        <v>284</v>
      </c>
      <c r="C11" s="367">
        <f>SUM(C5:C10)</f>
        <v>310</v>
      </c>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B9D0A-A423-4570-92AC-494FCD01F6B9}">
  <dimension ref="A1:O14"/>
  <sheetViews>
    <sheetView workbookViewId="0">
      <selection activeCell="N3" sqref="N3"/>
    </sheetView>
  </sheetViews>
  <sheetFormatPr baseColWidth="10" defaultColWidth="11.44140625" defaultRowHeight="14.4" x14ac:dyDescent="0.3"/>
  <cols>
    <col min="1" max="1" width="41.44140625" customWidth="1"/>
    <col min="2" max="2" width="10.44140625" customWidth="1"/>
    <col min="3" max="3" width="5" bestFit="1" customWidth="1"/>
    <col min="4" max="5" width="5.109375" bestFit="1" customWidth="1"/>
    <col min="6" max="6" width="5.44140625" bestFit="1" customWidth="1"/>
    <col min="7" max="15" width="5.6640625" bestFit="1" customWidth="1"/>
  </cols>
  <sheetData>
    <row r="1" spans="1:15" x14ac:dyDescent="0.3">
      <c r="A1" t="s">
        <v>355</v>
      </c>
      <c r="B1">
        <v>42</v>
      </c>
    </row>
    <row r="2" spans="1:15" x14ac:dyDescent="0.3">
      <c r="A2" t="s">
        <v>5</v>
      </c>
      <c r="B2" t="s">
        <v>630</v>
      </c>
    </row>
    <row r="3" spans="1:15" ht="15" thickBot="1" x14ac:dyDescent="0.35"/>
    <row r="4" spans="1:15" x14ac:dyDescent="0.3">
      <c r="A4" s="624"/>
      <c r="B4" s="79">
        <v>2019</v>
      </c>
      <c r="C4" s="79">
        <v>2020</v>
      </c>
      <c r="D4" s="622" t="s">
        <v>424</v>
      </c>
      <c r="E4" s="622" t="s">
        <v>425</v>
      </c>
      <c r="F4" s="79">
        <v>2021</v>
      </c>
      <c r="G4" s="79">
        <v>2022</v>
      </c>
      <c r="H4" s="79">
        <v>2022</v>
      </c>
      <c r="I4" s="79">
        <v>2023</v>
      </c>
      <c r="J4" s="79" t="s">
        <v>631</v>
      </c>
      <c r="K4" s="622" t="s">
        <v>358</v>
      </c>
      <c r="L4" s="622" t="s">
        <v>359</v>
      </c>
      <c r="M4" s="622" t="s">
        <v>360</v>
      </c>
      <c r="N4" s="622" t="s">
        <v>361</v>
      </c>
      <c r="O4" s="622" t="s">
        <v>362</v>
      </c>
    </row>
    <row r="5" spans="1:15" ht="15" thickBot="1" x14ac:dyDescent="0.35">
      <c r="A5" s="625"/>
      <c r="B5" s="80">
        <v>-2</v>
      </c>
      <c r="C5" s="80">
        <v>-1</v>
      </c>
      <c r="D5" s="623"/>
      <c r="E5" s="623"/>
      <c r="F5" s="80">
        <v>-2</v>
      </c>
      <c r="G5" s="80">
        <v>-1</v>
      </c>
      <c r="H5" s="80">
        <v>-2</v>
      </c>
      <c r="I5" s="80">
        <v>-1</v>
      </c>
      <c r="J5" s="80">
        <v>2</v>
      </c>
      <c r="K5" s="623"/>
      <c r="L5" s="623"/>
      <c r="M5" s="623"/>
      <c r="N5" s="623"/>
      <c r="O5" s="623"/>
    </row>
    <row r="6" spans="1:15" ht="15" thickBot="1" x14ac:dyDescent="0.35">
      <c r="A6" s="81" t="s">
        <v>632</v>
      </c>
      <c r="B6" s="81">
        <v>3</v>
      </c>
      <c r="C6" s="81">
        <v>3</v>
      </c>
      <c r="D6" s="81">
        <v>3</v>
      </c>
      <c r="E6" s="81">
        <v>3</v>
      </c>
      <c r="F6" s="81">
        <v>3</v>
      </c>
      <c r="G6" s="81">
        <v>3</v>
      </c>
      <c r="H6" s="81">
        <v>3</v>
      </c>
      <c r="I6" s="81">
        <v>3</v>
      </c>
      <c r="J6" s="81">
        <v>3</v>
      </c>
      <c r="K6" s="82">
        <v>3</v>
      </c>
      <c r="L6" s="82">
        <v>3</v>
      </c>
      <c r="M6" s="82">
        <v>3</v>
      </c>
      <c r="N6" s="82">
        <v>3</v>
      </c>
      <c r="O6" s="82">
        <v>3</v>
      </c>
    </row>
    <row r="7" spans="1:15" ht="15" thickBot="1" x14ac:dyDescent="0.35">
      <c r="A7" s="81" t="s">
        <v>633</v>
      </c>
      <c r="B7" s="81">
        <v>93</v>
      </c>
      <c r="C7" s="81">
        <v>190</v>
      </c>
      <c r="D7" s="81">
        <v>290</v>
      </c>
      <c r="E7" s="81">
        <v>390</v>
      </c>
      <c r="F7" s="81">
        <v>491</v>
      </c>
      <c r="G7" s="81">
        <v>599</v>
      </c>
      <c r="H7" s="81">
        <v>707</v>
      </c>
      <c r="I7" s="81">
        <v>814</v>
      </c>
      <c r="J7" s="81">
        <v>921</v>
      </c>
      <c r="K7" s="82">
        <v>111</v>
      </c>
      <c r="L7" s="82">
        <v>111</v>
      </c>
      <c r="M7" s="82">
        <v>114</v>
      </c>
      <c r="N7" s="82">
        <v>114</v>
      </c>
      <c r="O7" s="82">
        <v>114</v>
      </c>
    </row>
    <row r="8" spans="1:15" ht="15" thickBot="1" x14ac:dyDescent="0.35">
      <c r="A8" s="81" t="s">
        <v>634</v>
      </c>
      <c r="B8" s="81">
        <v>90278</v>
      </c>
      <c r="C8" s="81">
        <v>91000</v>
      </c>
      <c r="D8" s="81">
        <v>91000</v>
      </c>
      <c r="E8" s="81">
        <v>91000</v>
      </c>
      <c r="F8" s="81">
        <v>115780</v>
      </c>
      <c r="G8" s="83">
        <v>120845</v>
      </c>
      <c r="H8" s="83">
        <v>122642</v>
      </c>
      <c r="I8" s="83">
        <v>136642</v>
      </c>
      <c r="J8" s="83">
        <v>137103</v>
      </c>
      <c r="K8" s="84">
        <v>143000</v>
      </c>
      <c r="L8" s="84">
        <v>143000</v>
      </c>
      <c r="M8" s="84">
        <v>143000</v>
      </c>
      <c r="N8" s="84">
        <v>145665</v>
      </c>
      <c r="O8" s="84">
        <v>145665</v>
      </c>
    </row>
    <row r="9" spans="1:15" ht="15" thickBot="1" x14ac:dyDescent="0.35">
      <c r="A9" s="81" t="s">
        <v>635</v>
      </c>
      <c r="B9" s="83">
        <v>23775</v>
      </c>
      <c r="C9" s="83">
        <v>23814</v>
      </c>
      <c r="D9" s="83">
        <v>23853</v>
      </c>
      <c r="E9" s="83">
        <v>23853</v>
      </c>
      <c r="F9" s="83">
        <v>23854</v>
      </c>
      <c r="G9" s="83">
        <v>23914</v>
      </c>
      <c r="H9" s="83">
        <v>24368</v>
      </c>
      <c r="I9" s="83">
        <v>24270</v>
      </c>
      <c r="J9" s="83">
        <v>24738</v>
      </c>
      <c r="K9" s="84">
        <v>21688</v>
      </c>
      <c r="L9" s="84">
        <v>23914</v>
      </c>
      <c r="M9" s="84">
        <v>23926</v>
      </c>
      <c r="N9" s="84">
        <v>24233</v>
      </c>
      <c r="O9" s="84">
        <v>24274</v>
      </c>
    </row>
    <row r="10" spans="1:15" ht="15" thickBot="1" x14ac:dyDescent="0.35">
      <c r="A10" s="81" t="s">
        <v>636</v>
      </c>
      <c r="B10" s="83">
        <v>46083</v>
      </c>
      <c r="C10" s="83">
        <v>46122</v>
      </c>
      <c r="D10" s="83">
        <v>46161</v>
      </c>
      <c r="E10" s="83">
        <v>46161</v>
      </c>
      <c r="F10" s="83">
        <v>46167</v>
      </c>
      <c r="G10" s="83">
        <v>46259</v>
      </c>
      <c r="H10" s="83">
        <v>46905</v>
      </c>
      <c r="I10" s="83">
        <v>46838</v>
      </c>
      <c r="J10" s="83">
        <v>47539</v>
      </c>
      <c r="K10" s="84">
        <v>41695</v>
      </c>
      <c r="L10" s="84">
        <v>45653</v>
      </c>
      <c r="M10" s="84">
        <v>45687</v>
      </c>
      <c r="N10" s="84">
        <v>46172</v>
      </c>
      <c r="O10" s="84">
        <v>46260</v>
      </c>
    </row>
    <row r="11" spans="1:15" ht="15" thickBot="1" x14ac:dyDescent="0.35">
      <c r="A11" s="81" t="s">
        <v>637</v>
      </c>
      <c r="B11" s="81">
        <v>239</v>
      </c>
      <c r="C11" s="81">
        <v>39</v>
      </c>
      <c r="D11" s="81">
        <v>39</v>
      </c>
      <c r="E11" s="81" t="s">
        <v>515</v>
      </c>
      <c r="F11" s="81">
        <v>1</v>
      </c>
      <c r="G11" s="81">
        <v>53</v>
      </c>
      <c r="H11" s="81">
        <v>454</v>
      </c>
      <c r="I11" s="81">
        <v>1</v>
      </c>
      <c r="J11" s="81">
        <v>468</v>
      </c>
      <c r="K11" s="82">
        <v>36</v>
      </c>
      <c r="L11" s="82">
        <v>580</v>
      </c>
      <c r="M11" s="82">
        <v>12</v>
      </c>
      <c r="N11" s="82">
        <v>307</v>
      </c>
      <c r="O11" s="82">
        <v>41</v>
      </c>
    </row>
    <row r="12" spans="1:15" ht="15" thickBot="1" x14ac:dyDescent="0.35">
      <c r="A12" s="81" t="s">
        <v>638</v>
      </c>
      <c r="B12" s="81">
        <v>324</v>
      </c>
      <c r="C12" s="81">
        <v>39</v>
      </c>
      <c r="D12" s="81">
        <v>39</v>
      </c>
      <c r="E12" s="81" t="s">
        <v>515</v>
      </c>
      <c r="F12" s="81">
        <v>6</v>
      </c>
      <c r="G12" s="81">
        <v>70</v>
      </c>
      <c r="H12" s="81">
        <v>646</v>
      </c>
      <c r="I12" s="81">
        <v>14</v>
      </c>
      <c r="J12" s="81">
        <v>701</v>
      </c>
      <c r="K12" s="82">
        <v>13</v>
      </c>
      <c r="L12" s="82">
        <v>664</v>
      </c>
      <c r="M12" s="82">
        <v>34</v>
      </c>
      <c r="N12" s="82">
        <v>485</v>
      </c>
      <c r="O12" s="82">
        <v>45</v>
      </c>
    </row>
    <row r="13" spans="1:15" ht="15" thickBot="1" x14ac:dyDescent="0.35">
      <c r="A13" s="81" t="s">
        <v>639</v>
      </c>
      <c r="B13" s="81">
        <v>171</v>
      </c>
      <c r="C13" s="81">
        <v>171</v>
      </c>
      <c r="D13" s="81">
        <v>171</v>
      </c>
      <c r="E13" s="81">
        <v>171</v>
      </c>
      <c r="F13" s="81">
        <v>171</v>
      </c>
      <c r="G13" s="81">
        <v>51</v>
      </c>
      <c r="H13" s="81">
        <v>51</v>
      </c>
      <c r="I13" s="81">
        <v>51</v>
      </c>
      <c r="J13" s="81">
        <v>51</v>
      </c>
      <c r="K13" s="82">
        <v>289</v>
      </c>
      <c r="L13" s="82">
        <v>289</v>
      </c>
      <c r="M13" s="82">
        <v>289</v>
      </c>
      <c r="N13" s="82">
        <v>310</v>
      </c>
      <c r="O13" s="82">
        <v>310</v>
      </c>
    </row>
    <row r="14" spans="1:15" ht="15" thickBot="1" x14ac:dyDescent="0.35">
      <c r="A14" s="81" t="s">
        <v>640</v>
      </c>
      <c r="B14" s="83">
        <v>2095</v>
      </c>
      <c r="C14" s="83">
        <v>2095</v>
      </c>
      <c r="D14" s="83">
        <v>2095</v>
      </c>
      <c r="E14" s="83">
        <v>2095</v>
      </c>
      <c r="F14" s="83">
        <v>2095</v>
      </c>
      <c r="G14" s="83">
        <v>2095</v>
      </c>
      <c r="H14" s="83">
        <v>2095</v>
      </c>
      <c r="I14" s="83">
        <v>2095</v>
      </c>
      <c r="J14" s="83">
        <v>2095</v>
      </c>
      <c r="K14" s="82">
        <v>2095</v>
      </c>
      <c r="L14" s="82">
        <v>2095</v>
      </c>
      <c r="M14" s="82">
        <v>2095</v>
      </c>
      <c r="N14" s="82">
        <v>5298</v>
      </c>
      <c r="O14" s="82">
        <v>5298</v>
      </c>
    </row>
  </sheetData>
  <mergeCells count="8">
    <mergeCell ref="N4:N5"/>
    <mergeCell ref="O4:O5"/>
    <mergeCell ref="M4:M5"/>
    <mergeCell ref="A4:A5"/>
    <mergeCell ref="D4:D5"/>
    <mergeCell ref="E4:E5"/>
    <mergeCell ref="K4:K5"/>
    <mergeCell ref="L4:L5"/>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CCF03-DBB4-4B63-ADD0-D6E08B269DF0}">
  <dimension ref="A1:O18"/>
  <sheetViews>
    <sheetView zoomScale="77" workbookViewId="0">
      <selection activeCell="N13" sqref="N13"/>
    </sheetView>
  </sheetViews>
  <sheetFormatPr baseColWidth="10" defaultColWidth="11.44140625" defaultRowHeight="14.4" x14ac:dyDescent="0.3"/>
  <cols>
    <col min="1" max="1" width="43.44140625" bestFit="1" customWidth="1"/>
    <col min="2" max="2" width="15.109375" customWidth="1"/>
    <col min="3" max="3" width="14.44140625" customWidth="1"/>
    <col min="4" max="4" width="8.44140625" bestFit="1" customWidth="1"/>
    <col min="5" max="8" width="9.44140625" bestFit="1" customWidth="1"/>
    <col min="9" max="11" width="8.44140625" bestFit="1" customWidth="1"/>
    <col min="12" max="15" width="11" customWidth="1"/>
  </cols>
  <sheetData>
    <row r="1" spans="1:15" x14ac:dyDescent="0.3">
      <c r="A1" t="s">
        <v>355</v>
      </c>
      <c r="B1">
        <v>43</v>
      </c>
    </row>
    <row r="2" spans="1:15" x14ac:dyDescent="0.3">
      <c r="A2" t="s">
        <v>5</v>
      </c>
      <c r="B2" t="s">
        <v>641</v>
      </c>
    </row>
    <row r="3" spans="1:15" ht="15" thickBot="1" x14ac:dyDescent="0.35"/>
    <row r="4" spans="1:15" ht="15" thickBot="1" x14ac:dyDescent="0.35">
      <c r="A4" s="85" t="s">
        <v>642</v>
      </c>
      <c r="B4" s="85" t="s">
        <v>422</v>
      </c>
      <c r="C4" s="85" t="s">
        <v>423</v>
      </c>
      <c r="D4" s="85" t="s">
        <v>424</v>
      </c>
      <c r="E4" s="85" t="s">
        <v>425</v>
      </c>
      <c r="F4" s="85" t="s">
        <v>426</v>
      </c>
      <c r="G4" s="85" t="s">
        <v>427</v>
      </c>
      <c r="H4" s="85" t="s">
        <v>428</v>
      </c>
      <c r="I4" s="85" t="s">
        <v>429</v>
      </c>
      <c r="J4" s="85" t="s">
        <v>430</v>
      </c>
      <c r="K4" s="85" t="s">
        <v>358</v>
      </c>
      <c r="L4" s="85" t="s">
        <v>359</v>
      </c>
      <c r="M4" s="157" t="s">
        <v>360</v>
      </c>
      <c r="N4" s="157" t="s">
        <v>361</v>
      </c>
      <c r="O4" s="157" t="s">
        <v>362</v>
      </c>
    </row>
    <row r="5" spans="1:15" ht="15" thickBot="1" x14ac:dyDescent="0.35">
      <c r="A5" s="370" t="s">
        <v>643</v>
      </c>
      <c r="B5" s="370">
        <v>456</v>
      </c>
      <c r="C5" s="371">
        <v>2178</v>
      </c>
      <c r="D5" s="370">
        <v>998</v>
      </c>
      <c r="E5" s="370">
        <v>681</v>
      </c>
      <c r="F5" s="370">
        <v>772</v>
      </c>
      <c r="G5" s="370">
        <v>494</v>
      </c>
      <c r="H5" s="370">
        <v>579</v>
      </c>
      <c r="I5" s="370">
        <v>458</v>
      </c>
      <c r="J5" s="370">
        <v>375</v>
      </c>
      <c r="K5" s="370">
        <v>513</v>
      </c>
      <c r="L5" s="370">
        <v>612</v>
      </c>
      <c r="M5" s="370">
        <v>795</v>
      </c>
      <c r="N5" s="370">
        <v>810</v>
      </c>
      <c r="O5" s="370">
        <v>831</v>
      </c>
    </row>
    <row r="6" spans="1:15" ht="15" thickBot="1" x14ac:dyDescent="0.35">
      <c r="A6" s="370" t="s">
        <v>644</v>
      </c>
      <c r="B6" s="371">
        <v>47264868</v>
      </c>
      <c r="C6" s="371">
        <v>48320340</v>
      </c>
      <c r="D6" s="371">
        <v>44620912</v>
      </c>
      <c r="E6" s="371">
        <v>131513607</v>
      </c>
      <c r="F6" s="371">
        <v>215504296</v>
      </c>
      <c r="G6" s="371">
        <v>131903542</v>
      </c>
      <c r="H6" s="371">
        <v>132015121</v>
      </c>
      <c r="I6" s="371">
        <v>28986998</v>
      </c>
      <c r="J6" s="371">
        <v>16708878</v>
      </c>
      <c r="K6" s="371">
        <v>29997498</v>
      </c>
      <c r="L6" s="371">
        <v>20068282</v>
      </c>
      <c r="M6" s="371">
        <v>30271328</v>
      </c>
      <c r="N6" s="371">
        <v>29581428</v>
      </c>
      <c r="O6" s="371">
        <v>35096112</v>
      </c>
    </row>
    <row r="7" spans="1:15" ht="15" thickBot="1" x14ac:dyDescent="0.35">
      <c r="A7" s="370" t="s">
        <v>645</v>
      </c>
      <c r="B7" s="371">
        <v>1980</v>
      </c>
      <c r="C7" s="370">
        <v>860</v>
      </c>
      <c r="D7" s="371">
        <v>52586</v>
      </c>
      <c r="E7" s="371">
        <v>54363</v>
      </c>
      <c r="F7" s="371">
        <v>92443</v>
      </c>
      <c r="G7" s="371">
        <v>101565</v>
      </c>
      <c r="H7" s="371">
        <v>91246</v>
      </c>
      <c r="I7" s="371">
        <v>88613</v>
      </c>
      <c r="J7" s="371">
        <v>329609</v>
      </c>
      <c r="K7" s="370">
        <v>153846</v>
      </c>
      <c r="L7" s="371">
        <v>322310</v>
      </c>
      <c r="M7" s="371">
        <v>639346</v>
      </c>
      <c r="N7" s="371">
        <v>1264296</v>
      </c>
      <c r="O7" s="371">
        <v>1021821</v>
      </c>
    </row>
    <row r="8" spans="1:15" ht="15" thickBot="1" x14ac:dyDescent="0.35">
      <c r="A8" s="370" t="s">
        <v>646</v>
      </c>
      <c r="B8" s="371">
        <v>6654</v>
      </c>
      <c r="C8" s="371">
        <v>3901</v>
      </c>
      <c r="D8" s="370" t="s">
        <v>515</v>
      </c>
      <c r="E8" s="370" t="s">
        <v>515</v>
      </c>
      <c r="F8" s="370">
        <v>989</v>
      </c>
      <c r="G8" s="371">
        <v>4119</v>
      </c>
      <c r="H8" s="370">
        <v>683</v>
      </c>
      <c r="I8" s="370">
        <v>560</v>
      </c>
      <c r="J8" s="371">
        <v>1213</v>
      </c>
      <c r="K8" s="370">
        <v>3800</v>
      </c>
      <c r="L8" s="371">
        <v>2170</v>
      </c>
      <c r="M8" s="371">
        <v>2380</v>
      </c>
      <c r="N8" s="371">
        <v>5489</v>
      </c>
      <c r="O8" s="371">
        <v>2398</v>
      </c>
    </row>
    <row r="9" spans="1:15" ht="15" thickBot="1" x14ac:dyDescent="0.35">
      <c r="A9" s="370" t="s">
        <v>647</v>
      </c>
      <c r="B9" s="371">
        <v>3861</v>
      </c>
      <c r="C9" s="371">
        <v>3495</v>
      </c>
      <c r="D9" s="371">
        <v>4679</v>
      </c>
      <c r="E9" s="371">
        <v>64195</v>
      </c>
      <c r="F9" s="371">
        <v>5253211</v>
      </c>
      <c r="G9" s="371">
        <v>101254</v>
      </c>
      <c r="H9" s="371">
        <v>101589</v>
      </c>
      <c r="I9" s="371">
        <v>235900</v>
      </c>
      <c r="J9" s="371">
        <v>1133876</v>
      </c>
      <c r="K9" s="371">
        <v>8423312</v>
      </c>
      <c r="L9" s="371">
        <v>1127727</v>
      </c>
      <c r="M9" s="371">
        <v>1145123</v>
      </c>
      <c r="N9" s="371">
        <v>8429749</v>
      </c>
      <c r="O9" s="371">
        <v>1154000</v>
      </c>
    </row>
    <row r="10" spans="1:15" ht="15" thickBot="1" x14ac:dyDescent="0.35">
      <c r="A10" s="370" t="s">
        <v>648</v>
      </c>
      <c r="B10" s="371">
        <v>3828</v>
      </c>
      <c r="C10" s="371">
        <v>1992</v>
      </c>
      <c r="D10" s="370" t="s">
        <v>515</v>
      </c>
      <c r="E10" s="370" t="s">
        <v>515</v>
      </c>
      <c r="F10" s="370">
        <v>580</v>
      </c>
      <c r="G10" s="371">
        <v>3661</v>
      </c>
      <c r="H10" s="371">
        <v>3153</v>
      </c>
      <c r="I10" s="371">
        <v>8236</v>
      </c>
      <c r="J10" s="371">
        <v>4856</v>
      </c>
      <c r="K10" s="371">
        <v>6992</v>
      </c>
      <c r="L10" s="371">
        <v>6308</v>
      </c>
      <c r="M10" s="371">
        <v>6630</v>
      </c>
      <c r="N10" s="371">
        <v>6692</v>
      </c>
      <c r="O10" s="371">
        <v>6721</v>
      </c>
    </row>
    <row r="11" spans="1:15" ht="15" thickBot="1" x14ac:dyDescent="0.35">
      <c r="A11" s="370" t="s">
        <v>649</v>
      </c>
      <c r="B11" s="371">
        <v>1630</v>
      </c>
      <c r="C11" s="370">
        <v>955</v>
      </c>
      <c r="D11" s="370" t="s">
        <v>515</v>
      </c>
      <c r="E11" s="370" t="s">
        <v>515</v>
      </c>
      <c r="F11" s="370">
        <v>8</v>
      </c>
      <c r="G11" s="371">
        <v>1010</v>
      </c>
      <c r="H11" s="371">
        <v>1057</v>
      </c>
      <c r="I11" s="371">
        <v>2159</v>
      </c>
      <c r="J11" s="371">
        <v>1646</v>
      </c>
      <c r="K11" s="371">
        <v>1739</v>
      </c>
      <c r="L11" s="371">
        <v>1442</v>
      </c>
      <c r="M11" s="371">
        <v>1548</v>
      </c>
      <c r="N11" s="371">
        <v>2335</v>
      </c>
      <c r="O11" s="371">
        <v>1610</v>
      </c>
    </row>
    <row r="12" spans="1:15" ht="15" thickBot="1" x14ac:dyDescent="0.35">
      <c r="A12" s="370" t="s">
        <v>650</v>
      </c>
      <c r="B12" s="371">
        <v>4156</v>
      </c>
      <c r="C12" s="371">
        <v>2179</v>
      </c>
      <c r="D12" s="370" t="s">
        <v>515</v>
      </c>
      <c r="E12" s="370" t="s">
        <v>515</v>
      </c>
      <c r="F12" s="370">
        <v>639</v>
      </c>
      <c r="G12" s="371">
        <v>3462</v>
      </c>
      <c r="H12" s="370">
        <v>557</v>
      </c>
      <c r="I12" s="371">
        <v>5567</v>
      </c>
      <c r="J12" s="371">
        <v>1880</v>
      </c>
      <c r="K12" s="370">
        <v>1886</v>
      </c>
      <c r="L12" s="371">
        <v>4323</v>
      </c>
      <c r="M12" s="371">
        <v>4380</v>
      </c>
      <c r="N12" s="371">
        <v>5262</v>
      </c>
      <c r="O12" s="371">
        <v>5923</v>
      </c>
    </row>
    <row r="13" spans="1:15" ht="15" thickBot="1" x14ac:dyDescent="0.35">
      <c r="A13" s="370" t="s">
        <v>651</v>
      </c>
      <c r="B13" s="371">
        <v>92424</v>
      </c>
      <c r="C13" s="371">
        <v>25550</v>
      </c>
      <c r="D13" s="370" t="s">
        <v>515</v>
      </c>
      <c r="E13" s="370" t="s">
        <v>515</v>
      </c>
      <c r="F13" s="371">
        <v>15936</v>
      </c>
      <c r="G13" s="371">
        <v>46283</v>
      </c>
      <c r="H13" s="371">
        <v>45769</v>
      </c>
      <c r="I13" s="371">
        <v>52094</v>
      </c>
      <c r="J13" s="371">
        <v>176260</v>
      </c>
      <c r="K13" s="371">
        <v>133155</v>
      </c>
      <c r="L13" s="371">
        <v>139574</v>
      </c>
      <c r="M13" s="371">
        <v>133243</v>
      </c>
      <c r="N13" s="371">
        <v>139602</v>
      </c>
      <c r="O13" s="371">
        <v>133197</v>
      </c>
    </row>
    <row r="14" spans="1:15" ht="15" thickBot="1" x14ac:dyDescent="0.35">
      <c r="A14" s="370" t="s">
        <v>652</v>
      </c>
      <c r="B14" s="371">
        <v>57260</v>
      </c>
      <c r="C14" s="371">
        <v>41993</v>
      </c>
      <c r="D14" s="371">
        <v>38209</v>
      </c>
      <c r="E14" s="371">
        <v>126887</v>
      </c>
      <c r="F14" s="371">
        <v>329153</v>
      </c>
      <c r="G14" s="371">
        <v>333954</v>
      </c>
      <c r="H14" s="371">
        <v>349815</v>
      </c>
      <c r="I14" s="371">
        <v>1052760</v>
      </c>
      <c r="J14" s="371">
        <v>579228</v>
      </c>
      <c r="K14" s="371">
        <v>2146159</v>
      </c>
      <c r="L14" s="371">
        <v>1550653</v>
      </c>
      <c r="M14" s="371">
        <v>1938888</v>
      </c>
      <c r="N14" s="371">
        <v>4095873</v>
      </c>
      <c r="O14" s="371">
        <v>2462401</v>
      </c>
    </row>
    <row r="15" spans="1:15" ht="15" thickBot="1" x14ac:dyDescent="0.35">
      <c r="A15" s="370" t="s">
        <v>653</v>
      </c>
      <c r="B15" s="371">
        <v>1536</v>
      </c>
      <c r="C15" s="371">
        <v>1017</v>
      </c>
      <c r="D15" s="370" t="s">
        <v>515</v>
      </c>
      <c r="E15" s="370" t="s">
        <v>515</v>
      </c>
      <c r="F15" s="370">
        <v>11</v>
      </c>
      <c r="G15" s="370">
        <v>784</v>
      </c>
      <c r="H15" s="370">
        <v>848</v>
      </c>
      <c r="I15" s="371">
        <v>1712</v>
      </c>
      <c r="J15" s="371">
        <v>1455</v>
      </c>
      <c r="K15" s="371">
        <v>1634</v>
      </c>
      <c r="L15" s="371">
        <v>2399</v>
      </c>
      <c r="M15" s="371">
        <v>4201</v>
      </c>
      <c r="N15" s="371">
        <v>2902</v>
      </c>
      <c r="O15" s="371">
        <v>2526</v>
      </c>
    </row>
    <row r="16" spans="1:15" ht="15" thickBot="1" x14ac:dyDescent="0.35">
      <c r="A16" s="370" t="s">
        <v>654</v>
      </c>
      <c r="B16" s="371">
        <v>11640</v>
      </c>
      <c r="C16" s="371">
        <v>4122</v>
      </c>
      <c r="D16" s="371" t="s">
        <v>515</v>
      </c>
      <c r="E16" s="371" t="s">
        <v>515</v>
      </c>
      <c r="F16" s="371">
        <v>1672</v>
      </c>
      <c r="G16" s="371">
        <v>5406</v>
      </c>
      <c r="H16" s="371">
        <v>4081</v>
      </c>
      <c r="I16" s="371">
        <v>11302</v>
      </c>
      <c r="J16" s="371">
        <v>7401</v>
      </c>
      <c r="K16" s="371">
        <v>8971</v>
      </c>
      <c r="L16" s="371">
        <v>9235</v>
      </c>
      <c r="M16" s="371">
        <v>8606</v>
      </c>
      <c r="N16" s="371">
        <v>9650</v>
      </c>
      <c r="O16" s="371">
        <v>8764</v>
      </c>
    </row>
    <row r="17" spans="1:15" ht="15" thickBot="1" x14ac:dyDescent="0.35">
      <c r="A17" s="370" t="s">
        <v>655</v>
      </c>
      <c r="B17" s="370">
        <v>692</v>
      </c>
      <c r="C17" s="370">
        <v>475</v>
      </c>
      <c r="D17" s="370" t="s">
        <v>515</v>
      </c>
      <c r="E17" s="370" t="s">
        <v>515</v>
      </c>
      <c r="F17" s="370">
        <v>4</v>
      </c>
      <c r="G17" s="371">
        <v>1596</v>
      </c>
      <c r="H17" s="371">
        <v>1392</v>
      </c>
      <c r="I17" s="370">
        <v>870</v>
      </c>
      <c r="J17" s="371">
        <v>1927</v>
      </c>
      <c r="K17" s="370">
        <v>237</v>
      </c>
      <c r="L17" s="371">
        <v>57</v>
      </c>
      <c r="M17" s="371">
        <v>88</v>
      </c>
      <c r="N17" s="371">
        <v>553</v>
      </c>
      <c r="O17" s="371">
        <v>67</v>
      </c>
    </row>
    <row r="18" spans="1:15" ht="15" thickBot="1" x14ac:dyDescent="0.35">
      <c r="A18" s="370" t="s">
        <v>656</v>
      </c>
      <c r="B18" s="371">
        <v>2866</v>
      </c>
      <c r="C18" s="371">
        <v>3911</v>
      </c>
      <c r="D18" s="370" t="s">
        <v>515</v>
      </c>
      <c r="E18" s="370" t="s">
        <v>515</v>
      </c>
      <c r="F18" s="371">
        <v>2187</v>
      </c>
      <c r="G18" s="371">
        <v>1543</v>
      </c>
      <c r="H18" s="371">
        <v>2236</v>
      </c>
      <c r="I18" s="370">
        <v>704</v>
      </c>
      <c r="J18" s="371">
        <v>2110</v>
      </c>
      <c r="K18" s="370">
        <v>504</v>
      </c>
      <c r="L18" s="371">
        <v>989</v>
      </c>
      <c r="M18" s="371">
        <v>1014</v>
      </c>
      <c r="N18" s="371">
        <v>1243</v>
      </c>
      <c r="O18" s="371">
        <v>1027</v>
      </c>
    </row>
  </sheetData>
  <pageMargins left="0.7" right="0.7" top="0.75" bottom="0.75" header="0.3" footer="0.3"/>
  <drawing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C23B8-1EA2-4931-8AAD-7C3EE8355A1C}">
  <dimension ref="A1:M30"/>
  <sheetViews>
    <sheetView workbookViewId="0"/>
  </sheetViews>
  <sheetFormatPr baseColWidth="10" defaultColWidth="11.44140625" defaultRowHeight="14.4" x14ac:dyDescent="0.3"/>
  <cols>
    <col min="1" max="1" width="27.44140625" customWidth="1"/>
    <col min="2" max="2" width="26" customWidth="1"/>
    <col min="3" max="3" width="8.44140625" bestFit="1" customWidth="1"/>
    <col min="4" max="6" width="5" bestFit="1" customWidth="1"/>
    <col min="7" max="8" width="5.44140625" bestFit="1" customWidth="1"/>
    <col min="9" max="13" width="7.44140625" customWidth="1"/>
  </cols>
  <sheetData>
    <row r="1" spans="1:13" x14ac:dyDescent="0.3">
      <c r="A1" t="s">
        <v>355</v>
      </c>
      <c r="B1">
        <v>44</v>
      </c>
    </row>
    <row r="2" spans="1:13" x14ac:dyDescent="0.3">
      <c r="A2" t="s">
        <v>5</v>
      </c>
      <c r="B2" t="s">
        <v>74</v>
      </c>
    </row>
    <row r="3" spans="1:13" ht="15" thickBot="1" x14ac:dyDescent="0.35"/>
    <row r="4" spans="1:13" ht="15" customHeight="1" thickBot="1" x14ac:dyDescent="0.35">
      <c r="A4" s="626"/>
      <c r="B4" s="626"/>
      <c r="C4" s="626"/>
      <c r="D4" s="629" t="s">
        <v>657</v>
      </c>
      <c r="E4" s="629"/>
      <c r="F4" s="629"/>
      <c r="G4" s="629"/>
      <c r="H4" s="629"/>
      <c r="I4" s="629"/>
      <c r="J4" s="629"/>
      <c r="K4" s="90"/>
      <c r="L4" s="90"/>
      <c r="M4" s="90"/>
    </row>
    <row r="5" spans="1:13" ht="40.5" customHeight="1" thickBot="1" x14ac:dyDescent="0.35">
      <c r="A5" s="94" t="s">
        <v>658</v>
      </c>
      <c r="B5" s="94" t="s">
        <v>659</v>
      </c>
      <c r="C5" s="94" t="s">
        <v>660</v>
      </c>
      <c r="D5" s="94">
        <v>2019</v>
      </c>
      <c r="E5" s="94">
        <v>2020</v>
      </c>
      <c r="F5" s="94">
        <v>2021</v>
      </c>
      <c r="G5" s="94">
        <v>2022</v>
      </c>
      <c r="H5" s="94">
        <v>2023</v>
      </c>
      <c r="I5" s="94" t="s">
        <v>358</v>
      </c>
      <c r="J5" s="94" t="s">
        <v>359</v>
      </c>
      <c r="K5" s="94" t="s">
        <v>360</v>
      </c>
      <c r="L5" s="94" t="s">
        <v>361</v>
      </c>
      <c r="M5" s="94" t="s">
        <v>362</v>
      </c>
    </row>
    <row r="6" spans="1:13" ht="25.5" customHeight="1" x14ac:dyDescent="0.3">
      <c r="A6" s="93" t="s">
        <v>661</v>
      </c>
      <c r="B6" s="627" t="s">
        <v>662</v>
      </c>
      <c r="C6" s="627" t="s">
        <v>663</v>
      </c>
      <c r="D6" s="627">
        <v>18</v>
      </c>
      <c r="E6" s="627">
        <v>20</v>
      </c>
      <c r="F6" s="627">
        <v>32</v>
      </c>
      <c r="G6" s="627">
        <v>35</v>
      </c>
      <c r="H6" s="627">
        <v>32</v>
      </c>
      <c r="I6" s="627">
        <v>8</v>
      </c>
      <c r="J6" s="627">
        <v>7</v>
      </c>
      <c r="K6" s="627">
        <v>3</v>
      </c>
      <c r="L6" s="627"/>
      <c r="M6" s="627"/>
    </row>
    <row r="7" spans="1:13" ht="27" thickBot="1" x14ac:dyDescent="0.35">
      <c r="A7" s="71" t="s">
        <v>664</v>
      </c>
      <c r="B7" s="628"/>
      <c r="C7" s="628"/>
      <c r="D7" s="628"/>
      <c r="E7" s="628"/>
      <c r="F7" s="628"/>
      <c r="G7" s="628"/>
      <c r="H7" s="628"/>
      <c r="I7" s="628"/>
      <c r="J7" s="628"/>
      <c r="K7" s="628"/>
      <c r="L7" s="628"/>
      <c r="M7" s="628"/>
    </row>
    <row r="8" spans="1:13" ht="51.75" customHeight="1" x14ac:dyDescent="0.3">
      <c r="A8" s="93" t="s">
        <v>665</v>
      </c>
      <c r="B8" s="627" t="s">
        <v>666</v>
      </c>
      <c r="C8" s="627" t="s">
        <v>667</v>
      </c>
      <c r="D8" s="627">
        <v>19</v>
      </c>
      <c r="E8" s="627">
        <v>13</v>
      </c>
      <c r="F8" s="627">
        <v>12</v>
      </c>
      <c r="G8" s="627">
        <v>16</v>
      </c>
      <c r="H8" s="627">
        <v>13</v>
      </c>
      <c r="I8" s="627">
        <v>0</v>
      </c>
      <c r="J8" s="627">
        <v>9</v>
      </c>
      <c r="K8" s="627">
        <v>10</v>
      </c>
      <c r="L8" s="627"/>
      <c r="M8" s="627"/>
    </row>
    <row r="9" spans="1:13" ht="27" thickBot="1" x14ac:dyDescent="0.35">
      <c r="A9" s="71" t="s">
        <v>668</v>
      </c>
      <c r="B9" s="628"/>
      <c r="C9" s="628"/>
      <c r="D9" s="628"/>
      <c r="E9" s="628"/>
      <c r="F9" s="628"/>
      <c r="G9" s="628"/>
      <c r="H9" s="628"/>
      <c r="I9" s="628"/>
      <c r="J9" s="628"/>
      <c r="K9" s="628"/>
      <c r="L9" s="628"/>
      <c r="M9" s="628"/>
    </row>
    <row r="10" spans="1:13" ht="51.75" customHeight="1" x14ac:dyDescent="0.3">
      <c r="A10" s="93" t="s">
        <v>669</v>
      </c>
      <c r="B10" s="627" t="s">
        <v>670</v>
      </c>
      <c r="C10" s="627" t="s">
        <v>663</v>
      </c>
      <c r="D10" s="627">
        <v>9</v>
      </c>
      <c r="E10" s="627">
        <v>41</v>
      </c>
      <c r="F10" s="627">
        <v>41</v>
      </c>
      <c r="G10" s="627">
        <v>14</v>
      </c>
      <c r="H10" s="627">
        <v>5</v>
      </c>
      <c r="I10" s="627">
        <v>0</v>
      </c>
      <c r="J10" s="627">
        <v>4</v>
      </c>
      <c r="K10" s="627">
        <v>5</v>
      </c>
      <c r="L10" s="627"/>
      <c r="M10" s="627"/>
    </row>
    <row r="11" spans="1:13" ht="27" thickBot="1" x14ac:dyDescent="0.35">
      <c r="A11" s="71" t="s">
        <v>671</v>
      </c>
      <c r="B11" s="628"/>
      <c r="C11" s="628"/>
      <c r="D11" s="628"/>
      <c r="E11" s="628"/>
      <c r="F11" s="628"/>
      <c r="G11" s="628"/>
      <c r="H11" s="628"/>
      <c r="I11" s="628"/>
      <c r="J11" s="628"/>
      <c r="K11" s="628"/>
      <c r="L11" s="628"/>
      <c r="M11" s="628"/>
    </row>
    <row r="12" spans="1:13" ht="24" customHeight="1" x14ac:dyDescent="0.3">
      <c r="A12" s="93" t="s">
        <v>672</v>
      </c>
      <c r="B12" s="627" t="s">
        <v>673</v>
      </c>
      <c r="C12" s="627" t="s">
        <v>663</v>
      </c>
      <c r="D12" s="627">
        <v>22</v>
      </c>
      <c r="E12" s="627">
        <v>44</v>
      </c>
      <c r="F12" s="627">
        <v>45</v>
      </c>
      <c r="G12" s="627">
        <v>45</v>
      </c>
      <c r="H12" s="627">
        <v>26</v>
      </c>
      <c r="I12" s="627">
        <v>9</v>
      </c>
      <c r="J12" s="627">
        <v>8</v>
      </c>
      <c r="K12" s="627">
        <v>0</v>
      </c>
      <c r="L12" s="627"/>
      <c r="M12" s="627"/>
    </row>
    <row r="13" spans="1:13" ht="15" thickBot="1" x14ac:dyDescent="0.35">
      <c r="A13" s="71" t="s">
        <v>674</v>
      </c>
      <c r="B13" s="628"/>
      <c r="C13" s="628"/>
      <c r="D13" s="628"/>
      <c r="E13" s="628"/>
      <c r="F13" s="628"/>
      <c r="G13" s="628"/>
      <c r="H13" s="628"/>
      <c r="I13" s="628"/>
      <c r="J13" s="628"/>
      <c r="K13" s="628"/>
      <c r="L13" s="628"/>
      <c r="M13" s="628"/>
    </row>
    <row r="14" spans="1:13" x14ac:dyDescent="0.3">
      <c r="A14" s="93" t="s">
        <v>675</v>
      </c>
      <c r="B14" s="627" t="s">
        <v>676</v>
      </c>
      <c r="C14" s="627" t="s">
        <v>667</v>
      </c>
      <c r="D14" s="627"/>
      <c r="E14" s="627"/>
      <c r="F14" s="627"/>
      <c r="G14" s="627">
        <v>8</v>
      </c>
      <c r="H14" s="627">
        <v>0</v>
      </c>
      <c r="I14" s="627">
        <v>0</v>
      </c>
      <c r="J14" s="627">
        <v>8</v>
      </c>
      <c r="K14" s="627">
        <v>0</v>
      </c>
      <c r="L14" s="627"/>
      <c r="M14" s="627"/>
    </row>
    <row r="15" spans="1:13" ht="27" thickBot="1" x14ac:dyDescent="0.35">
      <c r="A15" s="71" t="s">
        <v>677</v>
      </c>
      <c r="B15" s="628"/>
      <c r="C15" s="628"/>
      <c r="D15" s="628"/>
      <c r="E15" s="628"/>
      <c r="F15" s="628"/>
      <c r="G15" s="628"/>
      <c r="H15" s="628"/>
      <c r="I15" s="628"/>
      <c r="J15" s="628"/>
      <c r="K15" s="628"/>
      <c r="L15" s="628"/>
      <c r="M15" s="628"/>
    </row>
    <row r="16" spans="1:13" ht="37.35" customHeight="1" x14ac:dyDescent="0.3">
      <c r="A16" s="92" t="s">
        <v>678</v>
      </c>
      <c r="B16" s="627" t="s">
        <v>679</v>
      </c>
      <c r="C16" s="627" t="s">
        <v>663</v>
      </c>
      <c r="D16" s="627">
        <v>22</v>
      </c>
      <c r="E16" s="627">
        <v>30</v>
      </c>
      <c r="F16" s="627">
        <v>48</v>
      </c>
      <c r="G16" s="627">
        <v>44</v>
      </c>
      <c r="H16" s="627">
        <v>11</v>
      </c>
      <c r="I16" s="627">
        <v>7</v>
      </c>
      <c r="J16" s="627">
        <v>7</v>
      </c>
      <c r="K16" s="627">
        <v>5</v>
      </c>
      <c r="L16" s="627"/>
      <c r="M16" s="627"/>
    </row>
    <row r="17" spans="1:13" ht="15" thickBot="1" x14ac:dyDescent="0.35">
      <c r="A17" s="71" t="s">
        <v>680</v>
      </c>
      <c r="B17" s="628"/>
      <c r="C17" s="628"/>
      <c r="D17" s="628"/>
      <c r="E17" s="628"/>
      <c r="F17" s="628"/>
      <c r="G17" s="628"/>
      <c r="H17" s="628"/>
      <c r="I17" s="628"/>
      <c r="J17" s="628"/>
      <c r="K17" s="628"/>
      <c r="L17" s="628"/>
      <c r="M17" s="628"/>
    </row>
    <row r="18" spans="1:13" ht="22.35" customHeight="1" x14ac:dyDescent="0.3">
      <c r="A18" s="93" t="s">
        <v>681</v>
      </c>
      <c r="B18" s="627" t="s">
        <v>682</v>
      </c>
      <c r="C18" s="627" t="s">
        <v>667</v>
      </c>
      <c r="D18" s="627"/>
      <c r="E18" s="627">
        <v>10</v>
      </c>
      <c r="F18" s="627">
        <v>8</v>
      </c>
      <c r="G18" s="627">
        <v>6</v>
      </c>
      <c r="H18" s="627">
        <v>9</v>
      </c>
      <c r="I18" s="627">
        <v>0</v>
      </c>
      <c r="J18" s="627">
        <v>7</v>
      </c>
      <c r="K18" s="627">
        <v>0</v>
      </c>
      <c r="L18" s="627"/>
      <c r="M18" s="627"/>
    </row>
    <row r="19" spans="1:13" x14ac:dyDescent="0.3">
      <c r="A19" s="92" t="s">
        <v>683</v>
      </c>
      <c r="B19" s="630"/>
      <c r="C19" s="630"/>
      <c r="D19" s="630"/>
      <c r="E19" s="630"/>
      <c r="F19" s="630"/>
      <c r="G19" s="630"/>
      <c r="H19" s="630"/>
      <c r="I19" s="630"/>
      <c r="J19" s="630"/>
      <c r="K19" s="630"/>
      <c r="L19" s="630"/>
      <c r="M19" s="630"/>
    </row>
    <row r="20" spans="1:13" ht="15" thickBot="1" x14ac:dyDescent="0.35">
      <c r="A20" s="71"/>
      <c r="B20" s="628"/>
      <c r="C20" s="628"/>
      <c r="D20" s="628"/>
      <c r="E20" s="628"/>
      <c r="F20" s="628"/>
      <c r="G20" s="628"/>
      <c r="H20" s="628"/>
      <c r="I20" s="628"/>
      <c r="J20" s="628"/>
      <c r="K20" s="628"/>
      <c r="L20" s="628"/>
      <c r="M20" s="628"/>
    </row>
    <row r="21" spans="1:13" ht="50.25" customHeight="1" x14ac:dyDescent="0.3">
      <c r="A21" s="92" t="s">
        <v>684</v>
      </c>
      <c r="B21" s="627" t="s">
        <v>685</v>
      </c>
      <c r="C21" s="627" t="s">
        <v>667</v>
      </c>
      <c r="D21" s="627">
        <v>27</v>
      </c>
      <c r="E21" s="627">
        <v>28</v>
      </c>
      <c r="F21" s="627">
        <v>0</v>
      </c>
      <c r="G21" s="627">
        <v>9</v>
      </c>
      <c r="H21" s="627">
        <v>0</v>
      </c>
      <c r="I21" s="627">
        <v>0</v>
      </c>
      <c r="J21" s="627">
        <v>0</v>
      </c>
      <c r="K21" s="627">
        <v>2</v>
      </c>
      <c r="L21" s="627"/>
      <c r="M21" s="627"/>
    </row>
    <row r="22" spans="1:13" ht="15" thickBot="1" x14ac:dyDescent="0.35">
      <c r="A22" s="71" t="s">
        <v>686</v>
      </c>
      <c r="B22" s="628"/>
      <c r="C22" s="628"/>
      <c r="D22" s="628"/>
      <c r="E22" s="628"/>
      <c r="F22" s="628"/>
      <c r="G22" s="628"/>
      <c r="H22" s="628"/>
      <c r="I22" s="628"/>
      <c r="J22" s="628"/>
      <c r="K22" s="628"/>
      <c r="L22" s="628"/>
      <c r="M22" s="628"/>
    </row>
    <row r="23" spans="1:13" ht="63" customHeight="1" x14ac:dyDescent="0.3">
      <c r="A23" s="93" t="s">
        <v>687</v>
      </c>
      <c r="B23" s="627" t="s">
        <v>688</v>
      </c>
      <c r="C23" s="627" t="s">
        <v>663</v>
      </c>
      <c r="D23" s="627">
        <v>9</v>
      </c>
      <c r="E23" s="627">
        <v>14</v>
      </c>
      <c r="F23" s="627">
        <v>9</v>
      </c>
      <c r="G23" s="627">
        <v>36</v>
      </c>
      <c r="H23" s="627">
        <v>28</v>
      </c>
      <c r="I23" s="627">
        <v>12</v>
      </c>
      <c r="J23" s="627">
        <v>12</v>
      </c>
      <c r="K23" s="627">
        <v>11</v>
      </c>
      <c r="L23" s="627"/>
      <c r="M23" s="627"/>
    </row>
    <row r="24" spans="1:13" ht="15" thickBot="1" x14ac:dyDescent="0.35">
      <c r="A24" s="71" t="s">
        <v>689</v>
      </c>
      <c r="B24" s="628"/>
      <c r="C24" s="628"/>
      <c r="D24" s="628"/>
      <c r="E24" s="628"/>
      <c r="F24" s="628"/>
      <c r="G24" s="628"/>
      <c r="H24" s="628"/>
      <c r="I24" s="628"/>
      <c r="J24" s="628"/>
      <c r="K24" s="628"/>
      <c r="L24" s="628"/>
      <c r="M24" s="628"/>
    </row>
    <row r="25" spans="1:13" x14ac:dyDescent="0.3">
      <c r="A25" s="93" t="s">
        <v>690</v>
      </c>
      <c r="B25" s="627" t="s">
        <v>691</v>
      </c>
      <c r="C25" s="627" t="s">
        <v>667</v>
      </c>
      <c r="D25" s="627"/>
      <c r="E25" s="627"/>
      <c r="F25" s="627">
        <v>9</v>
      </c>
      <c r="G25" s="627">
        <v>8</v>
      </c>
      <c r="H25" s="627">
        <v>8</v>
      </c>
      <c r="I25" s="627">
        <v>7</v>
      </c>
      <c r="J25" s="627">
        <v>6</v>
      </c>
      <c r="K25" s="627">
        <v>8</v>
      </c>
      <c r="L25" s="627"/>
      <c r="M25" s="627"/>
    </row>
    <row r="26" spans="1:13" ht="15" thickBot="1" x14ac:dyDescent="0.35">
      <c r="A26" s="71" t="s">
        <v>692</v>
      </c>
      <c r="B26" s="628"/>
      <c r="C26" s="628"/>
      <c r="D26" s="628"/>
      <c r="E26" s="628"/>
      <c r="F26" s="628"/>
      <c r="G26" s="628"/>
      <c r="H26" s="628"/>
      <c r="I26" s="628"/>
      <c r="J26" s="628"/>
      <c r="K26" s="628"/>
      <c r="L26" s="628"/>
      <c r="M26" s="628"/>
    </row>
    <row r="27" spans="1:13" ht="63" customHeight="1" x14ac:dyDescent="0.3">
      <c r="A27" s="93" t="s">
        <v>693</v>
      </c>
      <c r="B27" s="627" t="s">
        <v>694</v>
      </c>
      <c r="C27" s="627" t="s">
        <v>667</v>
      </c>
      <c r="D27" s="627"/>
      <c r="E27" s="627"/>
      <c r="F27" s="627">
        <v>11</v>
      </c>
      <c r="G27" s="627">
        <v>10</v>
      </c>
      <c r="H27" s="627" t="s">
        <v>695</v>
      </c>
      <c r="I27" s="627"/>
      <c r="J27" s="627"/>
      <c r="K27" s="627"/>
      <c r="L27" s="627"/>
      <c r="M27" s="627"/>
    </row>
    <row r="28" spans="1:13" ht="15" thickBot="1" x14ac:dyDescent="0.35">
      <c r="A28" s="71" t="s">
        <v>696</v>
      </c>
      <c r="B28" s="628"/>
      <c r="C28" s="628"/>
      <c r="D28" s="628"/>
      <c r="E28" s="628"/>
      <c r="F28" s="628"/>
      <c r="G28" s="628"/>
      <c r="H28" s="628"/>
      <c r="I28" s="628"/>
      <c r="J28" s="628"/>
      <c r="K28" s="628"/>
      <c r="L28" s="628"/>
      <c r="M28" s="628"/>
    </row>
    <row r="29" spans="1:13" ht="50.25" customHeight="1" x14ac:dyDescent="0.3">
      <c r="A29" s="93" t="s">
        <v>697</v>
      </c>
      <c r="B29" s="627" t="s">
        <v>698</v>
      </c>
      <c r="C29" s="627" t="s">
        <v>667</v>
      </c>
      <c r="D29" s="627"/>
      <c r="E29" s="627">
        <v>12</v>
      </c>
      <c r="F29" s="627">
        <v>22</v>
      </c>
      <c r="G29" s="627">
        <v>12</v>
      </c>
      <c r="H29" s="627">
        <v>6</v>
      </c>
      <c r="I29" s="627">
        <v>0</v>
      </c>
      <c r="J29" s="627">
        <v>7</v>
      </c>
      <c r="K29" s="627">
        <v>0</v>
      </c>
      <c r="L29" s="627"/>
      <c r="M29" s="627"/>
    </row>
    <row r="30" spans="1:13" ht="15" thickBot="1" x14ac:dyDescent="0.35">
      <c r="A30" s="71" t="s">
        <v>699</v>
      </c>
      <c r="B30" s="628"/>
      <c r="C30" s="628"/>
      <c r="D30" s="628"/>
      <c r="E30" s="628"/>
      <c r="F30" s="628"/>
      <c r="G30" s="628"/>
      <c r="H30" s="628"/>
      <c r="I30" s="628"/>
      <c r="J30" s="628"/>
      <c r="K30" s="628"/>
      <c r="L30" s="628"/>
      <c r="M30" s="628"/>
    </row>
  </sheetData>
  <mergeCells count="146">
    <mergeCell ref="L25:L26"/>
    <mergeCell ref="L27:L28"/>
    <mergeCell ref="L29:L30"/>
    <mergeCell ref="M6:M7"/>
    <mergeCell ref="M8:M9"/>
    <mergeCell ref="M10:M11"/>
    <mergeCell ref="M12:M13"/>
    <mergeCell ref="M14:M15"/>
    <mergeCell ref="M16:M17"/>
    <mergeCell ref="M18:M20"/>
    <mergeCell ref="M21:M22"/>
    <mergeCell ref="M23:M24"/>
    <mergeCell ref="M25:M26"/>
    <mergeCell ref="M27:M28"/>
    <mergeCell ref="M29:M30"/>
    <mergeCell ref="L6:L7"/>
    <mergeCell ref="L8:L9"/>
    <mergeCell ref="L10:L11"/>
    <mergeCell ref="L12:L13"/>
    <mergeCell ref="L14:L15"/>
    <mergeCell ref="L16:L17"/>
    <mergeCell ref="L18:L20"/>
    <mergeCell ref="L21:L22"/>
    <mergeCell ref="L23:L24"/>
    <mergeCell ref="K25:K26"/>
    <mergeCell ref="K27:K28"/>
    <mergeCell ref="K29:K30"/>
    <mergeCell ref="K6:K7"/>
    <mergeCell ref="K8:K9"/>
    <mergeCell ref="K10:K11"/>
    <mergeCell ref="K12:K13"/>
    <mergeCell ref="K14:K15"/>
    <mergeCell ref="K16:K17"/>
    <mergeCell ref="K18:K20"/>
    <mergeCell ref="K21:K22"/>
    <mergeCell ref="K23:K24"/>
    <mergeCell ref="J18:J20"/>
    <mergeCell ref="J21:J22"/>
    <mergeCell ref="J23:J24"/>
    <mergeCell ref="J25:J26"/>
    <mergeCell ref="J27:J28"/>
    <mergeCell ref="J29:J30"/>
    <mergeCell ref="J6:J7"/>
    <mergeCell ref="J8:J9"/>
    <mergeCell ref="J10:J11"/>
    <mergeCell ref="J12:J13"/>
    <mergeCell ref="J14:J15"/>
    <mergeCell ref="J16:J17"/>
    <mergeCell ref="H27:H28"/>
    <mergeCell ref="I27:I28"/>
    <mergeCell ref="B29:B30"/>
    <mergeCell ref="C29:C30"/>
    <mergeCell ref="D29:D30"/>
    <mergeCell ref="E29:E30"/>
    <mergeCell ref="F29:F30"/>
    <mergeCell ref="G29:G30"/>
    <mergeCell ref="H29:H30"/>
    <mergeCell ref="I29:I30"/>
    <mergeCell ref="B27:B28"/>
    <mergeCell ref="C27:C28"/>
    <mergeCell ref="D27:D28"/>
    <mergeCell ref="E27:E28"/>
    <mergeCell ref="F27:F28"/>
    <mergeCell ref="G27:G28"/>
    <mergeCell ref="H23:H24"/>
    <mergeCell ref="I23:I24"/>
    <mergeCell ref="B25:B26"/>
    <mergeCell ref="C25:C26"/>
    <mergeCell ref="D25:D26"/>
    <mergeCell ref="E25:E26"/>
    <mergeCell ref="F25:F26"/>
    <mergeCell ref="G25:G26"/>
    <mergeCell ref="H25:H26"/>
    <mergeCell ref="I25:I26"/>
    <mergeCell ref="B23:B24"/>
    <mergeCell ref="C23:C24"/>
    <mergeCell ref="D23:D24"/>
    <mergeCell ref="E23:E24"/>
    <mergeCell ref="F23:F24"/>
    <mergeCell ref="G23:G24"/>
    <mergeCell ref="H18:H20"/>
    <mergeCell ref="I18:I20"/>
    <mergeCell ref="B21:B22"/>
    <mergeCell ref="C21:C22"/>
    <mergeCell ref="D21:D22"/>
    <mergeCell ref="E21:E22"/>
    <mergeCell ref="F21:F22"/>
    <mergeCell ref="G21:G22"/>
    <mergeCell ref="H21:H22"/>
    <mergeCell ref="I21:I22"/>
    <mergeCell ref="B18:B20"/>
    <mergeCell ref="C18:C20"/>
    <mergeCell ref="D18:D20"/>
    <mergeCell ref="E18:E20"/>
    <mergeCell ref="F18:F20"/>
    <mergeCell ref="G18:G20"/>
    <mergeCell ref="H14:H15"/>
    <mergeCell ref="I14:I15"/>
    <mergeCell ref="B16:B17"/>
    <mergeCell ref="C16:C17"/>
    <mergeCell ref="D16:D17"/>
    <mergeCell ref="E16:E17"/>
    <mergeCell ref="F16:F17"/>
    <mergeCell ref="G16:G17"/>
    <mergeCell ref="H16:H17"/>
    <mergeCell ref="I16:I17"/>
    <mergeCell ref="B14:B15"/>
    <mergeCell ref="C14:C15"/>
    <mergeCell ref="D14:D15"/>
    <mergeCell ref="E14:E15"/>
    <mergeCell ref="F14:F15"/>
    <mergeCell ref="G14:G15"/>
    <mergeCell ref="H10:H11"/>
    <mergeCell ref="I10:I11"/>
    <mergeCell ref="B12:B13"/>
    <mergeCell ref="C12:C13"/>
    <mergeCell ref="D12:D13"/>
    <mergeCell ref="E12:E13"/>
    <mergeCell ref="F12:F13"/>
    <mergeCell ref="G12:G13"/>
    <mergeCell ref="H12:H13"/>
    <mergeCell ref="I12:I13"/>
    <mergeCell ref="B10:B11"/>
    <mergeCell ref="C10:C11"/>
    <mergeCell ref="D10:D11"/>
    <mergeCell ref="E10:E11"/>
    <mergeCell ref="F10:F11"/>
    <mergeCell ref="G10:G11"/>
    <mergeCell ref="A4:C4"/>
    <mergeCell ref="H6:H7"/>
    <mergeCell ref="I6:I7"/>
    <mergeCell ref="B8:B9"/>
    <mergeCell ref="C8:C9"/>
    <mergeCell ref="D8:D9"/>
    <mergeCell ref="E8:E9"/>
    <mergeCell ref="F8:F9"/>
    <mergeCell ref="G8:G9"/>
    <mergeCell ref="H8:H9"/>
    <mergeCell ref="I8:I9"/>
    <mergeCell ref="B6:B7"/>
    <mergeCell ref="C6:C7"/>
    <mergeCell ref="D6:D7"/>
    <mergeCell ref="E6:E7"/>
    <mergeCell ref="F6:F7"/>
    <mergeCell ref="G6:G7"/>
    <mergeCell ref="D4:J4"/>
  </mergeCells>
  <hyperlinks>
    <hyperlink ref="A6" r:id="rId1" display="https://journal.poligran.edu.co/index.php/panorama" xr:uid="{63E9038F-1794-4447-BDE2-E11CC57424A9}"/>
    <hyperlink ref="A8" r:id="rId2" display="https://journal.poligran.edu.co/index.php/puntodevista" xr:uid="{B1CB5647-D2FC-433A-BE1F-D271B63EECD0}"/>
    <hyperlink ref="A10" r:id="rId3" display="https://journal.poligran.edu.co/index.php/poliantea" xr:uid="{E7E1BA26-B9DD-4F5E-AE40-B9DC16258929}"/>
    <hyperlink ref="A12" r:id="rId4" display="https://journal.poligran.edu.co/index.php/likan" xr:uid="{860557F3-D62B-4C60-B321-2AFB780D89EE}"/>
    <hyperlink ref="A14" r:id="rId5" display="https://journal.poligran.edu.co/index.php/elementos" xr:uid="{347BB419-C69A-4E8C-861A-342FBA9BBEA6}"/>
    <hyperlink ref="A18" r:id="rId6" display="https://journal.poligran.edu.co/index.php/prototypo/index" xr:uid="{F90E6F0F-B0C3-472D-9A1E-B6A7599BE2DA}"/>
    <hyperlink ref="A23" r:id="rId7" display="https://journal.poligran.edu.co/index.php/gsst" xr:uid="{A806F59B-2FC8-4FE7-9E27-CB7FC2DB49BE}"/>
    <hyperlink ref="A25" r:id="rId8" display="https://journal.poligran.edu.co/index.php/desafios" xr:uid="{9CAAF037-411F-4A89-B73F-EE09D110E769}"/>
    <hyperlink ref="A27" r:id="rId9" display="https://journal.poligran.edu.co/index.php/ods" xr:uid="{1E7D6178-2A75-4436-91CC-EE8B16941D2D}"/>
    <hyperlink ref="A29" r:id="rId10" display="https://journal.poligran.edu.co/index.php/posibilidades" xr:uid="{AE4BA9BC-700C-4D94-9DAF-6D51D611EE0C}"/>
  </hyperlinks>
  <pageMargins left="0.7" right="0.7" top="0.75" bottom="0.75" header="0.3" footer="0.3"/>
  <drawing r:id="rId1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4D41C-559A-4196-A154-9C620242C324}">
  <dimension ref="A1:F28"/>
  <sheetViews>
    <sheetView workbookViewId="0"/>
  </sheetViews>
  <sheetFormatPr baseColWidth="10" defaultColWidth="11.44140625" defaultRowHeight="14.4" x14ac:dyDescent="0.3"/>
  <cols>
    <col min="1" max="1" width="10.44140625" customWidth="1"/>
    <col min="2" max="2" width="18.44140625" customWidth="1"/>
    <col min="3" max="3" width="8.44140625" bestFit="1" customWidth="1"/>
    <col min="4" max="4" width="5.44140625" bestFit="1" customWidth="1"/>
    <col min="5" max="5" width="9.44140625" bestFit="1" customWidth="1"/>
    <col min="6" max="6" width="5.44140625" bestFit="1" customWidth="1"/>
    <col min="7" max="7" width="6.44140625" bestFit="1" customWidth="1"/>
    <col min="8" max="8" width="5.44140625" bestFit="1" customWidth="1"/>
    <col min="9" max="9" width="6.44140625" bestFit="1" customWidth="1"/>
    <col min="10" max="10" width="5.44140625" bestFit="1" customWidth="1"/>
    <col min="11" max="11" width="7" bestFit="1" customWidth="1"/>
    <col min="12" max="12" width="5.44140625" bestFit="1" customWidth="1"/>
    <col min="13" max="13" width="6.44140625" bestFit="1" customWidth="1"/>
    <col min="14" max="16" width="5.44140625" bestFit="1" customWidth="1"/>
  </cols>
  <sheetData>
    <row r="1" spans="1:6" x14ac:dyDescent="0.3">
      <c r="A1" t="s">
        <v>355</v>
      </c>
      <c r="B1">
        <v>3</v>
      </c>
    </row>
    <row r="2" spans="1:6" x14ac:dyDescent="0.3">
      <c r="A2" t="s">
        <v>5</v>
      </c>
      <c r="B2" t="s">
        <v>700</v>
      </c>
    </row>
    <row r="4" spans="1:6" ht="16.8" x14ac:dyDescent="0.3">
      <c r="B4" s="66"/>
      <c r="C4" s="66" t="s">
        <v>590</v>
      </c>
    </row>
    <row r="5" spans="1:6" ht="16.8" x14ac:dyDescent="0.3">
      <c r="B5" s="65" t="s">
        <v>701</v>
      </c>
      <c r="C5" s="65">
        <v>9</v>
      </c>
      <c r="E5" s="43"/>
    </row>
    <row r="6" spans="1:6" ht="16.8" x14ac:dyDescent="0.3">
      <c r="B6" s="65" t="s">
        <v>702</v>
      </c>
      <c r="C6" s="65">
        <v>6</v>
      </c>
      <c r="E6" s="42"/>
    </row>
    <row r="7" spans="1:6" ht="16.8" x14ac:dyDescent="0.3">
      <c r="B7" s="65" t="s">
        <v>703</v>
      </c>
      <c r="C7" s="65">
        <v>7</v>
      </c>
      <c r="E7" s="44"/>
      <c r="F7" s="44"/>
    </row>
    <row r="8" spans="1:6" ht="16.8" x14ac:dyDescent="0.3">
      <c r="B8" s="65" t="s">
        <v>704</v>
      </c>
      <c r="C8" s="65">
        <v>8</v>
      </c>
      <c r="E8" s="45"/>
      <c r="F8" s="45"/>
    </row>
    <row r="9" spans="1:6" ht="16.8" x14ac:dyDescent="0.3">
      <c r="B9" s="65" t="s">
        <v>705</v>
      </c>
      <c r="C9" s="65">
        <v>23</v>
      </c>
      <c r="E9" s="45"/>
      <c r="F9" s="45"/>
    </row>
    <row r="20" spans="1:3" x14ac:dyDescent="0.3">
      <c r="A20" t="s">
        <v>355</v>
      </c>
      <c r="B20">
        <v>3</v>
      </c>
    </row>
    <row r="21" spans="1:3" x14ac:dyDescent="0.3">
      <c r="A21" t="s">
        <v>5</v>
      </c>
      <c r="B21" t="s">
        <v>706</v>
      </c>
    </row>
    <row r="23" spans="1:3" ht="16.8" x14ac:dyDescent="0.3">
      <c r="B23" s="66"/>
      <c r="C23" s="66" t="s">
        <v>590</v>
      </c>
    </row>
    <row r="24" spans="1:3" ht="16.8" x14ac:dyDescent="0.3">
      <c r="B24" s="65" t="s">
        <v>701</v>
      </c>
      <c r="C24" s="65">
        <v>3</v>
      </c>
    </row>
    <row r="25" spans="1:3" ht="16.8" x14ac:dyDescent="0.3">
      <c r="B25" s="65" t="s">
        <v>702</v>
      </c>
      <c r="C25" s="65">
        <v>2</v>
      </c>
    </row>
    <row r="26" spans="1:3" ht="16.8" x14ac:dyDescent="0.3">
      <c r="B26" s="65" t="s">
        <v>703</v>
      </c>
      <c r="C26" s="65">
        <v>1</v>
      </c>
    </row>
    <row r="27" spans="1:3" ht="16.8" x14ac:dyDescent="0.3">
      <c r="B27" s="65" t="s">
        <v>704</v>
      </c>
      <c r="C27" s="65">
        <v>11</v>
      </c>
    </row>
    <row r="28" spans="1:3" ht="16.8" x14ac:dyDescent="0.3">
      <c r="B28" s="65" t="s">
        <v>705</v>
      </c>
      <c r="C28" s="65">
        <v>28</v>
      </c>
    </row>
  </sheetData>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A82A3-4CC7-4AB4-B402-A9881E1C6659}">
  <dimension ref="A1:E13"/>
  <sheetViews>
    <sheetView workbookViewId="0">
      <selection activeCell="E14" sqref="E14"/>
    </sheetView>
  </sheetViews>
  <sheetFormatPr baseColWidth="10" defaultColWidth="11.44140625" defaultRowHeight="14.4" x14ac:dyDescent="0.3"/>
  <cols>
    <col min="1" max="1" width="10.44140625" customWidth="1"/>
    <col min="2" max="2" width="18.44140625" customWidth="1"/>
    <col min="3" max="3" width="8.44140625" bestFit="1" customWidth="1"/>
    <col min="4" max="4" width="9.44140625" customWidth="1"/>
    <col min="5" max="5" width="9.44140625" bestFit="1" customWidth="1"/>
    <col min="6" max="6" width="5.44140625" bestFit="1" customWidth="1"/>
    <col min="7" max="7" width="6.44140625" bestFit="1" customWidth="1"/>
    <col min="8" max="8" width="5.44140625" bestFit="1" customWidth="1"/>
    <col min="9" max="9" width="6.44140625" bestFit="1" customWidth="1"/>
    <col min="10" max="10" width="5.44140625" bestFit="1" customWidth="1"/>
    <col min="11" max="11" width="7" bestFit="1" customWidth="1"/>
    <col min="12" max="12" width="5.44140625" bestFit="1" customWidth="1"/>
    <col min="13" max="13" width="6.44140625" bestFit="1" customWidth="1"/>
    <col min="14" max="16" width="5.44140625" bestFit="1" customWidth="1"/>
  </cols>
  <sheetData>
    <row r="1" spans="1:5" x14ac:dyDescent="0.3">
      <c r="A1" t="s">
        <v>355</v>
      </c>
      <c r="B1">
        <v>45</v>
      </c>
    </row>
    <row r="2" spans="1:5" x14ac:dyDescent="0.3">
      <c r="A2" t="s">
        <v>5</v>
      </c>
      <c r="B2" t="s">
        <v>707</v>
      </c>
    </row>
    <row r="3" spans="1:5" ht="15" thickBot="1" x14ac:dyDescent="0.35"/>
    <row r="4" spans="1:5" ht="30.6" thickBot="1" x14ac:dyDescent="0.35">
      <c r="B4" s="95" t="s">
        <v>708</v>
      </c>
      <c r="C4" s="95" t="s">
        <v>709</v>
      </c>
      <c r="D4" s="95" t="s">
        <v>710</v>
      </c>
      <c r="E4" s="95" t="s">
        <v>711</v>
      </c>
    </row>
    <row r="5" spans="1:5" ht="15" x14ac:dyDescent="0.3">
      <c r="B5" s="48" t="s">
        <v>712</v>
      </c>
      <c r="C5" s="48">
        <v>0</v>
      </c>
      <c r="D5" s="48" t="s">
        <v>713</v>
      </c>
      <c r="E5" s="48">
        <v>35</v>
      </c>
    </row>
    <row r="9" spans="1:5" x14ac:dyDescent="0.3">
      <c r="A9" t="s">
        <v>355</v>
      </c>
      <c r="B9">
        <v>45</v>
      </c>
    </row>
    <row r="10" spans="1:5" x14ac:dyDescent="0.3">
      <c r="A10" t="s">
        <v>5</v>
      </c>
      <c r="B10" t="s">
        <v>714</v>
      </c>
    </row>
    <row r="11" spans="1:5" ht="15" thickBot="1" x14ac:dyDescent="0.35"/>
    <row r="12" spans="1:5" ht="30.6" thickBot="1" x14ac:dyDescent="0.35">
      <c r="B12" s="95" t="s">
        <v>708</v>
      </c>
      <c r="C12" s="95" t="s">
        <v>709</v>
      </c>
      <c r="D12" s="95" t="s">
        <v>710</v>
      </c>
      <c r="E12" s="95" t="s">
        <v>711</v>
      </c>
    </row>
    <row r="13" spans="1:5" ht="15" x14ac:dyDescent="0.3">
      <c r="B13" s="48" t="s">
        <v>712</v>
      </c>
      <c r="C13" s="48">
        <v>0</v>
      </c>
      <c r="D13" s="48">
        <v>26</v>
      </c>
      <c r="E13" s="48">
        <v>50</v>
      </c>
    </row>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3E2B0-47BD-4C8F-A868-B8019CA3EE9C}">
  <dimension ref="A1:J6"/>
  <sheetViews>
    <sheetView workbookViewId="0">
      <selection activeCell="I8" sqref="I8"/>
    </sheetView>
  </sheetViews>
  <sheetFormatPr baseColWidth="10" defaultColWidth="11.44140625" defaultRowHeight="14.4" x14ac:dyDescent="0.3"/>
  <cols>
    <col min="1" max="1" width="10.44140625" customWidth="1"/>
    <col min="2" max="2" width="18.44140625" customWidth="1"/>
    <col min="3" max="3" width="8.44140625" bestFit="1" customWidth="1"/>
    <col min="4" max="4" width="5.44140625" bestFit="1" customWidth="1"/>
    <col min="5" max="5" width="9.44140625" bestFit="1" customWidth="1"/>
    <col min="6" max="6" width="5.44140625" bestFit="1" customWidth="1"/>
    <col min="7" max="7" width="6.44140625" bestFit="1" customWidth="1"/>
    <col min="8" max="8" width="5.44140625" bestFit="1" customWidth="1"/>
    <col min="9" max="10" width="7.44140625" customWidth="1"/>
    <col min="11" max="11" width="6.44140625" bestFit="1" customWidth="1"/>
    <col min="12" max="12" width="5.44140625" bestFit="1" customWidth="1"/>
    <col min="13" max="13" width="7" bestFit="1" customWidth="1"/>
    <col min="14" max="14" width="5.44140625" bestFit="1" customWidth="1"/>
    <col min="15" max="15" width="6.44140625" bestFit="1" customWidth="1"/>
    <col min="16" max="18" width="5.44140625" bestFit="1" customWidth="1"/>
  </cols>
  <sheetData>
    <row r="1" spans="1:10" x14ac:dyDescent="0.3">
      <c r="A1" t="s">
        <v>355</v>
      </c>
      <c r="B1">
        <v>46</v>
      </c>
    </row>
    <row r="2" spans="1:10" x14ac:dyDescent="0.3">
      <c r="A2" t="s">
        <v>5</v>
      </c>
      <c r="B2" t="s">
        <v>82</v>
      </c>
    </row>
    <row r="3" spans="1:10" ht="15" thickBot="1" x14ac:dyDescent="0.35"/>
    <row r="4" spans="1:10" ht="15.6" thickBot="1" x14ac:dyDescent="0.35">
      <c r="B4" s="96" t="s">
        <v>715</v>
      </c>
      <c r="C4" s="96">
        <v>2019</v>
      </c>
      <c r="D4" s="96">
        <v>2020</v>
      </c>
      <c r="E4" s="96">
        <v>2021</v>
      </c>
      <c r="F4" s="96">
        <v>2022</v>
      </c>
      <c r="G4" s="96">
        <v>2023</v>
      </c>
      <c r="H4" s="96">
        <v>2024</v>
      </c>
      <c r="I4" s="400">
        <v>2025</v>
      </c>
      <c r="J4" s="400" t="s">
        <v>362</v>
      </c>
    </row>
    <row r="5" spans="1:10" ht="30" x14ac:dyDescent="0.3">
      <c r="B5" s="48" t="s">
        <v>716</v>
      </c>
      <c r="C5" s="48">
        <v>4</v>
      </c>
      <c r="D5" s="48">
        <v>8</v>
      </c>
      <c r="E5" s="48">
        <v>9</v>
      </c>
      <c r="F5" s="48">
        <v>1</v>
      </c>
      <c r="G5" s="48">
        <v>1</v>
      </c>
      <c r="H5" s="48">
        <v>3</v>
      </c>
      <c r="I5" s="48">
        <v>4</v>
      </c>
      <c r="J5" s="48"/>
    </row>
    <row r="6" spans="1:10" ht="30" x14ac:dyDescent="0.3">
      <c r="B6" s="48" t="s">
        <v>717</v>
      </c>
      <c r="C6" s="97"/>
      <c r="D6" s="97"/>
      <c r="E6" s="48">
        <v>1</v>
      </c>
      <c r="F6" s="48">
        <v>7</v>
      </c>
      <c r="G6" s="48">
        <v>0</v>
      </c>
      <c r="H6" s="48">
        <v>0</v>
      </c>
      <c r="I6" s="48">
        <v>8</v>
      </c>
      <c r="J6" s="48">
        <v>11</v>
      </c>
    </row>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E6837-2091-49B7-8302-1F6FF65BA992}">
  <dimension ref="A1:J36"/>
  <sheetViews>
    <sheetView topLeftCell="A14" workbookViewId="0">
      <selection activeCell="M10" sqref="M10"/>
    </sheetView>
  </sheetViews>
  <sheetFormatPr baseColWidth="10" defaultColWidth="11.44140625" defaultRowHeight="14.4" x14ac:dyDescent="0.3"/>
  <cols>
    <col min="1" max="1" width="10.44140625" customWidth="1"/>
    <col min="2" max="2" width="31.88671875" customWidth="1"/>
    <col min="3" max="10" width="8" customWidth="1"/>
    <col min="11" max="11" width="5.44140625" bestFit="1" customWidth="1"/>
    <col min="12" max="12" width="7" bestFit="1" customWidth="1"/>
    <col min="13" max="13" width="5.44140625" bestFit="1" customWidth="1"/>
    <col min="14" max="14" width="6.44140625" bestFit="1" customWidth="1"/>
    <col min="15" max="17" width="5.44140625" bestFit="1" customWidth="1"/>
  </cols>
  <sheetData>
    <row r="1" spans="1:10" x14ac:dyDescent="0.3">
      <c r="A1" t="s">
        <v>355</v>
      </c>
      <c r="B1">
        <v>47</v>
      </c>
    </row>
    <row r="2" spans="1:10" x14ac:dyDescent="0.3">
      <c r="A2" t="s">
        <v>5</v>
      </c>
      <c r="B2" t="s">
        <v>83</v>
      </c>
    </row>
    <row r="4" spans="1:10" x14ac:dyDescent="0.3">
      <c r="B4" s="631" t="s">
        <v>718</v>
      </c>
      <c r="C4" s="631" t="s">
        <v>719</v>
      </c>
      <c r="D4" s="631" t="s">
        <v>720</v>
      </c>
      <c r="E4" s="631" t="s">
        <v>721</v>
      </c>
      <c r="F4" s="631" t="s">
        <v>722</v>
      </c>
      <c r="G4" s="631" t="s">
        <v>723</v>
      </c>
      <c r="H4" s="631" t="s">
        <v>724</v>
      </c>
      <c r="I4" s="632" t="s">
        <v>725</v>
      </c>
      <c r="J4" s="632" t="s">
        <v>726</v>
      </c>
    </row>
    <row r="5" spans="1:10" x14ac:dyDescent="0.3">
      <c r="B5" s="629"/>
      <c r="C5" s="629"/>
      <c r="D5" s="629"/>
      <c r="E5" s="629"/>
      <c r="F5" s="629"/>
      <c r="G5" s="629"/>
      <c r="H5" s="629">
        <v>2024</v>
      </c>
      <c r="I5" s="632"/>
      <c r="J5" s="633"/>
    </row>
    <row r="6" spans="1:10" x14ac:dyDescent="0.3">
      <c r="B6" s="98" t="s">
        <v>727</v>
      </c>
      <c r="C6" s="61">
        <v>8</v>
      </c>
      <c r="D6" s="61">
        <v>26</v>
      </c>
      <c r="E6" s="99">
        <v>2655</v>
      </c>
      <c r="F6" s="99">
        <v>2464</v>
      </c>
      <c r="G6" s="71">
        <v>2082</v>
      </c>
      <c r="H6" s="71">
        <v>1819</v>
      </c>
      <c r="I6" s="565">
        <v>1901</v>
      </c>
      <c r="J6" s="567">
        <v>680</v>
      </c>
    </row>
    <row r="7" spans="1:10" x14ac:dyDescent="0.3">
      <c r="B7" s="98" t="s">
        <v>728</v>
      </c>
      <c r="C7" s="61">
        <v>0</v>
      </c>
      <c r="D7" s="61">
        <v>60</v>
      </c>
      <c r="E7" s="99">
        <v>1707</v>
      </c>
      <c r="F7" s="99">
        <v>1643</v>
      </c>
      <c r="G7" s="71">
        <v>1709</v>
      </c>
      <c r="H7" s="71">
        <v>1447</v>
      </c>
      <c r="I7" s="567">
        <v>1380</v>
      </c>
      <c r="J7" s="567">
        <v>659</v>
      </c>
    </row>
    <row r="8" spans="1:10" ht="26.4" x14ac:dyDescent="0.3">
      <c r="B8" s="98" t="s">
        <v>729</v>
      </c>
      <c r="C8" s="61">
        <v>0</v>
      </c>
      <c r="D8" s="61">
        <v>36</v>
      </c>
      <c r="E8" s="61">
        <v>706</v>
      </c>
      <c r="F8" s="61">
        <v>420</v>
      </c>
      <c r="G8" s="71">
        <v>299</v>
      </c>
      <c r="H8" s="71">
        <v>428</v>
      </c>
      <c r="I8" s="567">
        <v>48</v>
      </c>
      <c r="J8" s="567">
        <v>325</v>
      </c>
    </row>
    <row r="9" spans="1:10" x14ac:dyDescent="0.3">
      <c r="B9" s="98" t="s">
        <v>730</v>
      </c>
      <c r="C9" s="61">
        <v>65</v>
      </c>
      <c r="D9" s="61">
        <v>87</v>
      </c>
      <c r="E9" s="61">
        <v>2</v>
      </c>
      <c r="F9" s="61">
        <v>38</v>
      </c>
      <c r="G9" s="61">
        <v>0</v>
      </c>
      <c r="H9" s="71">
        <v>0</v>
      </c>
      <c r="I9" s="567">
        <v>0</v>
      </c>
      <c r="J9" s="567">
        <v>0</v>
      </c>
    </row>
    <row r="10" spans="1:10" ht="26.4" x14ac:dyDescent="0.3">
      <c r="B10" s="98" t="s">
        <v>731</v>
      </c>
      <c r="C10" s="61">
        <v>1</v>
      </c>
      <c r="D10" s="61">
        <v>0</v>
      </c>
      <c r="E10" s="61">
        <v>5</v>
      </c>
      <c r="F10" s="61">
        <v>12</v>
      </c>
      <c r="G10" s="61">
        <v>0</v>
      </c>
      <c r="H10" s="71">
        <v>0</v>
      </c>
      <c r="I10" s="567">
        <v>0</v>
      </c>
      <c r="J10" s="567">
        <v>0</v>
      </c>
    </row>
    <row r="11" spans="1:10" x14ac:dyDescent="0.3">
      <c r="B11" s="98" t="s">
        <v>732</v>
      </c>
      <c r="C11" s="61">
        <v>0</v>
      </c>
      <c r="D11" s="61">
        <v>1</v>
      </c>
      <c r="E11" s="61">
        <v>155</v>
      </c>
      <c r="F11" s="99">
        <v>3765</v>
      </c>
      <c r="G11" s="71">
        <v>3330</v>
      </c>
      <c r="H11" s="71">
        <v>3550</v>
      </c>
      <c r="I11" s="567">
        <v>1989</v>
      </c>
      <c r="J11" s="567">
        <v>539</v>
      </c>
    </row>
    <row r="12" spans="1:10" ht="26.4" x14ac:dyDescent="0.3">
      <c r="B12" s="98" t="s">
        <v>733</v>
      </c>
      <c r="C12" s="61">
        <v>420</v>
      </c>
      <c r="D12" s="61">
        <v>3736</v>
      </c>
      <c r="E12" s="99">
        <v>3087</v>
      </c>
      <c r="F12" s="99">
        <v>3104</v>
      </c>
      <c r="G12" s="71">
        <v>2875</v>
      </c>
      <c r="H12" s="71">
        <v>3350</v>
      </c>
      <c r="I12" s="567">
        <v>3714</v>
      </c>
      <c r="J12" s="567">
        <v>1653</v>
      </c>
    </row>
    <row r="13" spans="1:10" x14ac:dyDescent="0.3">
      <c r="B13" s="98" t="s">
        <v>734</v>
      </c>
      <c r="C13" s="61">
        <v>2</v>
      </c>
      <c r="D13" s="61">
        <v>50</v>
      </c>
      <c r="E13" s="99">
        <v>1572</v>
      </c>
      <c r="F13" s="99">
        <v>1549</v>
      </c>
      <c r="G13" s="71">
        <v>1604</v>
      </c>
      <c r="H13" s="71">
        <v>1576</v>
      </c>
      <c r="I13" s="567">
        <v>1578</v>
      </c>
      <c r="J13" s="567">
        <v>807</v>
      </c>
    </row>
    <row r="14" spans="1:10" x14ac:dyDescent="0.3">
      <c r="B14" s="98" t="s">
        <v>735</v>
      </c>
      <c r="C14" s="61">
        <v>0</v>
      </c>
      <c r="D14" s="61">
        <v>0</v>
      </c>
      <c r="E14" s="61">
        <v>127</v>
      </c>
      <c r="F14" s="61">
        <v>857</v>
      </c>
      <c r="G14" s="71">
        <v>1561</v>
      </c>
      <c r="H14" s="71">
        <v>1652</v>
      </c>
      <c r="I14" s="567">
        <v>1619</v>
      </c>
      <c r="J14" s="567">
        <v>712</v>
      </c>
    </row>
    <row r="15" spans="1:10" x14ac:dyDescent="0.3">
      <c r="B15" s="98" t="s">
        <v>736</v>
      </c>
      <c r="C15" s="61">
        <v>0</v>
      </c>
      <c r="D15" s="61">
        <v>6</v>
      </c>
      <c r="E15" s="61">
        <v>40</v>
      </c>
      <c r="F15" s="61">
        <v>1</v>
      </c>
      <c r="G15" s="71">
        <v>0</v>
      </c>
      <c r="H15" s="71">
        <v>0</v>
      </c>
      <c r="I15" s="567">
        <v>0</v>
      </c>
      <c r="J15" s="567">
        <v>0</v>
      </c>
    </row>
    <row r="16" spans="1:10" x14ac:dyDescent="0.3">
      <c r="B16" s="98" t="s">
        <v>737</v>
      </c>
      <c r="C16" s="61">
        <v>0</v>
      </c>
      <c r="D16" s="61">
        <v>0</v>
      </c>
      <c r="E16" s="61">
        <v>85</v>
      </c>
      <c r="F16" s="99">
        <v>4389</v>
      </c>
      <c r="G16" s="71">
        <v>4284</v>
      </c>
      <c r="H16" s="71">
        <v>3593</v>
      </c>
      <c r="I16" s="567">
        <v>4399</v>
      </c>
      <c r="J16" s="567">
        <v>2216</v>
      </c>
    </row>
    <row r="17" spans="2:10" x14ac:dyDescent="0.3">
      <c r="B17" s="98" t="s">
        <v>738</v>
      </c>
      <c r="C17" s="61">
        <v>24</v>
      </c>
      <c r="D17" s="61">
        <v>1644</v>
      </c>
      <c r="E17" s="99">
        <v>2542</v>
      </c>
      <c r="F17" s="99">
        <v>2328</v>
      </c>
      <c r="G17" s="71">
        <v>2331</v>
      </c>
      <c r="H17" s="71">
        <v>2826</v>
      </c>
      <c r="I17" s="567">
        <v>2621</v>
      </c>
      <c r="J17" s="567">
        <v>1396</v>
      </c>
    </row>
    <row r="18" spans="2:10" x14ac:dyDescent="0.3">
      <c r="B18" s="98" t="s">
        <v>739</v>
      </c>
      <c r="C18" s="61">
        <v>10</v>
      </c>
      <c r="D18" s="61">
        <v>20</v>
      </c>
      <c r="E18" s="99">
        <v>1724</v>
      </c>
      <c r="F18" s="99">
        <v>1569</v>
      </c>
      <c r="G18" s="71">
        <v>1550</v>
      </c>
      <c r="H18" s="71">
        <v>1649</v>
      </c>
      <c r="I18" s="567">
        <v>1442</v>
      </c>
      <c r="J18" s="567">
        <v>746</v>
      </c>
    </row>
    <row r="19" spans="2:10" x14ac:dyDescent="0.3">
      <c r="B19" s="98" t="s">
        <v>740</v>
      </c>
      <c r="C19" s="61">
        <v>193</v>
      </c>
      <c r="D19" s="61">
        <v>28</v>
      </c>
      <c r="E19" s="99">
        <v>1586</v>
      </c>
      <c r="F19" s="99">
        <v>1579</v>
      </c>
      <c r="G19" s="71">
        <v>1400</v>
      </c>
      <c r="H19" s="71">
        <v>1621</v>
      </c>
      <c r="I19" s="567">
        <v>146</v>
      </c>
      <c r="J19" s="567">
        <v>112</v>
      </c>
    </row>
    <row r="20" spans="2:10" x14ac:dyDescent="0.3">
      <c r="B20" s="98" t="s">
        <v>741</v>
      </c>
      <c r="C20" s="61">
        <v>0</v>
      </c>
      <c r="D20" s="61">
        <v>0</v>
      </c>
      <c r="E20" s="61">
        <v>1</v>
      </c>
      <c r="F20" s="61">
        <v>2</v>
      </c>
      <c r="G20" s="61">
        <v>0</v>
      </c>
      <c r="H20" s="71">
        <v>0</v>
      </c>
      <c r="I20" s="567">
        <v>8</v>
      </c>
      <c r="J20" s="567">
        <v>4</v>
      </c>
    </row>
    <row r="21" spans="2:10" ht="26.4" x14ac:dyDescent="0.3">
      <c r="B21" s="98" t="s">
        <v>742</v>
      </c>
      <c r="C21" s="61">
        <v>0</v>
      </c>
      <c r="D21" s="61">
        <v>0</v>
      </c>
      <c r="E21" s="61">
        <v>3</v>
      </c>
      <c r="F21" s="61">
        <v>4</v>
      </c>
      <c r="G21" s="61">
        <v>0</v>
      </c>
      <c r="H21" s="71">
        <v>0</v>
      </c>
      <c r="I21" s="567">
        <v>3</v>
      </c>
      <c r="J21" s="567">
        <v>2</v>
      </c>
    </row>
    <row r="22" spans="2:10" x14ac:dyDescent="0.3">
      <c r="B22" s="98" t="s">
        <v>743</v>
      </c>
      <c r="C22" s="61">
        <v>396</v>
      </c>
      <c r="D22" s="61">
        <v>2932</v>
      </c>
      <c r="E22" s="99">
        <v>2767</v>
      </c>
      <c r="F22" s="99">
        <v>1952</v>
      </c>
      <c r="G22" s="71">
        <v>2040</v>
      </c>
      <c r="H22" s="71">
        <v>2687</v>
      </c>
      <c r="I22" s="567">
        <v>3251</v>
      </c>
      <c r="J22" s="567">
        <v>1509</v>
      </c>
    </row>
    <row r="23" spans="2:10" x14ac:dyDescent="0.3">
      <c r="B23" s="98" t="s">
        <v>744</v>
      </c>
      <c r="C23" s="61">
        <v>0</v>
      </c>
      <c r="D23" s="61">
        <v>102</v>
      </c>
      <c r="E23" s="61">
        <v>980</v>
      </c>
      <c r="F23" s="61">
        <v>424</v>
      </c>
      <c r="G23" s="71">
        <v>666</v>
      </c>
      <c r="H23" s="71">
        <v>556</v>
      </c>
      <c r="I23" s="567">
        <v>329</v>
      </c>
      <c r="J23" s="567">
        <v>149</v>
      </c>
    </row>
    <row r="24" spans="2:10" x14ac:dyDescent="0.3">
      <c r="B24" s="98" t="s">
        <v>745</v>
      </c>
      <c r="C24" s="61">
        <v>0</v>
      </c>
      <c r="D24" s="61">
        <v>131</v>
      </c>
      <c r="E24" s="61">
        <v>649</v>
      </c>
      <c r="F24" s="61">
        <v>421</v>
      </c>
      <c r="G24" s="71">
        <v>649</v>
      </c>
      <c r="H24" s="71">
        <v>678</v>
      </c>
      <c r="I24" s="567">
        <v>348</v>
      </c>
      <c r="J24" s="567">
        <v>132</v>
      </c>
    </row>
    <row r="25" spans="2:10" x14ac:dyDescent="0.3">
      <c r="B25" s="98" t="s">
        <v>746</v>
      </c>
      <c r="C25" s="61">
        <v>0</v>
      </c>
      <c r="D25" s="61">
        <v>53</v>
      </c>
      <c r="E25" s="99">
        <v>1018</v>
      </c>
      <c r="F25" s="61">
        <v>991</v>
      </c>
      <c r="G25" s="71">
        <v>757</v>
      </c>
      <c r="H25" s="71">
        <v>733</v>
      </c>
      <c r="I25" s="567">
        <v>353</v>
      </c>
      <c r="J25" s="567">
        <v>274</v>
      </c>
    </row>
    <row r="26" spans="2:10" x14ac:dyDescent="0.3">
      <c r="B26" s="98" t="s">
        <v>747</v>
      </c>
      <c r="C26" s="61">
        <v>0</v>
      </c>
      <c r="D26" s="61">
        <v>1</v>
      </c>
      <c r="E26" s="61">
        <v>637</v>
      </c>
      <c r="F26" s="61">
        <v>426</v>
      </c>
      <c r="G26" s="71">
        <v>413</v>
      </c>
      <c r="H26" s="71">
        <v>337</v>
      </c>
      <c r="I26" s="567">
        <v>354</v>
      </c>
      <c r="J26" s="406">
        <v>168</v>
      </c>
    </row>
    <row r="27" spans="2:10" x14ac:dyDescent="0.3">
      <c r="B27" s="98" t="s">
        <v>748</v>
      </c>
      <c r="C27" s="61">
        <v>0</v>
      </c>
      <c r="D27" s="61">
        <v>9</v>
      </c>
      <c r="E27" s="61">
        <v>245</v>
      </c>
      <c r="F27" s="61">
        <v>421</v>
      </c>
      <c r="G27" s="71">
        <v>374</v>
      </c>
      <c r="H27" s="71">
        <v>332</v>
      </c>
      <c r="I27" s="567">
        <v>190</v>
      </c>
      <c r="J27" s="567">
        <v>132</v>
      </c>
    </row>
    <row r="28" spans="2:10" x14ac:dyDescent="0.3">
      <c r="B28" s="98" t="s">
        <v>749</v>
      </c>
      <c r="C28" s="61">
        <v>0</v>
      </c>
      <c r="D28" s="61">
        <v>48</v>
      </c>
      <c r="E28" s="61">
        <v>976</v>
      </c>
      <c r="F28" s="61">
        <v>424</v>
      </c>
      <c r="G28" s="71">
        <v>715</v>
      </c>
      <c r="H28" s="71">
        <v>595</v>
      </c>
      <c r="I28" s="567">
        <v>329</v>
      </c>
      <c r="J28" s="567">
        <v>149</v>
      </c>
    </row>
    <row r="29" spans="2:10" ht="26.4" x14ac:dyDescent="0.3">
      <c r="B29" s="98" t="s">
        <v>750</v>
      </c>
      <c r="C29" s="61">
        <v>0</v>
      </c>
      <c r="D29" s="61">
        <v>0</v>
      </c>
      <c r="E29" s="61">
        <v>0</v>
      </c>
      <c r="F29" s="61">
        <v>0</v>
      </c>
      <c r="G29" s="71">
        <v>0</v>
      </c>
      <c r="H29" s="71">
        <v>0</v>
      </c>
      <c r="I29" s="567">
        <v>18</v>
      </c>
      <c r="J29" s="567">
        <v>6</v>
      </c>
    </row>
    <row r="30" spans="2:10" ht="26.4" x14ac:dyDescent="0.3">
      <c r="B30" s="98" t="s">
        <v>751</v>
      </c>
      <c r="C30" s="61">
        <v>0</v>
      </c>
      <c r="D30" s="61">
        <v>0</v>
      </c>
      <c r="E30" s="61">
        <v>0</v>
      </c>
      <c r="F30" s="61">
        <v>0</v>
      </c>
      <c r="G30" s="71">
        <v>0</v>
      </c>
      <c r="H30" s="71">
        <v>0</v>
      </c>
      <c r="I30" s="567">
        <v>981</v>
      </c>
      <c r="J30" s="567">
        <v>559</v>
      </c>
    </row>
    <row r="31" spans="2:10" x14ac:dyDescent="0.3">
      <c r="B31" s="98" t="s">
        <v>752</v>
      </c>
      <c r="C31" s="61">
        <v>0</v>
      </c>
      <c r="D31" s="61">
        <v>0</v>
      </c>
      <c r="E31" s="61">
        <v>0</v>
      </c>
      <c r="F31" s="61">
        <v>0</v>
      </c>
      <c r="G31" s="71">
        <v>0</v>
      </c>
      <c r="H31" s="71">
        <v>0</v>
      </c>
      <c r="I31" s="567">
        <v>0</v>
      </c>
      <c r="J31" s="567">
        <v>20</v>
      </c>
    </row>
    <row r="32" spans="2:10" x14ac:dyDescent="0.3">
      <c r="B32" s="98" t="s">
        <v>753</v>
      </c>
      <c r="C32" s="61">
        <v>0</v>
      </c>
      <c r="D32" s="61">
        <v>0</v>
      </c>
      <c r="E32" s="61">
        <v>0</v>
      </c>
      <c r="F32" s="61">
        <v>0</v>
      </c>
      <c r="G32" s="71">
        <v>0</v>
      </c>
      <c r="H32" s="71">
        <v>0</v>
      </c>
      <c r="I32" s="567">
        <v>0</v>
      </c>
      <c r="J32" s="567">
        <v>1</v>
      </c>
    </row>
    <row r="33" spans="2:10" x14ac:dyDescent="0.3">
      <c r="B33" s="569" t="s">
        <v>754</v>
      </c>
      <c r="C33" s="61">
        <v>0</v>
      </c>
      <c r="D33" s="61">
        <v>0</v>
      </c>
      <c r="E33" s="61">
        <v>0</v>
      </c>
      <c r="F33" s="61">
        <v>0</v>
      </c>
      <c r="G33" s="71">
        <v>0</v>
      </c>
      <c r="H33" s="71">
        <v>0</v>
      </c>
      <c r="I33" s="567">
        <v>0</v>
      </c>
      <c r="J33" s="567">
        <v>1</v>
      </c>
    </row>
    <row r="34" spans="2:10" x14ac:dyDescent="0.3">
      <c r="B34" s="569" t="s">
        <v>755</v>
      </c>
      <c r="C34" s="61">
        <v>0</v>
      </c>
      <c r="D34" s="61">
        <v>0</v>
      </c>
      <c r="E34" s="61">
        <v>0</v>
      </c>
      <c r="F34" s="61">
        <v>0</v>
      </c>
      <c r="G34" s="71">
        <v>0</v>
      </c>
      <c r="H34" s="71">
        <v>0</v>
      </c>
      <c r="I34" s="567">
        <v>0</v>
      </c>
      <c r="J34" s="567">
        <v>1</v>
      </c>
    </row>
    <row r="35" spans="2:10" x14ac:dyDescent="0.3">
      <c r="B35" s="569" t="s">
        <v>756</v>
      </c>
      <c r="C35" s="61">
        <v>0</v>
      </c>
      <c r="D35" s="61">
        <v>0</v>
      </c>
      <c r="E35" s="61">
        <v>0</v>
      </c>
      <c r="F35" s="61">
        <v>0</v>
      </c>
      <c r="G35" s="71">
        <v>0</v>
      </c>
      <c r="H35" s="71">
        <v>0</v>
      </c>
      <c r="I35" s="567">
        <v>0</v>
      </c>
      <c r="J35" s="567">
        <v>0</v>
      </c>
    </row>
    <row r="36" spans="2:10" x14ac:dyDescent="0.3">
      <c r="B36" s="100" t="s">
        <v>371</v>
      </c>
      <c r="C36" s="101">
        <v>1119</v>
      </c>
      <c r="D36" s="101">
        <v>8970</v>
      </c>
      <c r="E36" s="101">
        <v>23269</v>
      </c>
      <c r="F36" s="101">
        <v>28783</v>
      </c>
      <c r="G36" s="101">
        <v>28639</v>
      </c>
      <c r="H36" s="133">
        <v>29431</v>
      </c>
      <c r="I36" s="566">
        <f>SUM(I6:I30)</f>
        <v>27001</v>
      </c>
      <c r="J36" s="566">
        <f>SUM(J6:J35)</f>
        <v>12952</v>
      </c>
    </row>
  </sheetData>
  <mergeCells count="9">
    <mergeCell ref="H4:H5"/>
    <mergeCell ref="I4:I5"/>
    <mergeCell ref="J4:J5"/>
    <mergeCell ref="G4:G5"/>
    <mergeCell ref="B4:B5"/>
    <mergeCell ref="C4:C5"/>
    <mergeCell ref="D4:D5"/>
    <mergeCell ref="E4:E5"/>
    <mergeCell ref="F4:F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B28E7-B5A4-4520-8422-C94EAFBA1480}">
  <dimension ref="A1:E6"/>
  <sheetViews>
    <sheetView workbookViewId="0">
      <selection activeCell="F5" sqref="F5:F6"/>
    </sheetView>
  </sheetViews>
  <sheetFormatPr baseColWidth="10" defaultColWidth="11.44140625" defaultRowHeight="14.4" x14ac:dyDescent="0.3"/>
  <cols>
    <col min="1" max="1" width="27.44140625" customWidth="1"/>
    <col min="2" max="2" width="10.44140625" customWidth="1"/>
    <col min="3" max="3" width="8.44140625" customWidth="1"/>
    <col min="4" max="4" width="13.44140625" customWidth="1"/>
    <col min="5" max="5" width="16" customWidth="1"/>
  </cols>
  <sheetData>
    <row r="1" spans="1:5" x14ac:dyDescent="0.3">
      <c r="A1" t="s">
        <v>355</v>
      </c>
      <c r="B1">
        <v>48</v>
      </c>
    </row>
    <row r="2" spans="1:5" x14ac:dyDescent="0.3">
      <c r="A2" t="s">
        <v>5</v>
      </c>
      <c r="B2" t="s">
        <v>84</v>
      </c>
    </row>
    <row r="3" spans="1:5" ht="15" thickBot="1" x14ac:dyDescent="0.35"/>
    <row r="4" spans="1:5" ht="27.75" customHeight="1" thickBot="1" x14ac:dyDescent="0.35">
      <c r="A4" s="103" t="s">
        <v>757</v>
      </c>
      <c r="B4" s="103" t="s">
        <v>758</v>
      </c>
      <c r="C4" s="103" t="s">
        <v>759</v>
      </c>
      <c r="D4" s="103" t="s">
        <v>760</v>
      </c>
      <c r="E4" s="103" t="s">
        <v>761</v>
      </c>
    </row>
    <row r="5" spans="1:5" ht="15" x14ac:dyDescent="0.3">
      <c r="A5" s="104">
        <v>41</v>
      </c>
      <c r="B5" s="104">
        <v>60</v>
      </c>
      <c r="C5" s="104">
        <v>33</v>
      </c>
      <c r="D5" s="104">
        <v>4</v>
      </c>
      <c r="E5" s="104">
        <v>1</v>
      </c>
    </row>
    <row r="6" spans="1:5" ht="29.85" customHeight="1" x14ac:dyDescent="0.3">
      <c r="A6" s="329">
        <v>0.2949</v>
      </c>
      <c r="B6" s="104" t="s">
        <v>762</v>
      </c>
      <c r="C6" s="104" t="s">
        <v>763</v>
      </c>
      <c r="D6" s="104" t="s">
        <v>764</v>
      </c>
      <c r="E6" s="104" t="s">
        <v>765</v>
      </c>
    </row>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2ADC1-52AD-4DA0-B5CB-674D083D2238}">
  <dimension ref="A1:M18"/>
  <sheetViews>
    <sheetView topLeftCell="A2" workbookViewId="0">
      <selection activeCell="M19" sqref="M19"/>
    </sheetView>
  </sheetViews>
  <sheetFormatPr baseColWidth="10" defaultColWidth="11.44140625" defaultRowHeight="14.4" x14ac:dyDescent="0.3"/>
  <cols>
    <col min="1" max="1" width="27.44140625" customWidth="1"/>
    <col min="2" max="2" width="13.6640625" customWidth="1"/>
    <col min="3" max="3" width="9.44140625" customWidth="1"/>
  </cols>
  <sheetData>
    <row r="1" spans="1:13" x14ac:dyDescent="0.3">
      <c r="A1" t="s">
        <v>355</v>
      </c>
      <c r="B1">
        <v>49</v>
      </c>
    </row>
    <row r="2" spans="1:13" x14ac:dyDescent="0.3">
      <c r="A2" t="s">
        <v>5</v>
      </c>
      <c r="B2" t="s">
        <v>86</v>
      </c>
    </row>
    <row r="3" spans="1:13" ht="15.75" customHeight="1" thickBot="1" x14ac:dyDescent="0.35">
      <c r="B3" s="634" t="s">
        <v>358</v>
      </c>
      <c r="C3" s="635"/>
      <c r="D3" s="634" t="s">
        <v>359</v>
      </c>
      <c r="E3" s="635"/>
      <c r="F3" s="636" t="s">
        <v>360</v>
      </c>
      <c r="G3" s="635"/>
      <c r="H3" s="634" t="s">
        <v>361</v>
      </c>
      <c r="I3" s="635"/>
      <c r="J3" s="634" t="s">
        <v>362</v>
      </c>
      <c r="K3" s="635"/>
    </row>
    <row r="4" spans="1:13" ht="15" x14ac:dyDescent="0.3">
      <c r="A4" s="51" t="s">
        <v>766</v>
      </c>
      <c r="B4" s="537" t="s">
        <v>767</v>
      </c>
      <c r="C4" s="538" t="s">
        <v>768</v>
      </c>
      <c r="D4" s="537" t="s">
        <v>767</v>
      </c>
      <c r="E4" s="538" t="s">
        <v>768</v>
      </c>
      <c r="F4" s="537" t="s">
        <v>767</v>
      </c>
      <c r="G4" s="538" t="s">
        <v>768</v>
      </c>
      <c r="H4" s="537" t="s">
        <v>767</v>
      </c>
      <c r="I4" s="538" t="s">
        <v>768</v>
      </c>
      <c r="J4" s="537" t="s">
        <v>767</v>
      </c>
      <c r="K4" s="538" t="s">
        <v>768</v>
      </c>
    </row>
    <row r="5" spans="1:13" ht="15" x14ac:dyDescent="0.3">
      <c r="A5" s="48" t="s">
        <v>769</v>
      </c>
      <c r="B5" s="539">
        <v>0.62570000000000003</v>
      </c>
      <c r="C5" s="540">
        <v>325571</v>
      </c>
      <c r="D5" s="539">
        <v>0.94679999999999997</v>
      </c>
      <c r="E5" s="540">
        <v>523724</v>
      </c>
      <c r="F5" s="539">
        <v>0.86699999999999999</v>
      </c>
      <c r="G5" s="540">
        <v>334786</v>
      </c>
      <c r="H5" s="539">
        <v>0.83660000000000001</v>
      </c>
      <c r="I5" s="540">
        <v>332398</v>
      </c>
      <c r="J5" s="539">
        <v>0.59899999999999998</v>
      </c>
      <c r="K5" s="540">
        <v>222492</v>
      </c>
    </row>
    <row r="6" spans="1:13" ht="15" x14ac:dyDescent="0.3">
      <c r="A6" s="48" t="s">
        <v>770</v>
      </c>
      <c r="B6" s="539">
        <v>0.35630000000000001</v>
      </c>
      <c r="C6" s="540">
        <v>185394</v>
      </c>
      <c r="D6" s="539">
        <v>2.4E-2</v>
      </c>
      <c r="E6" s="540">
        <v>13276</v>
      </c>
      <c r="F6" s="539">
        <v>3.3000000000000002E-2</v>
      </c>
      <c r="G6" s="540">
        <v>12671</v>
      </c>
      <c r="H6" s="539">
        <v>3.2800000000000003E-2</v>
      </c>
      <c r="I6" s="540">
        <v>13032</v>
      </c>
      <c r="J6" s="539">
        <v>0.14760000000000001</v>
      </c>
      <c r="K6" s="540">
        <v>54767</v>
      </c>
    </row>
    <row r="7" spans="1:13" ht="15" x14ac:dyDescent="0.3">
      <c r="A7" s="48" t="s">
        <v>771</v>
      </c>
      <c r="B7" s="539">
        <v>8.0000000000000002E-3</v>
      </c>
      <c r="C7" s="540">
        <v>4163</v>
      </c>
      <c r="D7" s="539">
        <v>1.4200000000000001E-2</v>
      </c>
      <c r="E7" s="540">
        <v>7855</v>
      </c>
      <c r="F7" s="539">
        <v>4.1000000000000002E-2</v>
      </c>
      <c r="G7" s="540">
        <v>15955</v>
      </c>
      <c r="H7" s="539">
        <v>4.1300000000000003E-2</v>
      </c>
      <c r="I7" s="540">
        <v>16409</v>
      </c>
      <c r="J7" s="539">
        <v>0.1658</v>
      </c>
      <c r="K7" s="540">
        <v>61613</v>
      </c>
    </row>
    <row r="8" spans="1:13" ht="15" x14ac:dyDescent="0.3">
      <c r="A8" s="48" t="s">
        <v>772</v>
      </c>
      <c r="B8" s="539">
        <v>1E-3</v>
      </c>
      <c r="C8" s="540">
        <v>520</v>
      </c>
      <c r="D8" s="539">
        <v>4.0000000000000001E-3</v>
      </c>
      <c r="E8" s="540">
        <v>2213</v>
      </c>
      <c r="F8" s="539">
        <v>5.0000000000000001E-3</v>
      </c>
      <c r="G8" s="540">
        <v>1932</v>
      </c>
      <c r="H8" s="539">
        <v>5.0000000000000001E-4</v>
      </c>
      <c r="I8" s="540">
        <v>198</v>
      </c>
      <c r="J8" s="539">
        <v>2.3E-2</v>
      </c>
      <c r="K8" s="540">
        <v>8577</v>
      </c>
    </row>
    <row r="9" spans="1:13" ht="15" x14ac:dyDescent="0.3">
      <c r="A9" s="48" t="s">
        <v>773</v>
      </c>
      <c r="B9" s="539">
        <v>1E-3</v>
      </c>
      <c r="C9" s="540">
        <v>520</v>
      </c>
      <c r="D9" s="539">
        <v>3.0000000000000001E-3</v>
      </c>
      <c r="E9" s="540">
        <v>1659</v>
      </c>
      <c r="F9" s="539">
        <v>4.0000000000000001E-3</v>
      </c>
      <c r="G9" s="540">
        <v>1429</v>
      </c>
      <c r="H9" s="539">
        <v>3.7000000000000002E-3</v>
      </c>
      <c r="I9" s="540">
        <v>1470</v>
      </c>
      <c r="J9" s="539">
        <v>8.9999999999999993E-3</v>
      </c>
      <c r="K9" s="540">
        <v>3422</v>
      </c>
    </row>
    <row r="10" spans="1:13" ht="15" x14ac:dyDescent="0.3">
      <c r="A10" s="48" t="s">
        <v>774</v>
      </c>
      <c r="B10" s="539">
        <v>1E-3</v>
      </c>
      <c r="C10" s="540">
        <v>520</v>
      </c>
      <c r="D10" s="539">
        <v>4.0000000000000001E-3</v>
      </c>
      <c r="E10" s="540">
        <v>2213</v>
      </c>
      <c r="F10" s="539">
        <v>8.9999999999999993E-3</v>
      </c>
      <c r="G10" s="540">
        <v>3322</v>
      </c>
      <c r="H10" s="539">
        <v>8.5999999999999993E-2</v>
      </c>
      <c r="I10" s="540">
        <v>3416</v>
      </c>
      <c r="J10" s="539">
        <v>1E-3</v>
      </c>
      <c r="K10" s="540">
        <v>6845</v>
      </c>
    </row>
    <row r="11" spans="1:13" ht="15" x14ac:dyDescent="0.3">
      <c r="A11" s="48" t="s">
        <v>775</v>
      </c>
      <c r="B11" s="539">
        <v>1E-3</v>
      </c>
      <c r="C11" s="540">
        <v>520</v>
      </c>
      <c r="D11" s="539">
        <v>2E-3</v>
      </c>
      <c r="E11" s="540">
        <v>1106</v>
      </c>
      <c r="F11" s="539">
        <v>7.0000000000000001E-3</v>
      </c>
      <c r="G11" s="540">
        <v>2627</v>
      </c>
      <c r="H11" s="539">
        <v>0</v>
      </c>
      <c r="I11" s="540">
        <v>0</v>
      </c>
      <c r="J11" s="539">
        <v>1E-3</v>
      </c>
      <c r="K11" s="540">
        <v>3422</v>
      </c>
    </row>
    <row r="12" spans="1:13" ht="15" x14ac:dyDescent="0.3">
      <c r="A12" s="48" t="s">
        <v>776</v>
      </c>
      <c r="B12" s="539">
        <v>1E-3</v>
      </c>
      <c r="C12" s="540">
        <v>520</v>
      </c>
      <c r="D12" s="539">
        <v>1.1999999999999999E-3</v>
      </c>
      <c r="E12" s="540">
        <v>664</v>
      </c>
      <c r="F12" s="539">
        <v>3.5000000000000003E-2</v>
      </c>
      <c r="G12" s="540">
        <v>13598</v>
      </c>
      <c r="H12" s="539">
        <v>3.56E-2</v>
      </c>
      <c r="I12" s="540">
        <v>13985</v>
      </c>
      <c r="J12" s="539">
        <v>0</v>
      </c>
      <c r="K12" s="540">
        <v>0</v>
      </c>
    </row>
    <row r="13" spans="1:13" ht="15" x14ac:dyDescent="0.3">
      <c r="A13" s="48" t="s">
        <v>777</v>
      </c>
      <c r="B13" s="539">
        <v>5.0000000000000001E-3</v>
      </c>
      <c r="C13" s="540">
        <v>2602</v>
      </c>
      <c r="D13" s="539">
        <v>8.0000000000000004E-4</v>
      </c>
      <c r="E13" s="540">
        <v>443</v>
      </c>
      <c r="F13" s="539">
        <v>0</v>
      </c>
      <c r="G13" s="540">
        <v>0</v>
      </c>
      <c r="H13" s="539">
        <v>0</v>
      </c>
      <c r="I13" s="540">
        <v>0</v>
      </c>
      <c r="J13" s="539">
        <v>2.7E-2</v>
      </c>
      <c r="K13" s="540">
        <v>10268</v>
      </c>
    </row>
    <row r="14" spans="1:13" ht="15" x14ac:dyDescent="0.3">
      <c r="A14" s="106" t="s">
        <v>371</v>
      </c>
      <c r="B14" s="541">
        <f>SUM(B5:B13)</f>
        <v>1</v>
      </c>
      <c r="C14" s="542">
        <v>520331</v>
      </c>
      <c r="D14" s="541">
        <f>SUM(D5:D13)</f>
        <v>1</v>
      </c>
      <c r="E14" s="542">
        <v>553152</v>
      </c>
      <c r="F14" s="541">
        <v>1</v>
      </c>
      <c r="G14" s="542">
        <v>386321</v>
      </c>
      <c r="H14" s="541">
        <v>1</v>
      </c>
      <c r="I14" s="542">
        <v>397499</v>
      </c>
      <c r="J14" s="541">
        <v>1</v>
      </c>
      <c r="K14" s="542">
        <v>529889</v>
      </c>
    </row>
    <row r="16" spans="1:13" x14ac:dyDescent="0.3">
      <c r="M16">
        <v>397499</v>
      </c>
    </row>
    <row r="17" spans="13:13" x14ac:dyDescent="0.3">
      <c r="M17">
        <v>386321</v>
      </c>
    </row>
    <row r="18" spans="13:13" x14ac:dyDescent="0.3">
      <c r="M18">
        <f>M16+M17</f>
        <v>783820</v>
      </c>
    </row>
  </sheetData>
  <mergeCells count="5">
    <mergeCell ref="B3:C3"/>
    <mergeCell ref="D3:E3"/>
    <mergeCell ref="F3:G3"/>
    <mergeCell ref="H3:I3"/>
    <mergeCell ref="J3:K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15685-88A2-47F1-B593-9A1E85A74B36}">
  <dimension ref="A1:P50"/>
  <sheetViews>
    <sheetView workbookViewId="0">
      <selection activeCell="P14" sqref="P14:P18"/>
    </sheetView>
  </sheetViews>
  <sheetFormatPr baseColWidth="10" defaultColWidth="11.44140625" defaultRowHeight="15" customHeight="1" x14ac:dyDescent="0.3"/>
  <cols>
    <col min="1" max="1" width="10.44140625" customWidth="1"/>
    <col min="2" max="2" width="54.44140625" customWidth="1"/>
    <col min="3" max="3" width="9.44140625" customWidth="1"/>
    <col min="4" max="5" width="10" customWidth="1"/>
    <col min="6" max="6" width="9.44140625" bestFit="1" customWidth="1"/>
    <col min="7" max="7" width="7.88671875" customWidth="1"/>
    <col min="8" max="9" width="6.44140625" bestFit="1" customWidth="1"/>
    <col min="10" max="10" width="5.44140625" bestFit="1" customWidth="1"/>
    <col min="11" max="11" width="7" bestFit="1" customWidth="1"/>
    <col min="12" max="12" width="5.44140625" bestFit="1" customWidth="1"/>
    <col min="13" max="13" width="6.44140625" bestFit="1" customWidth="1"/>
    <col min="14" max="14" width="8.44140625" customWidth="1"/>
    <col min="15" max="15" width="5.44140625" bestFit="1" customWidth="1"/>
    <col min="16" max="16" width="6.44140625" bestFit="1" customWidth="1"/>
  </cols>
  <sheetData>
    <row r="1" spans="1:16" ht="14.4" x14ac:dyDescent="0.3">
      <c r="A1" t="s">
        <v>355</v>
      </c>
      <c r="B1">
        <v>4</v>
      </c>
    </row>
    <row r="2" spans="1:16" ht="14.4" x14ac:dyDescent="0.3">
      <c r="A2" t="s">
        <v>5</v>
      </c>
      <c r="B2" t="s">
        <v>85</v>
      </c>
    </row>
    <row r="4" spans="1:16" ht="14.4" x14ac:dyDescent="0.3">
      <c r="B4" s="298"/>
      <c r="C4" s="298">
        <v>2024</v>
      </c>
      <c r="D4" s="543">
        <v>2025</v>
      </c>
      <c r="E4" s="543" t="s">
        <v>362</v>
      </c>
    </row>
    <row r="5" spans="1:16" ht="14.4" x14ac:dyDescent="0.3">
      <c r="B5" s="302" t="s">
        <v>778</v>
      </c>
      <c r="C5" s="302">
        <v>6000</v>
      </c>
      <c r="D5" s="408">
        <v>4800</v>
      </c>
      <c r="E5" s="408"/>
      <c r="F5" s="43"/>
    </row>
    <row r="6" spans="1:16" ht="14.4" x14ac:dyDescent="0.3">
      <c r="B6" s="302" t="s">
        <v>779</v>
      </c>
      <c r="C6" s="302">
        <v>82000</v>
      </c>
      <c r="D6" s="409">
        <v>18000</v>
      </c>
      <c r="E6" s="409"/>
      <c r="F6" s="42"/>
    </row>
    <row r="7" spans="1:16" ht="16.8" x14ac:dyDescent="0.3">
      <c r="B7" s="302" t="s">
        <v>780</v>
      </c>
      <c r="C7" s="302">
        <v>5900</v>
      </c>
      <c r="D7" s="409">
        <v>4600</v>
      </c>
      <c r="E7" s="409"/>
      <c r="F7" s="44"/>
    </row>
    <row r="8" spans="1:16" ht="14.4" x14ac:dyDescent="0.3"/>
    <row r="9" spans="1:16" ht="14.4" x14ac:dyDescent="0.3">
      <c r="B9" s="574" t="s">
        <v>781</v>
      </c>
      <c r="C9" s="576" t="s">
        <v>359</v>
      </c>
      <c r="D9" s="575" t="s">
        <v>360</v>
      </c>
      <c r="E9" s="575" t="s">
        <v>361</v>
      </c>
      <c r="F9" s="575" t="s">
        <v>362</v>
      </c>
      <c r="G9" s="575" t="s">
        <v>371</v>
      </c>
    </row>
    <row r="10" spans="1:16" ht="14.4" x14ac:dyDescent="0.3">
      <c r="B10" s="568" t="s">
        <v>782</v>
      </c>
      <c r="C10" s="572">
        <v>0</v>
      </c>
      <c r="D10" s="571">
        <v>0</v>
      </c>
      <c r="E10" s="571">
        <v>429</v>
      </c>
      <c r="F10" s="571">
        <v>2901</v>
      </c>
      <c r="G10" s="571">
        <f>SUM(D10:F10)</f>
        <v>3330</v>
      </c>
    </row>
    <row r="11" spans="1:16" ht="14.4" x14ac:dyDescent="0.3">
      <c r="B11" s="568" t="s">
        <v>783</v>
      </c>
      <c r="C11" s="572">
        <v>0</v>
      </c>
      <c r="D11" s="571">
        <v>0</v>
      </c>
      <c r="E11" s="571">
        <v>383</v>
      </c>
      <c r="F11" s="571">
        <v>1835</v>
      </c>
      <c r="G11" s="571">
        <f t="shared" ref="G11:G17" si="0">SUM(D11:F11)</f>
        <v>2218</v>
      </c>
    </row>
    <row r="12" spans="1:16" ht="14.4" x14ac:dyDescent="0.3">
      <c r="B12" s="568" t="s">
        <v>784</v>
      </c>
      <c r="C12" s="572">
        <v>0</v>
      </c>
      <c r="D12" s="571">
        <v>2</v>
      </c>
      <c r="E12" s="571">
        <v>279</v>
      </c>
      <c r="F12" s="571">
        <v>245</v>
      </c>
      <c r="G12" s="571">
        <f t="shared" si="0"/>
        <v>526</v>
      </c>
    </row>
    <row r="13" spans="1:16" ht="14.4" x14ac:dyDescent="0.3">
      <c r="B13" s="568" t="s">
        <v>785</v>
      </c>
      <c r="C13" s="572">
        <v>0</v>
      </c>
      <c r="D13" s="571">
        <v>2</v>
      </c>
      <c r="E13" s="571">
        <v>205</v>
      </c>
      <c r="F13" s="571">
        <v>123</v>
      </c>
      <c r="G13" s="571">
        <f t="shared" si="0"/>
        <v>330</v>
      </c>
    </row>
    <row r="14" spans="1:16" ht="14.4" x14ac:dyDescent="0.3">
      <c r="B14" s="568" t="s">
        <v>786</v>
      </c>
      <c r="C14" s="572">
        <v>0</v>
      </c>
      <c r="D14" s="571">
        <v>18</v>
      </c>
      <c r="E14" s="571">
        <v>11092</v>
      </c>
      <c r="F14" s="571">
        <v>15140</v>
      </c>
      <c r="G14" s="571">
        <f t="shared" si="0"/>
        <v>26250</v>
      </c>
      <c r="L14">
        <v>18</v>
      </c>
      <c r="M14">
        <v>11092</v>
      </c>
      <c r="N14">
        <f>L14+M14</f>
        <v>11110</v>
      </c>
      <c r="P14">
        <v>15140</v>
      </c>
    </row>
    <row r="15" spans="1:16" ht="14.4" x14ac:dyDescent="0.3">
      <c r="B15" s="568" t="s">
        <v>787</v>
      </c>
      <c r="C15" s="572">
        <v>0</v>
      </c>
      <c r="D15" s="571">
        <v>87</v>
      </c>
      <c r="E15" s="571">
        <v>4270</v>
      </c>
      <c r="F15" s="571">
        <v>7336</v>
      </c>
      <c r="G15" s="571">
        <f t="shared" si="0"/>
        <v>11693</v>
      </c>
      <c r="L15">
        <v>2</v>
      </c>
      <c r="M15">
        <v>279</v>
      </c>
      <c r="N15">
        <f t="shared" ref="N15:N16" si="1">L15+M15</f>
        <v>281</v>
      </c>
      <c r="P15">
        <v>123</v>
      </c>
    </row>
    <row r="16" spans="1:16" ht="14.4" x14ac:dyDescent="0.3">
      <c r="B16" s="568" t="s">
        <v>788</v>
      </c>
      <c r="C16" s="572">
        <v>0</v>
      </c>
      <c r="D16" s="571">
        <v>238</v>
      </c>
      <c r="E16" s="571">
        <v>11654</v>
      </c>
      <c r="F16" s="571">
        <v>19396</v>
      </c>
      <c r="G16" s="571">
        <f t="shared" si="0"/>
        <v>31288</v>
      </c>
      <c r="L16">
        <v>2</v>
      </c>
      <c r="M16">
        <v>205</v>
      </c>
      <c r="N16">
        <f t="shared" si="1"/>
        <v>207</v>
      </c>
      <c r="P16">
        <v>245</v>
      </c>
    </row>
    <row r="17" spans="2:16" ht="14.4" x14ac:dyDescent="0.3">
      <c r="B17" s="569" t="s">
        <v>789</v>
      </c>
      <c r="C17" s="572">
        <v>0</v>
      </c>
      <c r="D17" s="572">
        <v>0</v>
      </c>
      <c r="E17" s="572">
        <v>0</v>
      </c>
      <c r="F17" s="572">
        <v>23</v>
      </c>
      <c r="G17" s="571">
        <f t="shared" si="0"/>
        <v>23</v>
      </c>
      <c r="N17">
        <f>N14+N15+N16</f>
        <v>11598</v>
      </c>
      <c r="P17">
        <v>23</v>
      </c>
    </row>
    <row r="18" spans="2:16" ht="15" customHeight="1" x14ac:dyDescent="0.3">
      <c r="B18" s="570" t="s">
        <v>371</v>
      </c>
      <c r="C18" s="573">
        <v>0</v>
      </c>
      <c r="D18" s="573">
        <f>SUM(D10:D17)</f>
        <v>347</v>
      </c>
      <c r="E18" s="573">
        <f t="shared" ref="E18:G18" si="2">SUM(E10:E17)</f>
        <v>28312</v>
      </c>
      <c r="F18" s="573">
        <f t="shared" si="2"/>
        <v>46999</v>
      </c>
      <c r="G18" s="573">
        <f t="shared" si="2"/>
        <v>75658</v>
      </c>
      <c r="P18">
        <f>SUM(P14:P17)</f>
        <v>15531</v>
      </c>
    </row>
    <row r="20" spans="2:16" ht="15" customHeight="1" x14ac:dyDescent="0.3">
      <c r="B20" s="578" t="s">
        <v>790</v>
      </c>
      <c r="C20" s="579" t="s">
        <v>359</v>
      </c>
      <c r="D20" s="580" t="s">
        <v>360</v>
      </c>
      <c r="E20" s="580" t="s">
        <v>361</v>
      </c>
      <c r="F20" s="580" t="s">
        <v>362</v>
      </c>
      <c r="G20" s="580" t="s">
        <v>371</v>
      </c>
    </row>
    <row r="21" spans="2:16" ht="15" customHeight="1" x14ac:dyDescent="0.3">
      <c r="B21" s="581" t="s">
        <v>791</v>
      </c>
      <c r="C21" s="584">
        <v>27</v>
      </c>
      <c r="D21" s="584">
        <v>39</v>
      </c>
      <c r="E21" s="584">
        <v>293</v>
      </c>
      <c r="F21" s="584">
        <v>526</v>
      </c>
      <c r="G21" s="582">
        <f>SUM(C21:F21)</f>
        <v>885</v>
      </c>
    </row>
    <row r="22" spans="2:16" ht="15" customHeight="1" x14ac:dyDescent="0.3">
      <c r="B22" s="583" t="s">
        <v>792</v>
      </c>
      <c r="C22" s="585">
        <v>7</v>
      </c>
      <c r="D22" s="585">
        <v>15</v>
      </c>
      <c r="E22" s="585">
        <v>12</v>
      </c>
      <c r="F22" s="585">
        <v>450</v>
      </c>
      <c r="G22" s="571">
        <f t="shared" ref="G22:G28" si="3">SUM(C22:F22)</f>
        <v>484</v>
      </c>
    </row>
    <row r="23" spans="2:16" ht="15" customHeight="1" x14ac:dyDescent="0.3">
      <c r="B23" s="583" t="s">
        <v>793</v>
      </c>
      <c r="C23" s="585">
        <v>16</v>
      </c>
      <c r="D23" s="585">
        <v>49</v>
      </c>
      <c r="E23" s="585">
        <v>96</v>
      </c>
      <c r="F23" s="585">
        <v>131</v>
      </c>
      <c r="G23" s="571">
        <f t="shared" si="3"/>
        <v>292</v>
      </c>
    </row>
    <row r="24" spans="2:16" ht="15" customHeight="1" x14ac:dyDescent="0.3">
      <c r="B24" s="583" t="s">
        <v>794</v>
      </c>
      <c r="C24" s="585">
        <v>12</v>
      </c>
      <c r="D24" s="585">
        <v>15</v>
      </c>
      <c r="E24" s="585">
        <v>11</v>
      </c>
      <c r="F24" s="585">
        <v>75</v>
      </c>
      <c r="G24" s="571">
        <f t="shared" si="3"/>
        <v>113</v>
      </c>
    </row>
    <row r="25" spans="2:16" ht="15" customHeight="1" x14ac:dyDescent="0.3">
      <c r="B25" s="583" t="s">
        <v>795</v>
      </c>
      <c r="C25" s="585">
        <v>111</v>
      </c>
      <c r="D25" s="585">
        <v>33</v>
      </c>
      <c r="E25" s="585">
        <v>46</v>
      </c>
      <c r="F25" s="585">
        <v>39</v>
      </c>
      <c r="G25" s="571">
        <f t="shared" si="3"/>
        <v>229</v>
      </c>
    </row>
    <row r="26" spans="2:16" ht="15" customHeight="1" x14ac:dyDescent="0.3">
      <c r="B26" s="583" t="s">
        <v>796</v>
      </c>
      <c r="C26" s="585">
        <v>66</v>
      </c>
      <c r="D26" s="585">
        <v>63</v>
      </c>
      <c r="E26" s="585">
        <v>365</v>
      </c>
      <c r="F26" s="585">
        <v>35</v>
      </c>
      <c r="G26" s="571">
        <f t="shared" si="3"/>
        <v>529</v>
      </c>
    </row>
    <row r="27" spans="2:16" ht="15" customHeight="1" x14ac:dyDescent="0.3">
      <c r="B27" s="583" t="s">
        <v>797</v>
      </c>
      <c r="C27" s="585">
        <v>23</v>
      </c>
      <c r="D27" s="585">
        <v>32</v>
      </c>
      <c r="E27" s="585">
        <v>52</v>
      </c>
      <c r="F27" s="585">
        <v>18</v>
      </c>
      <c r="G27" s="571">
        <f t="shared" si="3"/>
        <v>125</v>
      </c>
    </row>
    <row r="28" spans="2:16" ht="15" customHeight="1" x14ac:dyDescent="0.3">
      <c r="B28" s="583" t="s">
        <v>798</v>
      </c>
      <c r="C28" s="585">
        <v>40</v>
      </c>
      <c r="D28" s="585">
        <v>38</v>
      </c>
      <c r="E28" s="585">
        <v>19</v>
      </c>
      <c r="F28" s="585">
        <v>9</v>
      </c>
      <c r="G28" s="571">
        <f t="shared" si="3"/>
        <v>106</v>
      </c>
    </row>
    <row r="29" spans="2:16" ht="15" customHeight="1" x14ac:dyDescent="0.3">
      <c r="B29" s="570" t="s">
        <v>371</v>
      </c>
      <c r="C29" s="573">
        <f>SUM(C21:C28)</f>
        <v>302</v>
      </c>
      <c r="D29" s="573">
        <f>SUM(D21:D28)</f>
        <v>284</v>
      </c>
      <c r="E29" s="573">
        <f t="shared" ref="E29" si="4">SUM(E21:E28)</f>
        <v>894</v>
      </c>
      <c r="F29" s="573">
        <f t="shared" ref="F29" si="5">SUM(F21:F28)</f>
        <v>1283</v>
      </c>
      <c r="G29" s="573">
        <f t="shared" ref="G29" si="6">SUM(G21:G28)</f>
        <v>2763</v>
      </c>
    </row>
    <row r="30" spans="2:16" ht="15" customHeight="1" x14ac:dyDescent="0.3">
      <c r="B30" s="577"/>
      <c r="C30" s="577"/>
      <c r="D30" s="577"/>
      <c r="E30" s="577"/>
      <c r="F30" s="577"/>
    </row>
    <row r="31" spans="2:16" ht="15" customHeight="1" x14ac:dyDescent="0.3">
      <c r="B31" s="578" t="s">
        <v>799</v>
      </c>
      <c r="C31" s="579" t="s">
        <v>359</v>
      </c>
      <c r="D31" s="580" t="s">
        <v>360</v>
      </c>
      <c r="E31" s="580" t="s">
        <v>361</v>
      </c>
      <c r="F31" s="580" t="s">
        <v>362</v>
      </c>
      <c r="G31" s="580" t="s">
        <v>371</v>
      </c>
    </row>
    <row r="32" spans="2:16" ht="15" customHeight="1" x14ac:dyDescent="0.3">
      <c r="B32" s="583" t="s">
        <v>800</v>
      </c>
      <c r="C32" s="585">
        <v>0</v>
      </c>
      <c r="D32" s="585">
        <v>33</v>
      </c>
      <c r="E32" s="585">
        <v>56</v>
      </c>
      <c r="F32" s="585">
        <v>167</v>
      </c>
      <c r="G32" s="571">
        <f>SUM(C32:F32)</f>
        <v>256</v>
      </c>
    </row>
    <row r="33" spans="2:7" ht="15" customHeight="1" x14ac:dyDescent="0.3">
      <c r="B33" s="583" t="s">
        <v>801</v>
      </c>
      <c r="C33" s="585">
        <v>0</v>
      </c>
      <c r="D33" s="585">
        <v>56</v>
      </c>
      <c r="E33" s="585">
        <v>66</v>
      </c>
      <c r="F33" s="585">
        <v>136</v>
      </c>
      <c r="G33" s="571">
        <f t="shared" ref="G33:G40" si="7">SUM(C33:F33)</f>
        <v>258</v>
      </c>
    </row>
    <row r="34" spans="2:7" ht="15" customHeight="1" x14ac:dyDescent="0.3">
      <c r="B34" s="583" t="s">
        <v>802</v>
      </c>
      <c r="C34" s="585">
        <v>0</v>
      </c>
      <c r="D34" s="585">
        <v>0</v>
      </c>
      <c r="E34" s="585">
        <v>123</v>
      </c>
      <c r="F34" s="585">
        <v>102</v>
      </c>
      <c r="G34" s="571">
        <f t="shared" si="7"/>
        <v>225</v>
      </c>
    </row>
    <row r="35" spans="2:7" ht="15" customHeight="1" x14ac:dyDescent="0.3">
      <c r="B35" s="583" t="s">
        <v>803</v>
      </c>
      <c r="C35" s="585">
        <v>0</v>
      </c>
      <c r="D35" s="585">
        <v>43</v>
      </c>
      <c r="E35" s="585">
        <v>51</v>
      </c>
      <c r="F35" s="585">
        <v>49</v>
      </c>
      <c r="G35" s="571">
        <f t="shared" si="7"/>
        <v>143</v>
      </c>
    </row>
    <row r="36" spans="2:7" ht="15" customHeight="1" x14ac:dyDescent="0.3">
      <c r="B36" s="583" t="s">
        <v>804</v>
      </c>
      <c r="C36" s="585">
        <v>106</v>
      </c>
      <c r="D36" s="585">
        <v>24</v>
      </c>
      <c r="E36" s="585">
        <v>60</v>
      </c>
      <c r="F36" s="585">
        <v>41</v>
      </c>
      <c r="G36" s="571">
        <f t="shared" si="7"/>
        <v>231</v>
      </c>
    </row>
    <row r="37" spans="2:7" ht="15" customHeight="1" x14ac:dyDescent="0.3">
      <c r="B37" s="583" t="s">
        <v>805</v>
      </c>
      <c r="C37" s="585">
        <v>139</v>
      </c>
      <c r="D37" s="585">
        <v>33</v>
      </c>
      <c r="E37" s="585">
        <v>168</v>
      </c>
      <c r="F37" s="585">
        <v>18</v>
      </c>
      <c r="G37" s="571">
        <f t="shared" si="7"/>
        <v>358</v>
      </c>
    </row>
    <row r="38" spans="2:7" ht="15" customHeight="1" x14ac:dyDescent="0.3">
      <c r="B38" s="583" t="s">
        <v>806</v>
      </c>
      <c r="C38" s="585">
        <v>0</v>
      </c>
      <c r="D38" s="585">
        <v>0</v>
      </c>
      <c r="E38" s="585">
        <v>6</v>
      </c>
      <c r="F38" s="585">
        <v>14</v>
      </c>
      <c r="G38" s="571">
        <f t="shared" si="7"/>
        <v>20</v>
      </c>
    </row>
    <row r="39" spans="2:7" ht="15" customHeight="1" x14ac:dyDescent="0.3">
      <c r="B39" s="583" t="s">
        <v>807</v>
      </c>
      <c r="C39" s="585">
        <v>0</v>
      </c>
      <c r="D39" s="585">
        <v>0</v>
      </c>
      <c r="E39" s="585">
        <v>0</v>
      </c>
      <c r="F39" s="585">
        <v>11</v>
      </c>
      <c r="G39" s="571">
        <f t="shared" si="7"/>
        <v>11</v>
      </c>
    </row>
    <row r="40" spans="2:7" ht="15" customHeight="1" x14ac:dyDescent="0.3">
      <c r="B40" s="583" t="s">
        <v>808</v>
      </c>
      <c r="C40" s="585">
        <v>1</v>
      </c>
      <c r="D40" s="585">
        <v>3</v>
      </c>
      <c r="E40" s="585">
        <v>52948</v>
      </c>
      <c r="F40" s="585">
        <v>64085</v>
      </c>
      <c r="G40" s="571">
        <f t="shared" si="7"/>
        <v>117037</v>
      </c>
    </row>
    <row r="41" spans="2:7" ht="15" customHeight="1" x14ac:dyDescent="0.3">
      <c r="B41" s="570" t="s">
        <v>371</v>
      </c>
      <c r="C41" s="573">
        <f>SUM(C33:C40)</f>
        <v>246</v>
      </c>
      <c r="D41" s="573">
        <f>SUM(D33:D40)</f>
        <v>159</v>
      </c>
      <c r="E41" s="573">
        <f t="shared" ref="E41" si="8">SUM(E33:E40)</f>
        <v>53422</v>
      </c>
      <c r="F41" s="573">
        <f t="shared" ref="F41" si="9">SUM(F33:F40)</f>
        <v>64456</v>
      </c>
      <c r="G41" s="573">
        <f t="shared" ref="G41" si="10">SUM(G33:G40)</f>
        <v>118283</v>
      </c>
    </row>
    <row r="43" spans="2:7" ht="15" customHeight="1" x14ac:dyDescent="0.3">
      <c r="B43" s="578" t="s">
        <v>809</v>
      </c>
      <c r="C43" s="579" t="s">
        <v>359</v>
      </c>
      <c r="D43" s="580" t="s">
        <v>360</v>
      </c>
      <c r="E43" s="580" t="s">
        <v>361</v>
      </c>
      <c r="F43" s="580" t="s">
        <v>362</v>
      </c>
      <c r="G43" s="580" t="s">
        <v>371</v>
      </c>
    </row>
    <row r="44" spans="2:7" ht="15" customHeight="1" x14ac:dyDescent="0.3">
      <c r="B44" s="583" t="s">
        <v>810</v>
      </c>
      <c r="C44" s="585">
        <v>0</v>
      </c>
      <c r="D44" s="585">
        <v>139</v>
      </c>
      <c r="E44" s="585">
        <v>1</v>
      </c>
      <c r="F44" s="585">
        <v>722</v>
      </c>
      <c r="G44" s="571">
        <f>SUM(C44:F44)</f>
        <v>862</v>
      </c>
    </row>
    <row r="45" spans="2:7" ht="15" customHeight="1" x14ac:dyDescent="0.3">
      <c r="B45" s="583" t="s">
        <v>811</v>
      </c>
      <c r="C45" s="585">
        <v>0</v>
      </c>
      <c r="D45" s="585">
        <v>0</v>
      </c>
      <c r="E45" s="585">
        <v>96</v>
      </c>
      <c r="F45" s="585">
        <v>56</v>
      </c>
      <c r="G45" s="571">
        <f t="shared" ref="G45:G49" si="11">SUM(C45:F45)</f>
        <v>152</v>
      </c>
    </row>
    <row r="46" spans="2:7" ht="15" customHeight="1" x14ac:dyDescent="0.3">
      <c r="B46" s="583" t="s">
        <v>812</v>
      </c>
      <c r="C46" s="585">
        <v>0</v>
      </c>
      <c r="D46" s="585">
        <v>0</v>
      </c>
      <c r="E46" s="585">
        <v>0</v>
      </c>
      <c r="F46" s="585">
        <v>38</v>
      </c>
      <c r="G46" s="571">
        <f t="shared" si="11"/>
        <v>38</v>
      </c>
    </row>
    <row r="47" spans="2:7" ht="15" customHeight="1" x14ac:dyDescent="0.3">
      <c r="B47" s="583" t="s">
        <v>813</v>
      </c>
      <c r="C47" s="585">
        <v>0</v>
      </c>
      <c r="D47" s="585">
        <v>22</v>
      </c>
      <c r="E47" s="585">
        <v>132</v>
      </c>
      <c r="F47" s="585">
        <v>37</v>
      </c>
      <c r="G47" s="571">
        <f t="shared" si="11"/>
        <v>191</v>
      </c>
    </row>
    <row r="48" spans="2:7" ht="15" customHeight="1" x14ac:dyDescent="0.3">
      <c r="B48" s="583" t="s">
        <v>814</v>
      </c>
      <c r="C48" s="585">
        <v>0</v>
      </c>
      <c r="D48" s="585">
        <v>0</v>
      </c>
      <c r="E48" s="585">
        <v>0</v>
      </c>
      <c r="F48" s="585">
        <v>36</v>
      </c>
      <c r="G48" s="571">
        <f t="shared" si="11"/>
        <v>36</v>
      </c>
    </row>
    <row r="49" spans="2:7" ht="15" customHeight="1" x14ac:dyDescent="0.3">
      <c r="B49" s="583" t="s">
        <v>815</v>
      </c>
      <c r="C49" s="585">
        <v>0</v>
      </c>
      <c r="D49" s="585">
        <v>3</v>
      </c>
      <c r="E49" s="585">
        <v>0</v>
      </c>
      <c r="F49" s="585">
        <v>0</v>
      </c>
      <c r="G49" s="571">
        <f t="shared" si="11"/>
        <v>3</v>
      </c>
    </row>
    <row r="50" spans="2:7" ht="15" customHeight="1" x14ac:dyDescent="0.3">
      <c r="B50" s="570" t="s">
        <v>371</v>
      </c>
      <c r="C50" s="573">
        <f>SUM(C44:C49)</f>
        <v>0</v>
      </c>
      <c r="D50" s="573">
        <f t="shared" ref="D50:G50" si="12">SUM(D44:D49)</f>
        <v>164</v>
      </c>
      <c r="E50" s="573">
        <f t="shared" si="12"/>
        <v>229</v>
      </c>
      <c r="F50" s="573">
        <f t="shared" si="12"/>
        <v>889</v>
      </c>
      <c r="G50" s="573">
        <f t="shared" si="12"/>
        <v>1282</v>
      </c>
    </row>
  </sheetData>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CA9F4-9785-4528-A99F-C6F95D2AFBF3}">
  <dimension ref="A1:I53"/>
  <sheetViews>
    <sheetView zoomScale="85" zoomScaleNormal="85" workbookViewId="0">
      <selection activeCell="A7" sqref="A7"/>
    </sheetView>
  </sheetViews>
  <sheetFormatPr baseColWidth="10" defaultColWidth="11.44140625" defaultRowHeight="14.4" x14ac:dyDescent="0.3"/>
  <cols>
    <col min="1" max="1" width="38" customWidth="1"/>
    <col min="2" max="2" width="10.44140625" customWidth="1"/>
    <col min="3" max="3" width="6.44140625" bestFit="1" customWidth="1"/>
    <col min="5" max="5" width="17.33203125" customWidth="1"/>
    <col min="6" max="6" width="27.88671875" customWidth="1"/>
  </cols>
  <sheetData>
    <row r="1" spans="1:9" x14ac:dyDescent="0.3">
      <c r="A1" t="s">
        <v>355</v>
      </c>
      <c r="B1">
        <v>53</v>
      </c>
    </row>
    <row r="2" spans="1:9" x14ac:dyDescent="0.3">
      <c r="A2" t="s">
        <v>5</v>
      </c>
      <c r="B2" t="s">
        <v>816</v>
      </c>
      <c r="F2" t="s">
        <v>817</v>
      </c>
    </row>
    <row r="3" spans="1:9" ht="15" thickBot="1" x14ac:dyDescent="0.35"/>
    <row r="4" spans="1:9" ht="40.200000000000003" thickBot="1" x14ac:dyDescent="0.35">
      <c r="A4" s="69" t="s">
        <v>818</v>
      </c>
      <c r="B4" s="69" t="s">
        <v>819</v>
      </c>
      <c r="C4" s="69" t="s">
        <v>820</v>
      </c>
      <c r="D4" s="69" t="s">
        <v>821</v>
      </c>
      <c r="F4" s="69" t="s">
        <v>818</v>
      </c>
      <c r="G4" s="69" t="s">
        <v>819</v>
      </c>
      <c r="H4" s="69" t="s">
        <v>820</v>
      </c>
      <c r="I4" s="69" t="s">
        <v>821</v>
      </c>
    </row>
    <row r="5" spans="1:9" ht="15" thickBot="1" x14ac:dyDescent="0.35">
      <c r="A5" s="107" t="s">
        <v>822</v>
      </c>
      <c r="B5" s="108"/>
      <c r="C5" s="108"/>
      <c r="D5" s="108"/>
      <c r="F5" s="107" t="s">
        <v>822</v>
      </c>
      <c r="G5" s="108"/>
      <c r="H5" s="108"/>
      <c r="I5" s="108"/>
    </row>
    <row r="6" spans="1:9" ht="15" thickBot="1" x14ac:dyDescent="0.35">
      <c r="A6" s="70" t="s">
        <v>823</v>
      </c>
      <c r="B6" s="71"/>
      <c r="C6" s="71">
        <v>1</v>
      </c>
      <c r="D6" s="98"/>
      <c r="F6" s="70" t="s">
        <v>823</v>
      </c>
      <c r="G6" s="71"/>
      <c r="H6" s="71">
        <v>1</v>
      </c>
      <c r="I6" s="98"/>
    </row>
    <row r="7" spans="1:9" ht="15" thickBot="1" x14ac:dyDescent="0.35">
      <c r="A7" s="70" t="s">
        <v>824</v>
      </c>
      <c r="B7" s="71"/>
      <c r="C7" s="71">
        <v>1</v>
      </c>
      <c r="D7" s="98"/>
      <c r="F7" s="70" t="s">
        <v>824</v>
      </c>
      <c r="G7" s="71"/>
      <c r="H7" s="71">
        <v>1</v>
      </c>
      <c r="I7" s="98"/>
    </row>
    <row r="8" spans="1:9" ht="15" thickBot="1" x14ac:dyDescent="0.35">
      <c r="A8" s="70" t="s">
        <v>825</v>
      </c>
      <c r="B8" s="71"/>
      <c r="C8" s="71">
        <v>1</v>
      </c>
      <c r="D8" s="98"/>
      <c r="F8" s="70" t="s">
        <v>825</v>
      </c>
      <c r="G8" s="71"/>
      <c r="H8" s="71">
        <v>1</v>
      </c>
      <c r="I8" s="98"/>
    </row>
    <row r="9" spans="1:9" ht="15" thickBot="1" x14ac:dyDescent="0.35">
      <c r="A9" s="70" t="s">
        <v>826</v>
      </c>
      <c r="B9" s="71"/>
      <c r="C9" s="71">
        <v>1</v>
      </c>
      <c r="D9" s="98"/>
      <c r="F9" s="70" t="s">
        <v>826</v>
      </c>
      <c r="G9" s="71"/>
      <c r="H9" s="71">
        <v>1</v>
      </c>
      <c r="I9" s="98"/>
    </row>
    <row r="10" spans="1:9" ht="15" thickBot="1" x14ac:dyDescent="0.35">
      <c r="A10" s="70" t="s">
        <v>827</v>
      </c>
      <c r="B10" s="71"/>
      <c r="C10" s="71">
        <v>1</v>
      </c>
      <c r="D10" s="98"/>
      <c r="F10" s="70" t="s">
        <v>827</v>
      </c>
      <c r="G10" s="71"/>
      <c r="H10" s="71">
        <v>1</v>
      </c>
      <c r="I10" s="98"/>
    </row>
    <row r="11" spans="1:9" ht="15" thickBot="1" x14ac:dyDescent="0.35">
      <c r="A11" s="70" t="s">
        <v>828</v>
      </c>
      <c r="B11" s="71"/>
      <c r="C11" s="71">
        <v>1</v>
      </c>
      <c r="D11" s="98"/>
      <c r="F11" s="70" t="s">
        <v>828</v>
      </c>
      <c r="G11" s="71"/>
      <c r="H11" s="71">
        <v>1</v>
      </c>
      <c r="I11" s="98"/>
    </row>
    <row r="12" spans="1:9" ht="15" thickBot="1" x14ac:dyDescent="0.35">
      <c r="A12" s="70" t="s">
        <v>829</v>
      </c>
      <c r="B12" s="71"/>
      <c r="C12" s="71">
        <v>1</v>
      </c>
      <c r="D12" s="98"/>
      <c r="F12" s="70" t="s">
        <v>829</v>
      </c>
      <c r="G12" s="71"/>
      <c r="H12" s="71">
        <v>1</v>
      </c>
      <c r="I12" s="98"/>
    </row>
    <row r="13" spans="1:9" ht="15" thickBot="1" x14ac:dyDescent="0.35">
      <c r="A13" s="107" t="s">
        <v>830</v>
      </c>
      <c r="B13" s="109"/>
      <c r="C13" s="109"/>
      <c r="D13" s="108"/>
      <c r="F13" s="107" t="s">
        <v>830</v>
      </c>
      <c r="G13" s="109"/>
      <c r="H13" s="109"/>
      <c r="I13" s="108"/>
    </row>
    <row r="14" spans="1:9" ht="15" thickBot="1" x14ac:dyDescent="0.35">
      <c r="A14" s="70" t="s">
        <v>831</v>
      </c>
      <c r="B14" s="71">
        <v>1</v>
      </c>
      <c r="C14" s="71"/>
      <c r="D14" s="98"/>
      <c r="F14" s="70" t="s">
        <v>831</v>
      </c>
      <c r="G14" s="71">
        <v>1</v>
      </c>
      <c r="H14" s="71"/>
      <c r="I14" s="98"/>
    </row>
    <row r="15" spans="1:9" ht="15" thickBot="1" x14ac:dyDescent="0.35">
      <c r="A15" s="70" t="s">
        <v>832</v>
      </c>
      <c r="B15" s="71">
        <v>1</v>
      </c>
      <c r="C15" s="71"/>
      <c r="D15" s="98"/>
      <c r="F15" s="70" t="s">
        <v>832</v>
      </c>
      <c r="G15" s="71">
        <v>1</v>
      </c>
      <c r="H15" s="71"/>
      <c r="I15" s="98"/>
    </row>
    <row r="16" spans="1:9" ht="15" thickBot="1" x14ac:dyDescent="0.35">
      <c r="A16" s="70" t="s">
        <v>833</v>
      </c>
      <c r="B16" s="71">
        <v>1</v>
      </c>
      <c r="C16" s="71"/>
      <c r="D16" s="98"/>
      <c r="F16" s="70" t="s">
        <v>833</v>
      </c>
      <c r="G16" s="71">
        <v>1</v>
      </c>
      <c r="H16" s="71"/>
      <c r="I16" s="98"/>
    </row>
    <row r="17" spans="1:9" ht="15" thickBot="1" x14ac:dyDescent="0.35">
      <c r="A17" s="70" t="s">
        <v>834</v>
      </c>
      <c r="B17" s="71">
        <v>1</v>
      </c>
      <c r="C17" s="71"/>
      <c r="D17" s="98"/>
      <c r="F17" s="70" t="s">
        <v>834</v>
      </c>
      <c r="G17" s="71">
        <v>1</v>
      </c>
      <c r="H17" s="71"/>
      <c r="I17" s="98"/>
    </row>
    <row r="18" spans="1:9" ht="15" thickBot="1" x14ac:dyDescent="0.35">
      <c r="A18" s="107" t="s">
        <v>835</v>
      </c>
      <c r="B18" s="109"/>
      <c r="C18" s="109"/>
      <c r="D18" s="108"/>
      <c r="F18" s="107" t="s">
        <v>835</v>
      </c>
      <c r="G18" s="109"/>
      <c r="H18" s="109"/>
      <c r="I18" s="108"/>
    </row>
    <row r="19" spans="1:9" ht="15" thickBot="1" x14ac:dyDescent="0.35">
      <c r="A19" s="70" t="s">
        <v>836</v>
      </c>
      <c r="B19" s="71">
        <v>1</v>
      </c>
      <c r="C19" s="71"/>
      <c r="D19" s="98"/>
      <c r="F19" s="70" t="s">
        <v>836</v>
      </c>
      <c r="G19" s="71">
        <v>1</v>
      </c>
      <c r="H19" s="71"/>
      <c r="I19" s="98"/>
    </row>
    <row r="20" spans="1:9" ht="15" thickBot="1" x14ac:dyDescent="0.35">
      <c r="A20" s="70" t="s">
        <v>837</v>
      </c>
      <c r="B20" s="71">
        <v>1</v>
      </c>
      <c r="C20" s="71"/>
      <c r="D20" s="98"/>
      <c r="F20" s="70" t="s">
        <v>837</v>
      </c>
      <c r="G20" s="71">
        <v>1</v>
      </c>
      <c r="H20" s="71"/>
      <c r="I20" s="98"/>
    </row>
    <row r="21" spans="1:9" ht="15" thickBot="1" x14ac:dyDescent="0.35">
      <c r="A21" s="70" t="s">
        <v>838</v>
      </c>
      <c r="B21" s="71">
        <v>1</v>
      </c>
      <c r="C21" s="71"/>
      <c r="D21" s="98"/>
      <c r="F21" s="70" t="s">
        <v>838</v>
      </c>
      <c r="G21" s="71">
        <v>1</v>
      </c>
      <c r="H21" s="71"/>
      <c r="I21" s="98"/>
    </row>
    <row r="22" spans="1:9" ht="15" thickBot="1" x14ac:dyDescent="0.35">
      <c r="A22" s="70" t="s">
        <v>839</v>
      </c>
      <c r="B22" s="71">
        <v>1</v>
      </c>
      <c r="C22" s="71"/>
      <c r="D22" s="98"/>
      <c r="F22" s="70" t="s">
        <v>839</v>
      </c>
      <c r="G22" s="71">
        <v>1</v>
      </c>
      <c r="H22" s="71"/>
      <c r="I22" s="98"/>
    </row>
    <row r="23" spans="1:9" ht="27" thickBot="1" x14ac:dyDescent="0.35">
      <c r="A23" s="70" t="s">
        <v>840</v>
      </c>
      <c r="B23" s="71">
        <v>1</v>
      </c>
      <c r="C23" s="71"/>
      <c r="D23" s="98"/>
      <c r="F23" s="70" t="s">
        <v>840</v>
      </c>
      <c r="G23" s="71">
        <v>1</v>
      </c>
      <c r="H23" s="71"/>
      <c r="I23" s="98"/>
    </row>
    <row r="24" spans="1:9" ht="27" thickBot="1" x14ac:dyDescent="0.35">
      <c r="A24" s="70" t="s">
        <v>841</v>
      </c>
      <c r="B24" s="71">
        <v>1</v>
      </c>
      <c r="C24" s="71"/>
      <c r="D24" s="98"/>
      <c r="F24" s="70" t="s">
        <v>841</v>
      </c>
      <c r="G24" s="71">
        <v>1</v>
      </c>
      <c r="H24" s="71"/>
      <c r="I24" s="98"/>
    </row>
    <row r="25" spans="1:9" ht="27" thickBot="1" x14ac:dyDescent="0.35">
      <c r="A25" s="70" t="s">
        <v>842</v>
      </c>
      <c r="B25" s="71">
        <v>1</v>
      </c>
      <c r="C25" s="71"/>
      <c r="D25" s="98"/>
      <c r="F25" s="70" t="s">
        <v>842</v>
      </c>
      <c r="G25" s="71">
        <v>1</v>
      </c>
      <c r="H25" s="71"/>
      <c r="I25" s="98"/>
    </row>
    <row r="26" spans="1:9" ht="15" thickBot="1" x14ac:dyDescent="0.35">
      <c r="A26" s="70" t="s">
        <v>843</v>
      </c>
      <c r="B26" s="71">
        <v>1</v>
      </c>
      <c r="C26" s="71"/>
      <c r="D26" s="98"/>
      <c r="F26" s="70" t="s">
        <v>843</v>
      </c>
      <c r="G26" s="71">
        <v>1</v>
      </c>
      <c r="H26" s="71"/>
      <c r="I26" s="98"/>
    </row>
    <row r="27" spans="1:9" ht="15" thickBot="1" x14ac:dyDescent="0.35">
      <c r="A27" s="70" t="s">
        <v>844</v>
      </c>
      <c r="B27" s="71">
        <v>1</v>
      </c>
      <c r="C27" s="71"/>
      <c r="D27" s="98"/>
      <c r="F27" s="70" t="s">
        <v>844</v>
      </c>
      <c r="G27" s="71">
        <v>1</v>
      </c>
      <c r="H27" s="71"/>
      <c r="I27" s="98"/>
    </row>
    <row r="28" spans="1:9" ht="15" thickBot="1" x14ac:dyDescent="0.35">
      <c r="A28" s="70" t="s">
        <v>845</v>
      </c>
      <c r="B28" s="71">
        <v>1</v>
      </c>
      <c r="C28" s="71"/>
      <c r="D28" s="98"/>
      <c r="F28" s="70" t="s">
        <v>845</v>
      </c>
      <c r="G28" s="71">
        <v>1</v>
      </c>
      <c r="H28" s="71"/>
      <c r="I28" s="98"/>
    </row>
    <row r="29" spans="1:9" ht="15" thickBot="1" x14ac:dyDescent="0.35">
      <c r="A29" s="70" t="s">
        <v>846</v>
      </c>
      <c r="B29" s="71">
        <v>1</v>
      </c>
      <c r="C29" s="71"/>
      <c r="D29" s="98"/>
      <c r="F29" s="70" t="s">
        <v>846</v>
      </c>
      <c r="G29" s="71">
        <v>1</v>
      </c>
      <c r="H29" s="71"/>
      <c r="I29" s="98"/>
    </row>
    <row r="30" spans="1:9" ht="15" thickBot="1" x14ac:dyDescent="0.35">
      <c r="A30" s="70" t="s">
        <v>847</v>
      </c>
      <c r="B30" s="71">
        <v>1</v>
      </c>
      <c r="C30" s="71"/>
      <c r="D30" s="98"/>
      <c r="F30" s="70" t="s">
        <v>847</v>
      </c>
      <c r="G30" s="71">
        <v>1</v>
      </c>
      <c r="H30" s="71"/>
      <c r="I30" s="98"/>
    </row>
    <row r="31" spans="1:9" ht="27" thickBot="1" x14ac:dyDescent="0.35">
      <c r="A31" s="70" t="s">
        <v>848</v>
      </c>
      <c r="B31" s="98"/>
      <c r="C31" s="71">
        <v>1</v>
      </c>
      <c r="D31" s="98"/>
      <c r="F31" s="70" t="s">
        <v>848</v>
      </c>
      <c r="G31" s="98"/>
      <c r="H31" s="71">
        <v>1</v>
      </c>
      <c r="I31" s="98"/>
    </row>
    <row r="32" spans="1:9" ht="15" thickBot="1" x14ac:dyDescent="0.35">
      <c r="A32" s="70" t="s">
        <v>849</v>
      </c>
      <c r="B32" s="71">
        <v>1</v>
      </c>
      <c r="C32" s="71"/>
      <c r="D32" s="98"/>
      <c r="F32" s="70" t="s">
        <v>849</v>
      </c>
      <c r="G32" s="71">
        <v>1</v>
      </c>
      <c r="H32" s="71"/>
      <c r="I32" s="98"/>
    </row>
    <row r="33" spans="1:9" ht="15" thickBot="1" x14ac:dyDescent="0.35">
      <c r="A33" s="70" t="s">
        <v>850</v>
      </c>
      <c r="B33" s="71">
        <v>1</v>
      </c>
      <c r="C33" s="71"/>
      <c r="D33" s="98"/>
      <c r="F33" s="70" t="s">
        <v>850</v>
      </c>
      <c r="G33" s="71">
        <v>1</v>
      </c>
      <c r="H33" s="71"/>
      <c r="I33" s="98"/>
    </row>
    <row r="34" spans="1:9" ht="15" thickBot="1" x14ac:dyDescent="0.35">
      <c r="A34" s="107" t="s">
        <v>851</v>
      </c>
      <c r="B34" s="109"/>
      <c r="C34" s="109"/>
      <c r="D34" s="108"/>
      <c r="F34" s="107" t="s">
        <v>851</v>
      </c>
      <c r="G34" s="109"/>
      <c r="H34" s="109"/>
      <c r="I34" s="108"/>
    </row>
    <row r="35" spans="1:9" ht="27" thickBot="1" x14ac:dyDescent="0.35">
      <c r="A35" s="70" t="s">
        <v>852</v>
      </c>
      <c r="B35" s="71"/>
      <c r="C35" s="71"/>
      <c r="D35" s="71">
        <v>1</v>
      </c>
      <c r="F35" s="70" t="s">
        <v>852</v>
      </c>
      <c r="G35" s="71"/>
      <c r="H35" s="71"/>
      <c r="I35" s="71">
        <v>1</v>
      </c>
    </row>
    <row r="36" spans="1:9" ht="27" thickBot="1" x14ac:dyDescent="0.35">
      <c r="A36" s="70" t="s">
        <v>853</v>
      </c>
      <c r="B36" s="71"/>
      <c r="C36" s="71"/>
      <c r="D36" s="71">
        <v>1</v>
      </c>
      <c r="F36" s="70" t="s">
        <v>853</v>
      </c>
      <c r="G36" s="71"/>
      <c r="H36" s="71"/>
      <c r="I36" s="71">
        <v>1</v>
      </c>
    </row>
    <row r="37" spans="1:9" ht="27" thickBot="1" x14ac:dyDescent="0.35">
      <c r="A37" s="70" t="s">
        <v>854</v>
      </c>
      <c r="B37" s="71"/>
      <c r="C37" s="71"/>
      <c r="D37" s="71">
        <v>1</v>
      </c>
      <c r="F37" s="70" t="s">
        <v>854</v>
      </c>
      <c r="G37" s="71"/>
      <c r="H37" s="71"/>
      <c r="I37" s="71">
        <v>1</v>
      </c>
    </row>
    <row r="38" spans="1:9" ht="27" thickBot="1" x14ac:dyDescent="0.35">
      <c r="A38" s="70" t="s">
        <v>855</v>
      </c>
      <c r="B38" s="71"/>
      <c r="C38" s="71"/>
      <c r="D38" s="71">
        <v>1</v>
      </c>
      <c r="F38" s="70" t="s">
        <v>855</v>
      </c>
      <c r="G38" s="71"/>
      <c r="H38" s="71"/>
      <c r="I38" s="71">
        <v>1</v>
      </c>
    </row>
    <row r="39" spans="1:9" ht="27" thickBot="1" x14ac:dyDescent="0.35">
      <c r="A39" s="70" t="s">
        <v>856</v>
      </c>
      <c r="B39" s="71"/>
      <c r="C39" s="71"/>
      <c r="D39" s="71">
        <v>1</v>
      </c>
      <c r="F39" s="70" t="s">
        <v>856</v>
      </c>
      <c r="G39" s="71"/>
      <c r="H39" s="71"/>
      <c r="I39" s="71">
        <v>1</v>
      </c>
    </row>
    <row r="40" spans="1:9" ht="27" thickBot="1" x14ac:dyDescent="0.35">
      <c r="A40" s="70" t="s">
        <v>857</v>
      </c>
      <c r="B40" s="71"/>
      <c r="C40" s="71"/>
      <c r="D40" s="71">
        <v>1</v>
      </c>
      <c r="F40" s="70" t="s">
        <v>857</v>
      </c>
      <c r="G40" s="71"/>
      <c r="H40" s="71"/>
      <c r="I40" s="71">
        <v>1</v>
      </c>
    </row>
    <row r="41" spans="1:9" ht="27" thickBot="1" x14ac:dyDescent="0.35">
      <c r="A41" s="70" t="s">
        <v>858</v>
      </c>
      <c r="B41" s="71"/>
      <c r="C41" s="71"/>
      <c r="D41" s="71">
        <v>1</v>
      </c>
      <c r="F41" s="70" t="s">
        <v>858</v>
      </c>
      <c r="G41" s="71"/>
      <c r="H41" s="71"/>
      <c r="I41" s="71">
        <v>1</v>
      </c>
    </row>
    <row r="42" spans="1:9" ht="27" thickBot="1" x14ac:dyDescent="0.35">
      <c r="A42" s="70" t="s">
        <v>859</v>
      </c>
      <c r="B42" s="71"/>
      <c r="C42" s="71"/>
      <c r="D42" s="71">
        <v>1</v>
      </c>
      <c r="F42" s="70" t="s">
        <v>859</v>
      </c>
      <c r="G42" s="71"/>
      <c r="H42" s="71"/>
      <c r="I42" s="71">
        <v>1</v>
      </c>
    </row>
    <row r="43" spans="1:9" ht="27" thickBot="1" x14ac:dyDescent="0.35">
      <c r="A43" s="70" t="s">
        <v>860</v>
      </c>
      <c r="B43" s="71"/>
      <c r="C43" s="71"/>
      <c r="D43" s="71">
        <v>1</v>
      </c>
      <c r="F43" s="70" t="s">
        <v>860</v>
      </c>
      <c r="G43" s="71"/>
      <c r="H43" s="71"/>
      <c r="I43" s="71">
        <v>1</v>
      </c>
    </row>
    <row r="44" spans="1:9" ht="15" thickBot="1" x14ac:dyDescent="0.35">
      <c r="A44" s="70" t="s">
        <v>861</v>
      </c>
      <c r="B44" s="71">
        <v>1</v>
      </c>
      <c r="C44" s="71"/>
      <c r="D44" s="71"/>
      <c r="F44" s="70" t="s">
        <v>861</v>
      </c>
      <c r="G44" s="71">
        <v>1</v>
      </c>
      <c r="H44" s="71"/>
      <c r="I44" s="71"/>
    </row>
    <row r="45" spans="1:9" ht="15" thickBot="1" x14ac:dyDescent="0.35">
      <c r="A45" s="70" t="s">
        <v>862</v>
      </c>
      <c r="B45" s="71"/>
      <c r="C45" s="71"/>
      <c r="D45" s="71">
        <v>1</v>
      </c>
      <c r="F45" s="70" t="s">
        <v>862</v>
      </c>
      <c r="G45" s="71"/>
      <c r="H45" s="71"/>
      <c r="I45" s="71">
        <v>1</v>
      </c>
    </row>
    <row r="46" spans="1:9" ht="27" thickBot="1" x14ac:dyDescent="0.35">
      <c r="A46" s="70" t="s">
        <v>863</v>
      </c>
      <c r="B46" s="71"/>
      <c r="C46" s="71"/>
      <c r="D46" s="71">
        <v>1</v>
      </c>
      <c r="F46" s="70" t="s">
        <v>863</v>
      </c>
      <c r="G46" s="71"/>
      <c r="H46" s="71"/>
      <c r="I46" s="71">
        <v>1</v>
      </c>
    </row>
    <row r="47" spans="1:9" ht="27" thickBot="1" x14ac:dyDescent="0.35">
      <c r="A47" s="70" t="s">
        <v>864</v>
      </c>
      <c r="B47" s="98"/>
      <c r="C47" s="98"/>
      <c r="D47" s="71">
        <v>1</v>
      </c>
      <c r="F47" s="70" t="s">
        <v>864</v>
      </c>
      <c r="G47" s="98"/>
      <c r="H47" s="98"/>
      <c r="I47" s="71">
        <v>1</v>
      </c>
    </row>
    <row r="48" spans="1:9" ht="27" thickBot="1" x14ac:dyDescent="0.35">
      <c r="A48" s="70" t="s">
        <v>865</v>
      </c>
      <c r="B48" s="71"/>
      <c r="C48" s="71"/>
      <c r="D48" s="71">
        <v>1</v>
      </c>
      <c r="F48" s="70" t="s">
        <v>865</v>
      </c>
      <c r="G48" s="71"/>
      <c r="H48" s="71"/>
      <c r="I48" s="71">
        <v>1</v>
      </c>
    </row>
    <row r="49" spans="1:9" ht="27" thickBot="1" x14ac:dyDescent="0.35">
      <c r="A49" s="70" t="s">
        <v>866</v>
      </c>
      <c r="B49" s="71"/>
      <c r="C49" s="71"/>
      <c r="D49" s="71">
        <v>1</v>
      </c>
      <c r="F49" s="70" t="s">
        <v>866</v>
      </c>
      <c r="G49" s="71"/>
      <c r="H49" s="71"/>
      <c r="I49" s="71">
        <v>1</v>
      </c>
    </row>
    <row r="50" spans="1:9" ht="27" thickBot="1" x14ac:dyDescent="0.35">
      <c r="A50" s="70" t="s">
        <v>867</v>
      </c>
      <c r="B50" s="71"/>
      <c r="C50" s="71"/>
      <c r="D50" s="71">
        <v>1</v>
      </c>
      <c r="F50" s="70" t="s">
        <v>867</v>
      </c>
      <c r="G50" s="71"/>
      <c r="H50" s="71"/>
      <c r="I50" s="71">
        <v>1</v>
      </c>
    </row>
    <row r="51" spans="1:9" ht="27" thickBot="1" x14ac:dyDescent="0.35">
      <c r="A51" s="70" t="s">
        <v>868</v>
      </c>
      <c r="B51" s="71"/>
      <c r="C51" s="71"/>
      <c r="D51" s="71">
        <v>1</v>
      </c>
      <c r="F51" s="70" t="s">
        <v>868</v>
      </c>
      <c r="G51" s="71"/>
      <c r="H51" s="71"/>
      <c r="I51" s="71">
        <v>1</v>
      </c>
    </row>
    <row r="52" spans="1:9" ht="15" thickBot="1" x14ac:dyDescent="0.35">
      <c r="A52" s="70" t="s">
        <v>869</v>
      </c>
      <c r="B52" s="71"/>
      <c r="C52" s="71"/>
      <c r="D52" s="71">
        <v>1</v>
      </c>
      <c r="F52" s="70" t="s">
        <v>869</v>
      </c>
      <c r="G52" s="71"/>
      <c r="H52" s="71"/>
      <c r="I52" s="71">
        <v>1</v>
      </c>
    </row>
    <row r="53" spans="1:9" ht="27" thickBot="1" x14ac:dyDescent="0.35">
      <c r="A53" s="70" t="s">
        <v>870</v>
      </c>
      <c r="B53" s="71"/>
      <c r="C53" s="71"/>
      <c r="D53" s="71">
        <v>1</v>
      </c>
      <c r="F53" s="70" t="s">
        <v>870</v>
      </c>
      <c r="G53" s="71"/>
      <c r="H53" s="71"/>
      <c r="I53" s="71">
        <v>1</v>
      </c>
    </row>
  </sheetData>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96442-5EB7-49FF-A7AB-FFCA4763D6BA}">
  <dimension ref="A1:E18"/>
  <sheetViews>
    <sheetView workbookViewId="0"/>
  </sheetViews>
  <sheetFormatPr baseColWidth="10" defaultColWidth="11.44140625" defaultRowHeight="14.4" x14ac:dyDescent="0.3"/>
  <cols>
    <col min="1" max="1" width="10.44140625" customWidth="1"/>
    <col min="2" max="2" width="18.44140625" customWidth="1"/>
    <col min="3" max="3" width="8.44140625" bestFit="1" customWidth="1"/>
    <col min="4" max="4" width="5.44140625" bestFit="1" customWidth="1"/>
    <col min="5" max="5" width="9.44140625" bestFit="1" customWidth="1"/>
    <col min="6" max="6" width="5.44140625" bestFit="1" customWidth="1"/>
    <col min="7" max="7" width="6.44140625" bestFit="1" customWidth="1"/>
    <col min="8" max="8" width="5.44140625" bestFit="1" customWidth="1"/>
    <col min="9" max="9" width="6.44140625" bestFit="1" customWidth="1"/>
    <col min="10" max="10" width="5.44140625" bestFit="1" customWidth="1"/>
    <col min="11" max="11" width="7" bestFit="1" customWidth="1"/>
    <col min="12" max="12" width="5.44140625" bestFit="1" customWidth="1"/>
    <col min="13" max="13" width="6.44140625" bestFit="1" customWidth="1"/>
    <col min="14" max="16" width="5.44140625" bestFit="1" customWidth="1"/>
  </cols>
  <sheetData>
    <row r="1" spans="1:5" x14ac:dyDescent="0.3">
      <c r="A1" t="s">
        <v>355</v>
      </c>
      <c r="B1">
        <v>5</v>
      </c>
    </row>
    <row r="2" spans="1:5" x14ac:dyDescent="0.3">
      <c r="A2" t="s">
        <v>5</v>
      </c>
      <c r="B2" t="s">
        <v>91</v>
      </c>
    </row>
    <row r="4" spans="1:5" ht="16.8" x14ac:dyDescent="0.3">
      <c r="B4" s="66"/>
      <c r="C4" s="66" t="s">
        <v>590</v>
      </c>
      <c r="E4" s="42"/>
    </row>
    <row r="5" spans="1:5" ht="16.8" x14ac:dyDescent="0.3">
      <c r="B5" s="65" t="s">
        <v>422</v>
      </c>
      <c r="C5" s="65">
        <v>158</v>
      </c>
    </row>
    <row r="6" spans="1:5" ht="16.8" x14ac:dyDescent="0.3">
      <c r="B6" s="65" t="s">
        <v>423</v>
      </c>
      <c r="C6" s="65">
        <v>210</v>
      </c>
    </row>
    <row r="7" spans="1:5" ht="16.8" x14ac:dyDescent="0.3">
      <c r="B7" s="65" t="s">
        <v>424</v>
      </c>
      <c r="C7" s="65">
        <v>221</v>
      </c>
    </row>
    <row r="8" spans="1:5" ht="16.8" x14ac:dyDescent="0.3">
      <c r="B8" s="65" t="s">
        <v>425</v>
      </c>
      <c r="C8" s="65">
        <v>226</v>
      </c>
    </row>
    <row r="9" spans="1:5" ht="16.8" x14ac:dyDescent="0.3">
      <c r="B9" s="65" t="s">
        <v>426</v>
      </c>
      <c r="C9" s="65">
        <v>252</v>
      </c>
    </row>
    <row r="10" spans="1:5" ht="16.8" x14ac:dyDescent="0.3">
      <c r="B10" s="65" t="s">
        <v>427</v>
      </c>
      <c r="C10" s="65">
        <v>195</v>
      </c>
    </row>
    <row r="11" spans="1:5" ht="16.8" x14ac:dyDescent="0.3">
      <c r="B11" s="65" t="s">
        <v>428</v>
      </c>
      <c r="C11" s="65">
        <v>320</v>
      </c>
    </row>
    <row r="12" spans="1:5" ht="16.8" x14ac:dyDescent="0.3">
      <c r="B12" s="65" t="s">
        <v>429</v>
      </c>
      <c r="C12" s="65">
        <v>306</v>
      </c>
    </row>
    <row r="13" spans="1:5" ht="16.8" x14ac:dyDescent="0.3">
      <c r="B13" s="65" t="s">
        <v>430</v>
      </c>
      <c r="C13" s="65">
        <v>474</v>
      </c>
    </row>
    <row r="14" spans="1:5" ht="16.8" x14ac:dyDescent="0.3">
      <c r="B14" s="65" t="s">
        <v>358</v>
      </c>
      <c r="C14" s="65">
        <v>642</v>
      </c>
    </row>
    <row r="15" spans="1:5" ht="16.8" x14ac:dyDescent="0.3">
      <c r="B15" s="65" t="s">
        <v>359</v>
      </c>
      <c r="C15" s="334">
        <v>1049</v>
      </c>
      <c r="D15" t="s">
        <v>871</v>
      </c>
    </row>
    <row r="16" spans="1:5" ht="16.8" x14ac:dyDescent="0.3">
      <c r="B16" s="65" t="s">
        <v>360</v>
      </c>
      <c r="C16" s="334">
        <v>1031</v>
      </c>
    </row>
    <row r="17" spans="2:3" ht="16.8" x14ac:dyDescent="0.3">
      <c r="B17" s="65" t="s">
        <v>361</v>
      </c>
      <c r="C17" s="65">
        <v>1025</v>
      </c>
    </row>
    <row r="18" spans="2:3" ht="16.8" x14ac:dyDescent="0.3">
      <c r="B18" s="65" t="s">
        <v>362</v>
      </c>
      <c r="C18" s="65">
        <v>1105</v>
      </c>
    </row>
  </sheetData>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AC8D6-B81F-4F78-ABF6-2EF59C4B49C9}">
  <dimension ref="A1:K18"/>
  <sheetViews>
    <sheetView workbookViewId="0"/>
  </sheetViews>
  <sheetFormatPr baseColWidth="10" defaultColWidth="11.44140625" defaultRowHeight="14.4" x14ac:dyDescent="0.3"/>
  <cols>
    <col min="1" max="1" width="27.44140625" customWidth="1"/>
    <col min="2" max="2" width="10.44140625" customWidth="1"/>
    <col min="3" max="3" width="9.44140625" customWidth="1"/>
  </cols>
  <sheetData>
    <row r="1" spans="1:11" x14ac:dyDescent="0.3">
      <c r="A1" t="s">
        <v>355</v>
      </c>
      <c r="B1">
        <v>55</v>
      </c>
    </row>
    <row r="2" spans="1:11" x14ac:dyDescent="0.3">
      <c r="A2" t="s">
        <v>5</v>
      </c>
      <c r="B2" t="s">
        <v>872</v>
      </c>
      <c r="G2" t="s">
        <v>873</v>
      </c>
    </row>
    <row r="3" spans="1:11" ht="15" thickBot="1" x14ac:dyDescent="0.35"/>
    <row r="4" spans="1:11" ht="15.6" thickBot="1" x14ac:dyDescent="0.35">
      <c r="A4" s="637" t="s">
        <v>818</v>
      </c>
      <c r="B4" s="639" t="s">
        <v>874</v>
      </c>
      <c r="C4" s="639"/>
      <c r="D4" s="639"/>
      <c r="E4" s="639"/>
      <c r="G4" s="637" t="s">
        <v>818</v>
      </c>
      <c r="H4" s="639" t="s">
        <v>874</v>
      </c>
      <c r="I4" s="639"/>
      <c r="J4" s="639"/>
      <c r="K4" s="639"/>
    </row>
    <row r="5" spans="1:11" ht="30.6" thickBot="1" x14ac:dyDescent="0.35">
      <c r="A5" s="638"/>
      <c r="B5" s="46" t="s">
        <v>875</v>
      </c>
      <c r="C5" s="46" t="s">
        <v>876</v>
      </c>
      <c r="D5" s="46" t="s">
        <v>877</v>
      </c>
      <c r="E5" s="46" t="s">
        <v>878</v>
      </c>
      <c r="G5" s="638"/>
      <c r="H5" s="46" t="s">
        <v>875</v>
      </c>
      <c r="I5" s="46" t="s">
        <v>876</v>
      </c>
      <c r="J5" s="46" t="s">
        <v>877</v>
      </c>
      <c r="K5" s="46" t="s">
        <v>878</v>
      </c>
    </row>
    <row r="6" spans="1:11" ht="15.6" thickBot="1" x14ac:dyDescent="0.35">
      <c r="A6" s="48" t="s">
        <v>879</v>
      </c>
      <c r="B6" s="49">
        <v>2275</v>
      </c>
      <c r="C6" s="49">
        <v>3069</v>
      </c>
      <c r="D6" s="48">
        <v>0</v>
      </c>
      <c r="E6" s="110">
        <v>5344</v>
      </c>
      <c r="G6" s="48" t="s">
        <v>879</v>
      </c>
      <c r="H6" s="49"/>
      <c r="I6" s="49"/>
      <c r="J6" s="48"/>
      <c r="K6" s="110"/>
    </row>
    <row r="7" spans="1:11" ht="30.6" thickBot="1" x14ac:dyDescent="0.35">
      <c r="A7" s="48" t="s">
        <v>880</v>
      </c>
      <c r="B7" s="48">
        <v>729</v>
      </c>
      <c r="C7" s="48">
        <v>0</v>
      </c>
      <c r="D7" s="48">
        <v>0</v>
      </c>
      <c r="E7" s="110">
        <v>729</v>
      </c>
      <c r="G7" s="48" t="s">
        <v>880</v>
      </c>
      <c r="H7" s="48"/>
      <c r="I7" s="48"/>
      <c r="J7" s="48"/>
      <c r="K7" s="110"/>
    </row>
    <row r="8" spans="1:11" ht="15.6" thickBot="1" x14ac:dyDescent="0.35">
      <c r="A8" s="48" t="s">
        <v>881</v>
      </c>
      <c r="B8" s="48">
        <v>0</v>
      </c>
      <c r="C8" s="48">
        <v>0</v>
      </c>
      <c r="D8" s="48">
        <v>0</v>
      </c>
      <c r="E8" s="29">
        <v>0</v>
      </c>
      <c r="G8" s="48" t="s">
        <v>881</v>
      </c>
      <c r="H8" s="48"/>
      <c r="I8" s="48"/>
      <c r="J8" s="48"/>
      <c r="K8" s="29"/>
    </row>
    <row r="9" spans="1:11" ht="15.6" thickBot="1" x14ac:dyDescent="0.35">
      <c r="A9" s="48" t="s">
        <v>882</v>
      </c>
      <c r="B9" s="48">
        <v>566</v>
      </c>
      <c r="C9" s="48">
        <v>0</v>
      </c>
      <c r="D9" s="48">
        <v>0</v>
      </c>
      <c r="E9" s="29">
        <v>566</v>
      </c>
      <c r="G9" s="48" t="s">
        <v>882</v>
      </c>
      <c r="H9" s="48"/>
      <c r="I9" s="48"/>
      <c r="J9" s="48"/>
      <c r="K9" s="29"/>
    </row>
    <row r="10" spans="1:11" ht="15.6" thickBot="1" x14ac:dyDescent="0.35">
      <c r="A10" s="48" t="s">
        <v>883</v>
      </c>
      <c r="B10" s="48">
        <v>714</v>
      </c>
      <c r="C10" s="48">
        <v>80</v>
      </c>
      <c r="D10" s="48">
        <v>0</v>
      </c>
      <c r="E10" s="29">
        <v>794</v>
      </c>
      <c r="G10" s="48" t="s">
        <v>883</v>
      </c>
      <c r="H10" s="48"/>
      <c r="I10" s="48"/>
      <c r="J10" s="48"/>
      <c r="K10" s="29"/>
    </row>
    <row r="11" spans="1:11" ht="15.6" thickBot="1" x14ac:dyDescent="0.35">
      <c r="A11" s="48" t="s">
        <v>884</v>
      </c>
      <c r="B11" s="48">
        <v>0</v>
      </c>
      <c r="C11" s="48">
        <v>0</v>
      </c>
      <c r="D11" s="48">
        <v>243</v>
      </c>
      <c r="E11" s="29">
        <v>243</v>
      </c>
      <c r="G11" s="48" t="s">
        <v>884</v>
      </c>
      <c r="H11" s="48"/>
      <c r="I11" s="48"/>
      <c r="J11" s="48"/>
      <c r="K11" s="29"/>
    </row>
    <row r="12" spans="1:11" ht="15.6" thickBot="1" x14ac:dyDescent="0.35">
      <c r="A12" s="48" t="s">
        <v>885</v>
      </c>
      <c r="B12" s="49">
        <v>1821</v>
      </c>
      <c r="C12" s="49">
        <v>1208</v>
      </c>
      <c r="D12" s="48">
        <v>593</v>
      </c>
      <c r="E12" s="110">
        <v>3622</v>
      </c>
      <c r="G12" s="48" t="s">
        <v>885</v>
      </c>
      <c r="H12" s="49"/>
      <c r="I12" s="49"/>
      <c r="J12" s="48"/>
      <c r="K12" s="110"/>
    </row>
    <row r="13" spans="1:11" ht="15.6" thickBot="1" x14ac:dyDescent="0.35">
      <c r="A13" s="48" t="s">
        <v>886</v>
      </c>
      <c r="B13" s="49">
        <v>1447</v>
      </c>
      <c r="C13" s="48">
        <v>0</v>
      </c>
      <c r="D13" s="48">
        <v>0</v>
      </c>
      <c r="E13" s="110">
        <v>1447</v>
      </c>
      <c r="G13" s="48" t="s">
        <v>886</v>
      </c>
      <c r="H13" s="49"/>
      <c r="I13" s="48"/>
      <c r="J13" s="48"/>
      <c r="K13" s="110"/>
    </row>
    <row r="14" spans="1:11" ht="15.6" thickBot="1" x14ac:dyDescent="0.35">
      <c r="A14" s="48" t="s">
        <v>887</v>
      </c>
      <c r="B14" s="48">
        <v>939</v>
      </c>
      <c r="C14" s="48">
        <v>374</v>
      </c>
      <c r="D14" s="48">
        <v>120</v>
      </c>
      <c r="E14" s="110">
        <v>1433</v>
      </c>
      <c r="G14" s="48" t="s">
        <v>887</v>
      </c>
      <c r="H14" s="48"/>
      <c r="I14" s="48"/>
      <c r="J14" s="48"/>
      <c r="K14" s="110"/>
    </row>
    <row r="15" spans="1:11" ht="15.6" thickBot="1" x14ac:dyDescent="0.35">
      <c r="A15" s="48" t="s">
        <v>888</v>
      </c>
      <c r="B15" s="48">
        <v>478</v>
      </c>
      <c r="C15" s="48">
        <v>739</v>
      </c>
      <c r="D15" s="48">
        <v>0</v>
      </c>
      <c r="E15" s="110">
        <v>1217</v>
      </c>
      <c r="G15" s="48" t="s">
        <v>888</v>
      </c>
      <c r="H15" s="48"/>
      <c r="I15" s="48"/>
      <c r="J15" s="48"/>
      <c r="K15" s="110"/>
    </row>
    <row r="16" spans="1:11" ht="15.6" thickBot="1" x14ac:dyDescent="0.35">
      <c r="A16" s="48" t="s">
        <v>889</v>
      </c>
      <c r="B16" s="48">
        <v>356</v>
      </c>
      <c r="C16" s="48">
        <v>627</v>
      </c>
      <c r="D16" s="48">
        <v>65</v>
      </c>
      <c r="E16" s="110">
        <v>1048</v>
      </c>
      <c r="G16" s="48" t="s">
        <v>889</v>
      </c>
      <c r="H16" s="48"/>
      <c r="I16" s="48"/>
      <c r="J16" s="48"/>
      <c r="K16" s="110"/>
    </row>
    <row r="17" spans="1:11" ht="15.6" thickBot="1" x14ac:dyDescent="0.35">
      <c r="A17" s="48" t="s">
        <v>890</v>
      </c>
      <c r="B17" s="49">
        <v>5190</v>
      </c>
      <c r="C17" s="49">
        <v>6910</v>
      </c>
      <c r="D17" s="48">
        <v>720</v>
      </c>
      <c r="E17" s="110">
        <v>12820</v>
      </c>
      <c r="G17" s="48" t="s">
        <v>890</v>
      </c>
      <c r="H17" s="49"/>
      <c r="I17" s="49"/>
      <c r="J17" s="48"/>
      <c r="K17" s="110"/>
    </row>
    <row r="18" spans="1:11" ht="15.6" thickBot="1" x14ac:dyDescent="0.35">
      <c r="A18" s="106" t="s">
        <v>466</v>
      </c>
      <c r="B18" s="111">
        <v>14515</v>
      </c>
      <c r="C18" s="111">
        <v>13007</v>
      </c>
      <c r="D18" s="111">
        <v>1709</v>
      </c>
      <c r="E18" s="112">
        <v>29231</v>
      </c>
      <c r="G18" s="106" t="s">
        <v>466</v>
      </c>
      <c r="H18" s="111">
        <f>SUM(H6:H17)</f>
        <v>0</v>
      </c>
      <c r="I18" s="111">
        <f t="shared" ref="I18:K18" si="0">SUM(I6:I17)</f>
        <v>0</v>
      </c>
      <c r="J18" s="111">
        <f t="shared" si="0"/>
        <v>0</v>
      </c>
      <c r="K18" s="111">
        <f t="shared" si="0"/>
        <v>0</v>
      </c>
    </row>
  </sheetData>
  <mergeCells count="4">
    <mergeCell ref="A4:A5"/>
    <mergeCell ref="B4:E4"/>
    <mergeCell ref="G4:G5"/>
    <mergeCell ref="H4:K4"/>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DFD9F-9BC5-4E5F-9C1A-708FA412F126}">
  <dimension ref="A1:O16"/>
  <sheetViews>
    <sheetView workbookViewId="0">
      <selection activeCell="G24" sqref="G24"/>
    </sheetView>
  </sheetViews>
  <sheetFormatPr baseColWidth="10" defaultColWidth="11.44140625" defaultRowHeight="14.4" x14ac:dyDescent="0.3"/>
  <cols>
    <col min="1" max="1" width="27.44140625" customWidth="1"/>
    <col min="2" max="2" width="10.44140625" customWidth="1"/>
    <col min="3" max="12" width="5.44140625" bestFit="1" customWidth="1"/>
    <col min="13" max="15" width="5.44140625" customWidth="1"/>
  </cols>
  <sheetData>
    <row r="1" spans="1:15" x14ac:dyDescent="0.3">
      <c r="A1" t="s">
        <v>355</v>
      </c>
      <c r="B1">
        <v>57</v>
      </c>
    </row>
    <row r="2" spans="1:15" x14ac:dyDescent="0.3">
      <c r="A2" t="s">
        <v>5</v>
      </c>
      <c r="B2" t="s">
        <v>314</v>
      </c>
    </row>
    <row r="3" spans="1:15" ht="15" thickBot="1" x14ac:dyDescent="0.35"/>
    <row r="4" spans="1:15" ht="15" thickBot="1" x14ac:dyDescent="0.35">
      <c r="A4" s="52"/>
      <c r="B4" s="85" t="s">
        <v>422</v>
      </c>
      <c r="C4" s="85" t="s">
        <v>423</v>
      </c>
      <c r="D4" s="85" t="s">
        <v>424</v>
      </c>
      <c r="E4" s="85" t="s">
        <v>425</v>
      </c>
      <c r="F4" s="85" t="s">
        <v>426</v>
      </c>
      <c r="G4" s="85" t="s">
        <v>427</v>
      </c>
      <c r="H4" s="85" t="s">
        <v>428</v>
      </c>
      <c r="I4" s="85" t="s">
        <v>429</v>
      </c>
      <c r="J4" s="85" t="s">
        <v>430</v>
      </c>
      <c r="K4" s="85" t="s">
        <v>358</v>
      </c>
      <c r="L4" s="85" t="s">
        <v>359</v>
      </c>
      <c r="M4" s="85" t="s">
        <v>360</v>
      </c>
      <c r="N4" s="85" t="s">
        <v>361</v>
      </c>
      <c r="O4" s="85" t="s">
        <v>362</v>
      </c>
    </row>
    <row r="5" spans="1:15" ht="15" thickBot="1" x14ac:dyDescent="0.35">
      <c r="A5" s="86" t="s">
        <v>891</v>
      </c>
      <c r="B5" s="87">
        <v>1901</v>
      </c>
      <c r="C5" s="87">
        <v>3348</v>
      </c>
      <c r="D5" s="87">
        <v>4795</v>
      </c>
      <c r="E5" s="87">
        <v>6242</v>
      </c>
      <c r="F5" s="87">
        <v>7689</v>
      </c>
      <c r="G5" s="87">
        <v>9136</v>
      </c>
      <c r="H5" s="87">
        <v>10583</v>
      </c>
      <c r="I5" s="87">
        <v>12030</v>
      </c>
      <c r="J5" s="87">
        <v>13477</v>
      </c>
      <c r="K5" s="74">
        <v>13477</v>
      </c>
      <c r="L5" s="74">
        <v>13477</v>
      </c>
      <c r="M5" s="74"/>
      <c r="N5" s="74"/>
      <c r="O5" s="74"/>
    </row>
    <row r="6" spans="1:15" ht="15" thickBot="1" x14ac:dyDescent="0.35">
      <c r="A6" s="86" t="s">
        <v>892</v>
      </c>
      <c r="B6" s="86">
        <v>90</v>
      </c>
      <c r="C6" s="86">
        <v>273</v>
      </c>
      <c r="D6" s="86">
        <v>273</v>
      </c>
      <c r="E6" s="86">
        <v>275</v>
      </c>
      <c r="F6" s="86">
        <v>270</v>
      </c>
      <c r="G6" s="86">
        <v>275</v>
      </c>
      <c r="H6" s="86">
        <v>270</v>
      </c>
      <c r="I6" s="86">
        <v>239</v>
      </c>
      <c r="J6" s="86">
        <v>211</v>
      </c>
      <c r="K6" s="75">
        <v>239</v>
      </c>
      <c r="L6" s="75">
        <v>208</v>
      </c>
      <c r="M6" s="75"/>
      <c r="N6" s="75"/>
      <c r="O6" s="75"/>
    </row>
    <row r="7" spans="1:15" ht="15" thickBot="1" x14ac:dyDescent="0.35">
      <c r="A7" s="86" t="s">
        <v>893</v>
      </c>
      <c r="B7" s="87">
        <v>7160</v>
      </c>
      <c r="C7" s="87">
        <v>10358</v>
      </c>
      <c r="D7" s="87">
        <v>10358</v>
      </c>
      <c r="E7" s="87">
        <v>10358</v>
      </c>
      <c r="F7" s="87">
        <v>10208</v>
      </c>
      <c r="G7" s="87">
        <v>10358</v>
      </c>
      <c r="H7" s="87">
        <v>10208</v>
      </c>
      <c r="I7" s="87">
        <v>7791</v>
      </c>
      <c r="J7" s="87">
        <v>7791</v>
      </c>
      <c r="K7" s="74">
        <v>7791</v>
      </c>
      <c r="L7" s="74">
        <v>6918</v>
      </c>
      <c r="M7" s="74"/>
      <c r="N7" s="74"/>
      <c r="O7" s="74"/>
    </row>
    <row r="8" spans="1:15" ht="15" thickBot="1" x14ac:dyDescent="0.35">
      <c r="A8" s="86" t="s">
        <v>894</v>
      </c>
      <c r="B8" s="87">
        <v>26529</v>
      </c>
      <c r="C8" s="87">
        <v>22446</v>
      </c>
      <c r="D8" s="87">
        <v>22446</v>
      </c>
      <c r="E8" s="87">
        <v>22446</v>
      </c>
      <c r="F8" s="87">
        <v>21346</v>
      </c>
      <c r="G8" s="87">
        <v>20841</v>
      </c>
      <c r="H8" s="87">
        <v>21346</v>
      </c>
      <c r="I8" s="87">
        <v>35548</v>
      </c>
      <c r="J8" s="87">
        <v>35548</v>
      </c>
      <c r="K8" s="74">
        <v>35548</v>
      </c>
      <c r="L8" s="74">
        <v>36310</v>
      </c>
      <c r="M8" s="74"/>
      <c r="N8" s="74"/>
      <c r="O8" s="74"/>
    </row>
    <row r="9" spans="1:15" ht="15" thickBot="1" x14ac:dyDescent="0.35">
      <c r="A9" s="86" t="s">
        <v>895</v>
      </c>
      <c r="B9" s="86">
        <v>19</v>
      </c>
      <c r="C9" s="86">
        <v>5</v>
      </c>
      <c r="D9" s="86">
        <v>5</v>
      </c>
      <c r="E9" s="86">
        <v>5</v>
      </c>
      <c r="F9" s="86">
        <v>5</v>
      </c>
      <c r="G9" s="86">
        <v>5</v>
      </c>
      <c r="H9" s="86">
        <v>5</v>
      </c>
      <c r="I9" s="86">
        <v>10</v>
      </c>
      <c r="J9" s="86">
        <v>10</v>
      </c>
      <c r="K9" s="75">
        <v>10</v>
      </c>
      <c r="L9" s="75">
        <v>18</v>
      </c>
      <c r="M9" s="75"/>
      <c r="N9" s="75"/>
      <c r="O9" s="75"/>
    </row>
    <row r="10" spans="1:15" ht="15" thickBot="1" x14ac:dyDescent="0.35">
      <c r="A10" s="86" t="s">
        <v>896</v>
      </c>
      <c r="B10" s="86">
        <v>40</v>
      </c>
      <c r="C10" s="86">
        <v>55</v>
      </c>
      <c r="D10" s="86">
        <v>55</v>
      </c>
      <c r="E10" s="86">
        <v>55</v>
      </c>
      <c r="F10" s="86">
        <v>50</v>
      </c>
      <c r="G10" s="86">
        <v>55</v>
      </c>
      <c r="H10" s="86">
        <v>50</v>
      </c>
      <c r="I10" s="86">
        <v>39</v>
      </c>
      <c r="J10" s="86">
        <v>35</v>
      </c>
      <c r="K10" s="75">
        <v>39</v>
      </c>
      <c r="L10" s="75">
        <v>39</v>
      </c>
      <c r="M10" s="75"/>
      <c r="N10" s="75"/>
      <c r="O10" s="75"/>
    </row>
    <row r="11" spans="1:15" ht="15" thickBot="1" x14ac:dyDescent="0.35">
      <c r="A11" s="86" t="s">
        <v>897</v>
      </c>
      <c r="B11" s="86">
        <v>3</v>
      </c>
      <c r="C11" s="86">
        <v>2</v>
      </c>
      <c r="D11" s="86">
        <v>2</v>
      </c>
      <c r="E11" s="86">
        <v>2</v>
      </c>
      <c r="F11" s="86">
        <v>2</v>
      </c>
      <c r="G11" s="86">
        <v>2</v>
      </c>
      <c r="H11" s="86">
        <v>2</v>
      </c>
      <c r="I11" s="86">
        <v>2</v>
      </c>
      <c r="J11" s="86">
        <v>2</v>
      </c>
      <c r="K11" s="75">
        <v>2</v>
      </c>
      <c r="L11" s="75">
        <v>2</v>
      </c>
      <c r="M11" s="75"/>
      <c r="N11" s="75"/>
      <c r="O11" s="75"/>
    </row>
    <row r="12" spans="1:15" ht="15" thickBot="1" x14ac:dyDescent="0.35">
      <c r="A12" s="86" t="s">
        <v>898</v>
      </c>
      <c r="B12" s="86">
        <v>2</v>
      </c>
      <c r="C12" s="86">
        <v>2</v>
      </c>
      <c r="D12" s="86">
        <v>2</v>
      </c>
      <c r="E12" s="86">
        <v>2</v>
      </c>
      <c r="F12" s="86">
        <v>2</v>
      </c>
      <c r="G12" s="86">
        <v>2</v>
      </c>
      <c r="H12" s="86">
        <v>2</v>
      </c>
      <c r="I12" s="86">
        <v>2</v>
      </c>
      <c r="J12" s="86">
        <v>2</v>
      </c>
      <c r="K12" s="75">
        <v>2</v>
      </c>
      <c r="L12" s="75">
        <v>2</v>
      </c>
      <c r="M12" s="75"/>
      <c r="N12" s="75"/>
      <c r="O12" s="75"/>
    </row>
    <row r="13" spans="1:15" ht="15" thickBot="1" x14ac:dyDescent="0.35">
      <c r="A13" s="86" t="s">
        <v>899</v>
      </c>
      <c r="B13" s="86">
        <v>12</v>
      </c>
      <c r="C13" s="86">
        <v>22</v>
      </c>
      <c r="D13" s="86">
        <v>22</v>
      </c>
      <c r="E13" s="86">
        <v>22</v>
      </c>
      <c r="F13" s="86">
        <v>22</v>
      </c>
      <c r="G13" s="86">
        <v>22</v>
      </c>
      <c r="H13" s="86">
        <v>22</v>
      </c>
      <c r="I13" s="86">
        <v>27</v>
      </c>
      <c r="J13" s="86">
        <v>27</v>
      </c>
      <c r="K13" s="75">
        <v>27</v>
      </c>
      <c r="L13" s="75">
        <v>27</v>
      </c>
      <c r="M13" s="75"/>
      <c r="N13" s="75"/>
      <c r="O13" s="75"/>
    </row>
    <row r="14" spans="1:15" ht="15" thickBot="1" x14ac:dyDescent="0.35">
      <c r="A14" s="86" t="s">
        <v>900</v>
      </c>
      <c r="B14" s="86">
        <v>30</v>
      </c>
      <c r="C14" s="86">
        <v>25</v>
      </c>
      <c r="D14" s="86">
        <v>25</v>
      </c>
      <c r="E14" s="86">
        <v>30</v>
      </c>
      <c r="F14" s="86">
        <v>30</v>
      </c>
      <c r="G14" s="86">
        <v>30</v>
      </c>
      <c r="H14" s="86">
        <v>30</v>
      </c>
      <c r="I14" s="86">
        <v>30</v>
      </c>
      <c r="J14" s="86">
        <v>30</v>
      </c>
      <c r="K14" s="75">
        <v>30</v>
      </c>
      <c r="L14" s="75">
        <v>30</v>
      </c>
      <c r="M14" s="75"/>
      <c r="N14" s="75"/>
      <c r="O14" s="75"/>
    </row>
    <row r="15" spans="1:15" ht="15" thickBot="1" x14ac:dyDescent="0.35">
      <c r="A15" s="86" t="s">
        <v>901</v>
      </c>
      <c r="B15" s="87">
        <v>27540</v>
      </c>
      <c r="C15" s="87">
        <v>39619</v>
      </c>
      <c r="D15" s="87">
        <v>39619</v>
      </c>
      <c r="E15" s="87">
        <v>39619</v>
      </c>
      <c r="F15" s="87">
        <v>38519</v>
      </c>
      <c r="G15" s="87">
        <v>39619</v>
      </c>
      <c r="H15" s="87">
        <v>38519</v>
      </c>
      <c r="I15" s="87">
        <v>35548</v>
      </c>
      <c r="J15" s="87">
        <v>37842</v>
      </c>
      <c r="K15" s="74">
        <v>35548</v>
      </c>
      <c r="L15" s="74">
        <v>34574</v>
      </c>
      <c r="M15" s="74"/>
      <c r="N15" s="74"/>
      <c r="O15" s="74"/>
    </row>
    <row r="16" spans="1:15" ht="15" thickBot="1" x14ac:dyDescent="0.35">
      <c r="A16" s="86" t="s">
        <v>902</v>
      </c>
      <c r="B16" s="87">
        <v>1170</v>
      </c>
      <c r="C16" s="86">
        <v>414</v>
      </c>
      <c r="D16" s="86">
        <v>414</v>
      </c>
      <c r="E16" s="86">
        <v>414</v>
      </c>
      <c r="F16" s="86">
        <v>414</v>
      </c>
      <c r="G16" s="86">
        <v>414</v>
      </c>
      <c r="H16" s="86">
        <v>414</v>
      </c>
      <c r="I16" s="86">
        <v>646</v>
      </c>
      <c r="J16" s="86">
        <v>789</v>
      </c>
      <c r="K16" s="75">
        <v>646</v>
      </c>
      <c r="L16" s="75">
        <v>646</v>
      </c>
      <c r="M16" s="75"/>
      <c r="N16" s="75"/>
      <c r="O16" s="75"/>
    </row>
  </sheetData>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A40F2-3752-4E88-A416-7299D2674A9A}">
  <dimension ref="A1:O13"/>
  <sheetViews>
    <sheetView workbookViewId="0">
      <selection activeCell="N13" sqref="N13:O13"/>
    </sheetView>
  </sheetViews>
  <sheetFormatPr baseColWidth="10" defaultColWidth="11.44140625" defaultRowHeight="14.4" x14ac:dyDescent="0.3"/>
  <cols>
    <col min="1" max="1" width="27.44140625" customWidth="1"/>
    <col min="2" max="2" width="10.44140625" customWidth="1"/>
    <col min="3" max="12" width="5.44140625" bestFit="1" customWidth="1"/>
    <col min="13" max="15" width="5.44140625" customWidth="1"/>
  </cols>
  <sheetData>
    <row r="1" spans="1:15" x14ac:dyDescent="0.3">
      <c r="A1" t="s">
        <v>355</v>
      </c>
      <c r="B1">
        <v>58</v>
      </c>
    </row>
    <row r="2" spans="1:15" x14ac:dyDescent="0.3">
      <c r="A2" t="s">
        <v>5</v>
      </c>
      <c r="B2" t="s">
        <v>315</v>
      </c>
    </row>
    <row r="3" spans="1:15" ht="15" thickBot="1" x14ac:dyDescent="0.35"/>
    <row r="4" spans="1:15" ht="15" customHeight="1" thickBot="1" x14ac:dyDescent="0.35">
      <c r="A4" s="113"/>
      <c r="B4" s="113" t="s">
        <v>422</v>
      </c>
      <c r="C4" s="85" t="s">
        <v>423</v>
      </c>
      <c r="D4" s="85" t="s">
        <v>424</v>
      </c>
      <c r="E4" s="85" t="s">
        <v>425</v>
      </c>
      <c r="F4" s="85" t="s">
        <v>426</v>
      </c>
      <c r="G4" s="85" t="s">
        <v>427</v>
      </c>
      <c r="H4" s="85" t="s">
        <v>428</v>
      </c>
      <c r="I4" s="85" t="s">
        <v>429</v>
      </c>
      <c r="J4" s="85" t="s">
        <v>430</v>
      </c>
      <c r="K4" s="85" t="s">
        <v>358</v>
      </c>
      <c r="L4" s="85" t="s">
        <v>359</v>
      </c>
      <c r="M4" s="85" t="s">
        <v>360</v>
      </c>
      <c r="N4" s="85" t="s">
        <v>361</v>
      </c>
      <c r="O4" s="85" t="s">
        <v>362</v>
      </c>
    </row>
    <row r="5" spans="1:15" ht="15" thickBot="1" x14ac:dyDescent="0.35">
      <c r="A5" s="86" t="s">
        <v>903</v>
      </c>
      <c r="B5" s="87">
        <v>1104</v>
      </c>
      <c r="C5" s="87">
        <v>1268</v>
      </c>
      <c r="D5" s="87">
        <v>1268</v>
      </c>
      <c r="E5" s="86" t="s">
        <v>515</v>
      </c>
      <c r="F5" s="87">
        <v>1264</v>
      </c>
      <c r="G5" s="86" t="s">
        <v>515</v>
      </c>
      <c r="H5" s="86" t="s">
        <v>515</v>
      </c>
      <c r="I5" s="87">
        <v>5626</v>
      </c>
      <c r="J5" s="87">
        <v>5003</v>
      </c>
      <c r="K5" s="74">
        <v>4047</v>
      </c>
      <c r="L5" s="74">
        <v>4047</v>
      </c>
      <c r="M5" s="74">
        <v>4047</v>
      </c>
      <c r="N5" s="74">
        <v>3625</v>
      </c>
      <c r="O5" s="74">
        <v>3625</v>
      </c>
    </row>
    <row r="6" spans="1:15" ht="15" thickBot="1" x14ac:dyDescent="0.35">
      <c r="A6" s="86" t="s">
        <v>904</v>
      </c>
      <c r="B6" s="87">
        <v>1111</v>
      </c>
      <c r="C6" s="87">
        <v>1159</v>
      </c>
      <c r="D6" s="87">
        <v>1159</v>
      </c>
      <c r="E6" s="86" t="s">
        <v>515</v>
      </c>
      <c r="F6" s="87">
        <v>1207</v>
      </c>
      <c r="G6" s="86" t="s">
        <v>515</v>
      </c>
      <c r="H6" s="86" t="s">
        <v>515</v>
      </c>
      <c r="I6" s="87">
        <v>1350</v>
      </c>
      <c r="J6" s="87">
        <v>1317</v>
      </c>
      <c r="K6" s="74">
        <v>1167</v>
      </c>
      <c r="L6" s="74">
        <v>1197</v>
      </c>
      <c r="M6" s="74">
        <v>1197</v>
      </c>
      <c r="N6" s="74">
        <v>1027</v>
      </c>
      <c r="O6" s="74">
        <v>1027</v>
      </c>
    </row>
    <row r="7" spans="1:15" ht="15" thickBot="1" x14ac:dyDescent="0.35">
      <c r="A7" s="86" t="s">
        <v>905</v>
      </c>
      <c r="B7" s="86">
        <v>256</v>
      </c>
      <c r="C7" s="86">
        <v>557</v>
      </c>
      <c r="D7" s="86">
        <v>858</v>
      </c>
      <c r="E7" s="86">
        <v>858</v>
      </c>
      <c r="F7" s="87">
        <v>1165</v>
      </c>
      <c r="G7" s="87">
        <v>1165</v>
      </c>
      <c r="H7" s="87">
        <v>1165</v>
      </c>
      <c r="I7" s="87">
        <v>1930</v>
      </c>
      <c r="J7" s="87">
        <v>2670</v>
      </c>
      <c r="K7" s="75">
        <v>655</v>
      </c>
      <c r="L7" s="75">
        <v>655</v>
      </c>
      <c r="M7" s="75">
        <v>655</v>
      </c>
      <c r="N7" s="75">
        <v>425</v>
      </c>
      <c r="O7" s="75">
        <v>425</v>
      </c>
    </row>
    <row r="8" spans="1:15" ht="15" thickBot="1" x14ac:dyDescent="0.35">
      <c r="A8" s="86" t="s">
        <v>906</v>
      </c>
      <c r="B8" s="87">
        <v>1750</v>
      </c>
      <c r="C8" s="87">
        <v>1800</v>
      </c>
      <c r="D8" s="87">
        <v>1800</v>
      </c>
      <c r="E8" s="87">
        <v>1900</v>
      </c>
      <c r="F8" s="87">
        <v>1750</v>
      </c>
      <c r="G8" s="87">
        <v>1900</v>
      </c>
      <c r="H8" s="87">
        <v>1900</v>
      </c>
      <c r="I8" s="87">
        <v>1000</v>
      </c>
      <c r="J8" s="86">
        <v>750</v>
      </c>
      <c r="K8" s="75" t="s">
        <v>907</v>
      </c>
      <c r="L8" s="75" t="s">
        <v>907</v>
      </c>
      <c r="M8" s="75" t="s">
        <v>907</v>
      </c>
      <c r="N8" s="75" t="s">
        <v>907</v>
      </c>
      <c r="O8" s="75" t="s">
        <v>908</v>
      </c>
    </row>
    <row r="9" spans="1:15" ht="15" thickBot="1" x14ac:dyDescent="0.35">
      <c r="A9" s="86" t="s">
        <v>909</v>
      </c>
      <c r="B9" s="86">
        <v>98</v>
      </c>
      <c r="C9" s="86">
        <v>99</v>
      </c>
      <c r="D9" s="86">
        <v>99</v>
      </c>
      <c r="E9" s="86">
        <v>99</v>
      </c>
      <c r="F9" s="86">
        <v>99</v>
      </c>
      <c r="G9" s="86">
        <v>99</v>
      </c>
      <c r="H9" s="86">
        <v>99</v>
      </c>
      <c r="I9" s="86">
        <v>98</v>
      </c>
      <c r="J9" s="86">
        <v>99</v>
      </c>
      <c r="K9" s="75">
        <v>99</v>
      </c>
      <c r="L9" s="75">
        <v>99</v>
      </c>
      <c r="M9" s="75">
        <v>99</v>
      </c>
      <c r="N9" s="75">
        <v>99</v>
      </c>
      <c r="O9" s="75">
        <v>99</v>
      </c>
    </row>
    <row r="10" spans="1:15" ht="15" thickBot="1" x14ac:dyDescent="0.35">
      <c r="A10" s="86" t="s">
        <v>910</v>
      </c>
      <c r="B10" s="87">
        <v>1681</v>
      </c>
      <c r="C10" s="87">
        <v>1897</v>
      </c>
      <c r="D10" s="87">
        <v>1897</v>
      </c>
      <c r="E10" s="87">
        <v>1914</v>
      </c>
      <c r="F10" s="87">
        <v>1889</v>
      </c>
      <c r="G10" s="87">
        <v>2113</v>
      </c>
      <c r="H10" s="87">
        <v>2113</v>
      </c>
      <c r="I10" s="87">
        <v>1966</v>
      </c>
      <c r="J10" s="87">
        <v>3797</v>
      </c>
      <c r="K10" s="74">
        <v>3613</v>
      </c>
      <c r="L10" s="74">
        <v>3613</v>
      </c>
      <c r="M10" s="74">
        <v>3613</v>
      </c>
      <c r="N10" s="74">
        <v>3613</v>
      </c>
      <c r="O10" s="74">
        <v>3663</v>
      </c>
    </row>
    <row r="11" spans="1:15" ht="15" thickBot="1" x14ac:dyDescent="0.35">
      <c r="A11" s="86" t="s">
        <v>911</v>
      </c>
      <c r="B11" s="87">
        <v>4038</v>
      </c>
      <c r="C11" s="87">
        <v>4365</v>
      </c>
      <c r="D11" s="87">
        <v>4365</v>
      </c>
      <c r="E11" s="87">
        <v>4370</v>
      </c>
      <c r="F11" s="87">
        <v>4357</v>
      </c>
      <c r="G11" s="87">
        <v>4370</v>
      </c>
      <c r="H11" s="87">
        <v>4370</v>
      </c>
      <c r="I11" s="87">
        <v>3823</v>
      </c>
      <c r="J11" s="87">
        <v>3757</v>
      </c>
      <c r="K11" s="74">
        <v>3181</v>
      </c>
      <c r="L11" s="74">
        <v>3181</v>
      </c>
      <c r="M11" s="74">
        <v>3181</v>
      </c>
      <c r="N11" s="74">
        <v>2582</v>
      </c>
      <c r="O11" s="74">
        <v>2582</v>
      </c>
    </row>
    <row r="12" spans="1:15" ht="15" thickBot="1" x14ac:dyDescent="0.35">
      <c r="A12" s="86" t="s">
        <v>912</v>
      </c>
      <c r="B12" s="86">
        <v>12</v>
      </c>
      <c r="C12" s="86">
        <v>12</v>
      </c>
      <c r="D12" s="86">
        <v>12</v>
      </c>
      <c r="E12" s="86" t="s">
        <v>515</v>
      </c>
      <c r="F12" s="86">
        <v>12</v>
      </c>
      <c r="G12" s="86" t="s">
        <v>515</v>
      </c>
      <c r="H12" s="86" t="s">
        <v>515</v>
      </c>
      <c r="I12" s="86">
        <v>593</v>
      </c>
      <c r="J12" s="86">
        <v>580</v>
      </c>
      <c r="K12" s="75">
        <v>545</v>
      </c>
      <c r="L12" s="75">
        <v>545</v>
      </c>
      <c r="M12" s="75">
        <v>545</v>
      </c>
      <c r="N12" s="75">
        <v>326</v>
      </c>
      <c r="O12" s="75">
        <v>326</v>
      </c>
    </row>
    <row r="13" spans="1:15" ht="15" thickBot="1" x14ac:dyDescent="0.35">
      <c r="A13" s="86" t="s">
        <v>913</v>
      </c>
      <c r="B13" s="87">
        <v>2289</v>
      </c>
      <c r="C13" s="87">
        <v>2543</v>
      </c>
      <c r="D13" s="87">
        <v>2543</v>
      </c>
      <c r="E13" s="86" t="s">
        <v>515</v>
      </c>
      <c r="F13" s="87">
        <v>2577</v>
      </c>
      <c r="G13" s="86" t="s">
        <v>515</v>
      </c>
      <c r="H13" s="86" t="s">
        <v>515</v>
      </c>
      <c r="I13" s="87">
        <v>3885</v>
      </c>
      <c r="J13" s="87">
        <v>3792</v>
      </c>
      <c r="K13" s="74">
        <v>3181</v>
      </c>
      <c r="L13" s="74">
        <v>3181</v>
      </c>
      <c r="M13" s="74">
        <v>3181</v>
      </c>
      <c r="N13" s="74">
        <v>3625</v>
      </c>
      <c r="O13" s="74">
        <v>3625</v>
      </c>
    </row>
  </sheetData>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79D6B-DB9C-4BC3-9236-4332BD495A4A}">
  <dimension ref="A1:I9"/>
  <sheetViews>
    <sheetView workbookViewId="0">
      <selection activeCell="I5" sqref="I5"/>
    </sheetView>
  </sheetViews>
  <sheetFormatPr baseColWidth="10" defaultColWidth="11.44140625" defaultRowHeight="14.4" x14ac:dyDescent="0.3"/>
  <cols>
    <col min="1" max="1" width="27.44140625" customWidth="1"/>
    <col min="2" max="2" width="10.44140625" customWidth="1"/>
    <col min="3" max="3" width="14.44140625" customWidth="1"/>
    <col min="4" max="4" width="12.44140625" customWidth="1"/>
    <col min="5" max="5" width="13.44140625" customWidth="1"/>
    <col min="6" max="6" width="12.44140625" customWidth="1"/>
    <col min="7" max="7" width="8.88671875" bestFit="1" customWidth="1"/>
    <col min="8" max="9" width="8.44140625" customWidth="1"/>
  </cols>
  <sheetData>
    <row r="1" spans="1:9" x14ac:dyDescent="0.3">
      <c r="A1" t="s">
        <v>355</v>
      </c>
      <c r="B1">
        <v>61</v>
      </c>
    </row>
    <row r="2" spans="1:9" x14ac:dyDescent="0.3">
      <c r="A2" t="s">
        <v>5</v>
      </c>
      <c r="B2" t="s">
        <v>101</v>
      </c>
    </row>
    <row r="4" spans="1:9" ht="15" customHeight="1" x14ac:dyDescent="0.3">
      <c r="A4" s="115" t="s">
        <v>914</v>
      </c>
      <c r="B4" s="116">
        <v>2019</v>
      </c>
      <c r="C4" s="116">
        <v>2020</v>
      </c>
      <c r="D4" s="116">
        <v>2021</v>
      </c>
      <c r="E4" s="116">
        <v>2022</v>
      </c>
      <c r="F4" s="116">
        <v>2023</v>
      </c>
      <c r="G4" s="116">
        <v>2024</v>
      </c>
      <c r="H4" s="116">
        <v>2025</v>
      </c>
      <c r="I4" s="116">
        <v>2026</v>
      </c>
    </row>
    <row r="5" spans="1:9" x14ac:dyDescent="0.3">
      <c r="A5" s="114"/>
      <c r="B5" s="114"/>
      <c r="C5" s="114"/>
      <c r="D5" s="114"/>
      <c r="E5" s="114"/>
      <c r="F5" s="114"/>
      <c r="G5" s="114"/>
      <c r="H5" s="114"/>
      <c r="I5" s="114"/>
    </row>
    <row r="6" spans="1:9" ht="15" thickBot="1" x14ac:dyDescent="0.35">
      <c r="A6" s="60" t="s">
        <v>915</v>
      </c>
      <c r="B6" s="117">
        <v>213983</v>
      </c>
      <c r="C6" s="117">
        <v>200660</v>
      </c>
      <c r="D6" s="117">
        <v>191618</v>
      </c>
      <c r="E6" s="117">
        <v>207590</v>
      </c>
      <c r="F6" s="117">
        <v>229365</v>
      </c>
      <c r="G6" s="117">
        <v>253336</v>
      </c>
      <c r="H6" s="117"/>
      <c r="I6" s="117"/>
    </row>
    <row r="7" spans="1:9" ht="15" thickBot="1" x14ac:dyDescent="0.35">
      <c r="A7" s="60" t="s">
        <v>916</v>
      </c>
      <c r="B7" s="117">
        <v>16734</v>
      </c>
      <c r="C7" s="117">
        <v>16124</v>
      </c>
      <c r="D7" s="117">
        <v>25009</v>
      </c>
      <c r="E7" s="117">
        <v>18493</v>
      </c>
      <c r="F7" s="117">
        <v>27348</v>
      </c>
      <c r="G7" s="117">
        <v>24053</v>
      </c>
      <c r="H7" s="117"/>
      <c r="I7" s="117"/>
    </row>
    <row r="8" spans="1:9" ht="15" thickBot="1" x14ac:dyDescent="0.35">
      <c r="A8" s="118" t="s">
        <v>917</v>
      </c>
      <c r="B8" s="119">
        <v>230717</v>
      </c>
      <c r="C8" s="119">
        <v>216784</v>
      </c>
      <c r="D8" s="119">
        <v>216627</v>
      </c>
      <c r="E8" s="119">
        <v>226082</v>
      </c>
      <c r="F8" s="119">
        <f>+F6+F7</f>
        <v>256713</v>
      </c>
      <c r="G8" s="119">
        <f>+G6+G7</f>
        <v>277389</v>
      </c>
      <c r="H8" s="119"/>
      <c r="I8" s="119"/>
    </row>
    <row r="9" spans="1:9" ht="15" thickTop="1" x14ac:dyDescent="0.3"/>
  </sheetData>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835C-CC39-421F-B09A-FAD5DC76E838}">
  <dimension ref="A1:I7"/>
  <sheetViews>
    <sheetView workbookViewId="0">
      <selection activeCell="H5" sqref="H5"/>
    </sheetView>
  </sheetViews>
  <sheetFormatPr baseColWidth="10" defaultColWidth="11.44140625" defaultRowHeight="14.4" x14ac:dyDescent="0.3"/>
  <cols>
    <col min="1" max="1" width="27.44140625" customWidth="1"/>
    <col min="2" max="2" width="10.44140625" customWidth="1"/>
    <col min="3" max="7" width="8.88671875" bestFit="1" customWidth="1"/>
    <col min="8" max="9" width="8.88671875" customWidth="1"/>
  </cols>
  <sheetData>
    <row r="1" spans="1:9" x14ac:dyDescent="0.3">
      <c r="A1" t="s">
        <v>355</v>
      </c>
      <c r="B1">
        <v>62</v>
      </c>
    </row>
    <row r="2" spans="1:9" x14ac:dyDescent="0.3">
      <c r="A2" t="s">
        <v>5</v>
      </c>
      <c r="B2" t="s">
        <v>104</v>
      </c>
    </row>
    <row r="3" spans="1:9" ht="15" thickBot="1" x14ac:dyDescent="0.35"/>
    <row r="4" spans="1:9" ht="15" customHeight="1" thickBot="1" x14ac:dyDescent="0.35">
      <c r="A4" s="120" t="s">
        <v>918</v>
      </c>
      <c r="B4" s="58">
        <v>2019</v>
      </c>
      <c r="C4" s="58">
        <v>2020</v>
      </c>
      <c r="D4" s="58">
        <v>2021</v>
      </c>
      <c r="E4" s="58">
        <v>2022</v>
      </c>
      <c r="F4" s="58">
        <v>2023</v>
      </c>
      <c r="G4" s="116">
        <v>2024</v>
      </c>
      <c r="H4" s="116">
        <v>2025</v>
      </c>
      <c r="I4" s="116">
        <v>2026</v>
      </c>
    </row>
    <row r="5" spans="1:9" ht="15" thickBot="1" x14ac:dyDescent="0.35">
      <c r="A5" s="61" t="s">
        <v>919</v>
      </c>
      <c r="B5" s="117">
        <v>230717</v>
      </c>
      <c r="C5" s="117">
        <v>216784</v>
      </c>
      <c r="D5" s="117">
        <v>216627</v>
      </c>
      <c r="E5" s="117">
        <v>226082</v>
      </c>
      <c r="F5" s="117">
        <v>256713</v>
      </c>
      <c r="G5" s="117">
        <v>277389</v>
      </c>
      <c r="H5" s="117"/>
      <c r="I5" s="117"/>
    </row>
    <row r="6" spans="1:9" ht="15" thickBot="1" x14ac:dyDescent="0.35">
      <c r="A6" s="61" t="s">
        <v>920</v>
      </c>
      <c r="B6" s="117">
        <v>4828</v>
      </c>
      <c r="C6" s="117">
        <v>3965</v>
      </c>
      <c r="D6" s="117">
        <v>2029</v>
      </c>
      <c r="E6" s="117">
        <v>2216</v>
      </c>
      <c r="F6" s="117">
        <v>4407</v>
      </c>
      <c r="G6" s="117">
        <v>4510</v>
      </c>
      <c r="H6" s="117"/>
      <c r="I6" s="117"/>
    </row>
    <row r="7" spans="1:9" ht="15" thickBot="1" x14ac:dyDescent="0.35">
      <c r="A7" s="61" t="s">
        <v>921</v>
      </c>
      <c r="B7" s="117">
        <v>235546</v>
      </c>
      <c r="C7" s="117">
        <v>220749</v>
      </c>
      <c r="D7" s="117">
        <v>218656</v>
      </c>
      <c r="E7" s="117">
        <v>228298</v>
      </c>
      <c r="F7" s="117">
        <v>261121</v>
      </c>
      <c r="G7" s="117">
        <v>281900</v>
      </c>
      <c r="H7" s="117"/>
      <c r="I7" s="117"/>
    </row>
  </sheetData>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6C800-9195-4CDB-AAE0-BB3E025E9663}">
  <dimension ref="A1:I13"/>
  <sheetViews>
    <sheetView workbookViewId="0">
      <selection activeCell="I4" sqref="I4"/>
    </sheetView>
  </sheetViews>
  <sheetFormatPr baseColWidth="10" defaultColWidth="11.44140625" defaultRowHeight="14.4" x14ac:dyDescent="0.3"/>
  <cols>
    <col min="1" max="1" width="27.44140625" customWidth="1"/>
    <col min="2" max="2" width="10.44140625" customWidth="1"/>
    <col min="3" max="7" width="8.88671875" bestFit="1" customWidth="1"/>
    <col min="8" max="9" width="10.33203125" customWidth="1"/>
  </cols>
  <sheetData>
    <row r="1" spans="1:9" x14ac:dyDescent="0.3">
      <c r="A1" t="s">
        <v>355</v>
      </c>
      <c r="B1">
        <v>63</v>
      </c>
    </row>
    <row r="2" spans="1:9" x14ac:dyDescent="0.3">
      <c r="A2" t="s">
        <v>5</v>
      </c>
      <c r="B2" t="s">
        <v>105</v>
      </c>
    </row>
    <row r="3" spans="1:9" ht="15" thickBot="1" x14ac:dyDescent="0.35"/>
    <row r="4" spans="1:9" ht="15" customHeight="1" thickBot="1" x14ac:dyDescent="0.35">
      <c r="A4" s="121" t="s">
        <v>914</v>
      </c>
      <c r="B4" s="58">
        <v>2019</v>
      </c>
      <c r="C4" s="58">
        <v>2020</v>
      </c>
      <c r="D4" s="58">
        <v>2021</v>
      </c>
      <c r="E4" s="58">
        <v>2022</v>
      </c>
      <c r="F4" s="58">
        <v>2023</v>
      </c>
      <c r="G4" s="58">
        <v>2024</v>
      </c>
      <c r="H4" s="58">
        <v>2025</v>
      </c>
      <c r="I4" s="58">
        <v>2026</v>
      </c>
    </row>
    <row r="5" spans="1:9" ht="15" thickBot="1" x14ac:dyDescent="0.35">
      <c r="A5" s="61" t="s">
        <v>922</v>
      </c>
      <c r="B5" s="117">
        <v>230717</v>
      </c>
      <c r="C5" s="117">
        <v>216784</v>
      </c>
      <c r="D5" s="117">
        <v>216627</v>
      </c>
      <c r="E5" s="117">
        <v>226082</v>
      </c>
      <c r="F5" s="117">
        <v>256713</v>
      </c>
      <c r="G5" s="117">
        <v>277389</v>
      </c>
      <c r="H5" s="117"/>
      <c r="I5" s="117"/>
    </row>
    <row r="6" spans="1:9" ht="15" thickBot="1" x14ac:dyDescent="0.35">
      <c r="A6" s="61" t="s">
        <v>923</v>
      </c>
      <c r="B6" s="117">
        <v>228527</v>
      </c>
      <c r="C6" s="117">
        <v>209572</v>
      </c>
      <c r="D6" s="117">
        <v>211231</v>
      </c>
      <c r="E6" s="117">
        <v>216653</v>
      </c>
      <c r="F6" s="117">
        <v>243320</v>
      </c>
      <c r="G6" s="117">
        <v>262330</v>
      </c>
      <c r="H6" s="117"/>
      <c r="I6" s="117"/>
    </row>
    <row r="7" spans="1:9" ht="15" thickBot="1" x14ac:dyDescent="0.35">
      <c r="A7" s="60" t="s">
        <v>924</v>
      </c>
      <c r="B7" s="122">
        <v>2191</v>
      </c>
      <c r="C7" s="122">
        <v>7213</v>
      </c>
      <c r="D7" s="122">
        <v>5396</v>
      </c>
      <c r="E7" s="122">
        <v>9429</v>
      </c>
      <c r="F7" s="122">
        <v>13393</v>
      </c>
      <c r="G7" s="122">
        <v>15060</v>
      </c>
      <c r="H7" s="122"/>
      <c r="I7" s="122"/>
    </row>
    <row r="8" spans="1:9" ht="15" thickBot="1" x14ac:dyDescent="0.35">
      <c r="A8" s="60" t="s">
        <v>925</v>
      </c>
      <c r="B8" s="123">
        <v>0.01</v>
      </c>
      <c r="C8" s="123">
        <v>3.3000000000000002E-2</v>
      </c>
      <c r="D8" s="123">
        <v>2.5000000000000001E-2</v>
      </c>
      <c r="E8" s="123">
        <v>4.2000000000000003E-2</v>
      </c>
      <c r="F8" s="123">
        <v>5.1999999999999998E-2</v>
      </c>
      <c r="G8" s="123">
        <v>5.3999999999999999E-2</v>
      </c>
      <c r="H8" s="123"/>
      <c r="I8" s="123"/>
    </row>
    <row r="9" spans="1:9" ht="15" thickBot="1" x14ac:dyDescent="0.35">
      <c r="A9" s="61" t="s">
        <v>926</v>
      </c>
      <c r="B9" s="117">
        <v>4828</v>
      </c>
      <c r="C9" s="117">
        <v>3965</v>
      </c>
      <c r="D9" s="117">
        <v>2029</v>
      </c>
      <c r="E9" s="117">
        <v>2216</v>
      </c>
      <c r="F9" s="117">
        <v>4407</v>
      </c>
      <c r="G9" s="117">
        <v>4510</v>
      </c>
      <c r="H9" s="117"/>
      <c r="I9" s="117"/>
    </row>
    <row r="10" spans="1:9" ht="15" thickBot="1" x14ac:dyDescent="0.35">
      <c r="A10" s="61" t="s">
        <v>927</v>
      </c>
      <c r="B10" s="117">
        <v>2019</v>
      </c>
      <c r="C10" s="117">
        <v>2470</v>
      </c>
      <c r="D10" s="117">
        <v>3688</v>
      </c>
      <c r="E10" s="117">
        <v>6490</v>
      </c>
      <c r="F10" s="117">
        <v>7396</v>
      </c>
      <c r="G10" s="117">
        <v>12467</v>
      </c>
      <c r="H10" s="117"/>
      <c r="I10" s="117"/>
    </row>
    <row r="11" spans="1:9" ht="15" thickBot="1" x14ac:dyDescent="0.35">
      <c r="A11" s="61" t="s">
        <v>928</v>
      </c>
      <c r="B11" s="117">
        <v>5000</v>
      </c>
      <c r="C11" s="117">
        <v>8708</v>
      </c>
      <c r="D11" s="117">
        <v>3737</v>
      </c>
      <c r="E11" s="117">
        <v>5155</v>
      </c>
      <c r="F11" s="117">
        <v>10404</v>
      </c>
      <c r="G11" s="117">
        <v>7103</v>
      </c>
      <c r="H11" s="117"/>
      <c r="I11" s="117"/>
    </row>
    <row r="12" spans="1:9" ht="15" thickBot="1" x14ac:dyDescent="0.35">
      <c r="A12" s="60" t="s">
        <v>929</v>
      </c>
      <c r="B12" s="122">
        <v>4941</v>
      </c>
      <c r="C12" s="122">
        <v>3748</v>
      </c>
      <c r="D12" s="122">
        <v>954</v>
      </c>
      <c r="E12" s="122">
        <v>2437</v>
      </c>
      <c r="F12" s="122">
        <v>8166</v>
      </c>
      <c r="G12" s="122">
        <v>4788</v>
      </c>
      <c r="H12" s="122"/>
      <c r="I12" s="122"/>
    </row>
    <row r="13" spans="1:9" ht="15" thickBot="1" x14ac:dyDescent="0.35">
      <c r="A13" s="60" t="s">
        <v>930</v>
      </c>
      <c r="B13" s="123">
        <v>2.1000000000000001E-2</v>
      </c>
      <c r="C13" s="123">
        <v>1.7000000000000001E-2</v>
      </c>
      <c r="D13" s="124">
        <v>4.0000000000000001E-3</v>
      </c>
      <c r="E13" s="123">
        <v>1.0999999999999999E-2</v>
      </c>
      <c r="F13" s="123">
        <v>3.2000000000000001E-2</v>
      </c>
      <c r="G13" s="123">
        <v>1.7000000000000001E-2</v>
      </c>
      <c r="H13" s="123"/>
      <c r="I13" s="123"/>
    </row>
  </sheetData>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7EB6E-7DAB-460C-AF13-4CF172790BDF}">
  <dimension ref="A1:I8"/>
  <sheetViews>
    <sheetView workbookViewId="0">
      <selection activeCell="I5" sqref="I5"/>
    </sheetView>
  </sheetViews>
  <sheetFormatPr baseColWidth="10" defaultColWidth="11.44140625" defaultRowHeight="14.4" x14ac:dyDescent="0.3"/>
  <cols>
    <col min="1" max="1" width="27.44140625" customWidth="1"/>
    <col min="2" max="2" width="10.44140625" customWidth="1"/>
    <col min="3" max="5" width="8.44140625" bestFit="1" customWidth="1"/>
    <col min="6" max="6" width="8.44140625" customWidth="1"/>
    <col min="7" max="7" width="8.88671875" bestFit="1" customWidth="1"/>
    <col min="8" max="9" width="8.88671875" customWidth="1"/>
  </cols>
  <sheetData>
    <row r="1" spans="1:9" x14ac:dyDescent="0.3">
      <c r="A1" t="s">
        <v>355</v>
      </c>
      <c r="B1">
        <v>64</v>
      </c>
    </row>
    <row r="2" spans="1:9" x14ac:dyDescent="0.3">
      <c r="A2" t="s">
        <v>5</v>
      </c>
      <c r="B2" t="s">
        <v>106</v>
      </c>
    </row>
    <row r="3" spans="1:9" ht="15" thickBot="1" x14ac:dyDescent="0.35"/>
    <row r="4" spans="1:9" ht="15" customHeight="1" thickBot="1" x14ac:dyDescent="0.35">
      <c r="A4" s="121" t="s">
        <v>914</v>
      </c>
      <c r="B4" s="58">
        <v>2019</v>
      </c>
      <c r="C4" s="58">
        <v>2020</v>
      </c>
      <c r="D4" s="58">
        <v>2021</v>
      </c>
      <c r="E4" s="58">
        <v>2022</v>
      </c>
      <c r="F4" s="58">
        <v>2023</v>
      </c>
      <c r="G4" s="58">
        <v>2024</v>
      </c>
      <c r="H4" s="58">
        <v>2025</v>
      </c>
      <c r="I4" s="58">
        <v>2026</v>
      </c>
    </row>
    <row r="5" spans="1:9" ht="15" thickBot="1" x14ac:dyDescent="0.35">
      <c r="A5" s="61" t="s">
        <v>931</v>
      </c>
      <c r="B5" s="117">
        <v>11</v>
      </c>
      <c r="C5" s="117">
        <v>11</v>
      </c>
      <c r="D5" s="117">
        <v>11</v>
      </c>
      <c r="E5" s="117">
        <v>11</v>
      </c>
      <c r="F5" s="117">
        <v>11</v>
      </c>
      <c r="G5" s="117">
        <v>11</v>
      </c>
      <c r="H5" s="117"/>
      <c r="I5" s="117"/>
    </row>
    <row r="6" spans="1:9" ht="15" thickBot="1" x14ac:dyDescent="0.35">
      <c r="A6" s="61" t="s">
        <v>932</v>
      </c>
      <c r="B6" s="117">
        <v>210581</v>
      </c>
      <c r="C6" s="117">
        <v>210581</v>
      </c>
      <c r="D6" s="117">
        <v>210581</v>
      </c>
      <c r="E6" s="117">
        <v>210581</v>
      </c>
      <c r="F6" s="117">
        <v>126385</v>
      </c>
      <c r="G6" s="117">
        <v>126385</v>
      </c>
      <c r="H6" s="117"/>
      <c r="I6" s="117"/>
    </row>
    <row r="7" spans="1:9" ht="15" thickBot="1" x14ac:dyDescent="0.35">
      <c r="A7" s="61" t="s">
        <v>933</v>
      </c>
      <c r="B7" s="117">
        <v>42948</v>
      </c>
      <c r="C7" s="117">
        <v>46883</v>
      </c>
      <c r="D7" s="117">
        <v>47888</v>
      </c>
      <c r="E7" s="117">
        <v>50493</v>
      </c>
      <c r="F7" s="117">
        <v>59201</v>
      </c>
      <c r="G7" s="117">
        <v>64342</v>
      </c>
      <c r="H7" s="117"/>
      <c r="I7" s="117"/>
    </row>
    <row r="8" spans="1:9" ht="15" thickBot="1" x14ac:dyDescent="0.35">
      <c r="A8" s="60" t="s">
        <v>934</v>
      </c>
      <c r="B8" s="122">
        <f t="shared" ref="B8:G8" si="0">+B5+B6+B7</f>
        <v>253540</v>
      </c>
      <c r="C8" s="122">
        <f t="shared" si="0"/>
        <v>257475</v>
      </c>
      <c r="D8" s="122">
        <f t="shared" si="0"/>
        <v>258480</v>
      </c>
      <c r="E8" s="122">
        <f t="shared" si="0"/>
        <v>261085</v>
      </c>
      <c r="F8" s="122">
        <f t="shared" si="0"/>
        <v>185597</v>
      </c>
      <c r="G8" s="122">
        <f t="shared" si="0"/>
        <v>190738</v>
      </c>
      <c r="H8" s="122"/>
      <c r="I8" s="122"/>
    </row>
  </sheetData>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952E8-EAD4-4767-99F1-52B97501E055}">
  <dimension ref="A1:I10"/>
  <sheetViews>
    <sheetView workbookViewId="0">
      <selection activeCell="I5" sqref="I5"/>
    </sheetView>
  </sheetViews>
  <sheetFormatPr baseColWidth="10" defaultColWidth="11.44140625" defaultRowHeight="14.4" x14ac:dyDescent="0.3"/>
  <cols>
    <col min="1" max="1" width="27.44140625" customWidth="1"/>
    <col min="2" max="2" width="10.44140625" customWidth="1"/>
    <col min="3" max="7" width="8.88671875" bestFit="1" customWidth="1"/>
    <col min="8" max="9" width="8.88671875" customWidth="1"/>
  </cols>
  <sheetData>
    <row r="1" spans="1:9" x14ac:dyDescent="0.3">
      <c r="A1" t="s">
        <v>355</v>
      </c>
      <c r="B1">
        <v>65</v>
      </c>
    </row>
    <row r="2" spans="1:9" x14ac:dyDescent="0.3">
      <c r="A2" t="s">
        <v>5</v>
      </c>
      <c r="B2" t="s">
        <v>107</v>
      </c>
    </row>
    <row r="3" spans="1:9" ht="15" thickBot="1" x14ac:dyDescent="0.35"/>
    <row r="4" spans="1:9" ht="15" customHeight="1" thickBot="1" x14ac:dyDescent="0.35">
      <c r="A4" s="121" t="s">
        <v>914</v>
      </c>
      <c r="B4" s="58">
        <v>2019</v>
      </c>
      <c r="C4" s="58">
        <v>2020</v>
      </c>
      <c r="D4" s="58">
        <v>2021</v>
      </c>
      <c r="E4" s="58">
        <v>2022</v>
      </c>
      <c r="F4" s="58">
        <v>2023</v>
      </c>
      <c r="G4" s="58">
        <v>2024</v>
      </c>
      <c r="H4" s="58">
        <v>2025</v>
      </c>
      <c r="I4" s="58">
        <v>2026</v>
      </c>
    </row>
    <row r="5" spans="1:9" ht="15" thickBot="1" x14ac:dyDescent="0.35">
      <c r="A5" s="88"/>
      <c r="B5" s="88"/>
      <c r="C5" s="88"/>
      <c r="D5" s="88"/>
      <c r="E5" s="88"/>
      <c r="F5" s="88"/>
      <c r="G5" s="117"/>
      <c r="H5" s="117"/>
      <c r="I5" s="117"/>
    </row>
    <row r="6" spans="1:9" ht="15" thickBot="1" x14ac:dyDescent="0.35">
      <c r="A6" s="61" t="s">
        <v>935</v>
      </c>
      <c r="B6" s="117">
        <v>85458</v>
      </c>
      <c r="C6" s="117">
        <v>67889</v>
      </c>
      <c r="D6" s="117">
        <v>77380</v>
      </c>
      <c r="E6" s="117">
        <v>55487</v>
      </c>
      <c r="F6" s="117">
        <v>141017</v>
      </c>
      <c r="G6" s="117">
        <v>176963</v>
      </c>
      <c r="H6" s="117"/>
      <c r="I6" s="117"/>
    </row>
    <row r="7" spans="1:9" ht="15" thickBot="1" x14ac:dyDescent="0.35">
      <c r="A7" s="61" t="s">
        <v>936</v>
      </c>
      <c r="B7" s="117">
        <v>9902</v>
      </c>
      <c r="C7" s="117">
        <v>20875</v>
      </c>
      <c r="D7" s="117">
        <v>41513</v>
      </c>
      <c r="E7" s="117">
        <v>85828</v>
      </c>
      <c r="F7" s="117">
        <v>13808</v>
      </c>
      <c r="G7" s="117">
        <v>26014</v>
      </c>
      <c r="H7" s="117"/>
      <c r="I7" s="117"/>
    </row>
    <row r="8" spans="1:9" ht="15" thickBot="1" x14ac:dyDescent="0.35">
      <c r="A8" s="61" t="s">
        <v>937</v>
      </c>
      <c r="B8" s="117">
        <v>324097</v>
      </c>
      <c r="C8" s="117">
        <v>323929</v>
      </c>
      <c r="D8" s="117">
        <v>322372</v>
      </c>
      <c r="E8" s="117">
        <v>311484</v>
      </c>
      <c r="F8" s="117">
        <v>218782</v>
      </c>
      <c r="G8" s="122">
        <v>221587</v>
      </c>
      <c r="H8" s="122"/>
      <c r="I8" s="122"/>
    </row>
    <row r="9" spans="1:9" ht="15" thickBot="1" x14ac:dyDescent="0.35">
      <c r="A9" s="61" t="s">
        <v>890</v>
      </c>
      <c r="B9" s="117">
        <v>2107</v>
      </c>
      <c r="C9" s="117">
        <v>14842</v>
      </c>
      <c r="D9" s="117">
        <v>20657</v>
      </c>
      <c r="E9" s="117">
        <v>25833</v>
      </c>
      <c r="F9" s="117">
        <v>108741</v>
      </c>
      <c r="G9" s="122">
        <v>129044</v>
      </c>
      <c r="H9" s="122"/>
      <c r="I9" s="122"/>
    </row>
    <row r="10" spans="1:9" ht="15" thickBot="1" x14ac:dyDescent="0.35">
      <c r="A10" s="60" t="s">
        <v>938</v>
      </c>
      <c r="B10" s="122">
        <v>421563</v>
      </c>
      <c r="C10" s="122">
        <v>427534</v>
      </c>
      <c r="D10" s="122">
        <v>461923</v>
      </c>
      <c r="E10" s="122">
        <v>478632</v>
      </c>
      <c r="F10" s="122">
        <f>+F6+F7+F8+F9</f>
        <v>482348</v>
      </c>
      <c r="G10" s="122">
        <v>553607</v>
      </c>
      <c r="H10" s="122"/>
      <c r="I10" s="122"/>
    </row>
  </sheetData>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6D58A-2049-4CD3-9CBA-8364CEEABC13}">
  <dimension ref="A1:I13"/>
  <sheetViews>
    <sheetView workbookViewId="0">
      <selection activeCell="I4" sqref="I4"/>
    </sheetView>
  </sheetViews>
  <sheetFormatPr baseColWidth="10" defaultColWidth="11.44140625" defaultRowHeight="14.4" x14ac:dyDescent="0.3"/>
  <cols>
    <col min="1" max="1" width="27.44140625" customWidth="1"/>
    <col min="2" max="2" width="10.44140625" customWidth="1"/>
    <col min="3" max="7" width="8.88671875" bestFit="1" customWidth="1"/>
    <col min="8" max="9" width="8.88671875" customWidth="1"/>
  </cols>
  <sheetData>
    <row r="1" spans="1:9" x14ac:dyDescent="0.3">
      <c r="A1" t="s">
        <v>355</v>
      </c>
      <c r="B1">
        <v>66</v>
      </c>
    </row>
    <row r="2" spans="1:9" x14ac:dyDescent="0.3">
      <c r="A2" t="s">
        <v>5</v>
      </c>
      <c r="B2" t="s">
        <v>108</v>
      </c>
    </row>
    <row r="3" spans="1:9" ht="15" thickBot="1" x14ac:dyDescent="0.35"/>
    <row r="4" spans="1:9" ht="15" customHeight="1" thickBot="1" x14ac:dyDescent="0.35">
      <c r="A4" s="125" t="s">
        <v>914</v>
      </c>
      <c r="B4" s="58">
        <v>2019</v>
      </c>
      <c r="C4" s="58">
        <v>2020</v>
      </c>
      <c r="D4" s="58">
        <v>2021</v>
      </c>
      <c r="E4" s="58">
        <v>2022</v>
      </c>
      <c r="F4" s="58">
        <v>2023</v>
      </c>
      <c r="G4" s="58">
        <v>2024</v>
      </c>
      <c r="H4" s="58">
        <v>2025</v>
      </c>
      <c r="I4" s="58">
        <v>2026</v>
      </c>
    </row>
    <row r="5" spans="1:9" ht="15" thickBot="1" x14ac:dyDescent="0.35">
      <c r="A5" s="61" t="s">
        <v>939</v>
      </c>
      <c r="B5" s="117">
        <v>96106</v>
      </c>
      <c r="C5" s="117">
        <v>89510</v>
      </c>
      <c r="D5" s="117">
        <v>124322</v>
      </c>
      <c r="E5" s="117">
        <v>141872</v>
      </c>
      <c r="F5" s="117">
        <v>154825</v>
      </c>
      <c r="G5" s="117">
        <v>202976</v>
      </c>
      <c r="H5" s="117"/>
      <c r="I5" s="117"/>
    </row>
    <row r="6" spans="1:9" ht="15" thickBot="1" x14ac:dyDescent="0.35">
      <c r="A6" s="61" t="s">
        <v>940</v>
      </c>
      <c r="B6" s="117">
        <v>325457</v>
      </c>
      <c r="C6" s="117">
        <v>338024</v>
      </c>
      <c r="D6" s="117">
        <v>337600</v>
      </c>
      <c r="E6" s="117">
        <v>336760</v>
      </c>
      <c r="F6" s="117">
        <v>327523</v>
      </c>
      <c r="G6" s="117">
        <v>350630</v>
      </c>
      <c r="H6" s="117"/>
      <c r="I6" s="117"/>
    </row>
    <row r="7" spans="1:9" ht="15" thickBot="1" x14ac:dyDescent="0.35">
      <c r="A7" s="60" t="s">
        <v>941</v>
      </c>
      <c r="B7" s="122">
        <v>421563</v>
      </c>
      <c r="C7" s="122">
        <v>427534</v>
      </c>
      <c r="D7" s="122">
        <v>461923</v>
      </c>
      <c r="E7" s="122">
        <v>478632</v>
      </c>
      <c r="F7" s="122">
        <f>+F5+F6</f>
        <v>482348</v>
      </c>
      <c r="G7" s="122">
        <f>+G5+G6</f>
        <v>553606</v>
      </c>
      <c r="H7" s="122"/>
      <c r="I7" s="122"/>
    </row>
    <row r="8" spans="1:9" ht="15" thickBot="1" x14ac:dyDescent="0.35">
      <c r="A8" s="88"/>
      <c r="B8" s="88"/>
      <c r="C8" s="88"/>
      <c r="D8" s="88"/>
      <c r="E8" s="88"/>
      <c r="F8" s="88"/>
      <c r="G8" s="122"/>
      <c r="H8" s="122"/>
      <c r="I8" s="122"/>
    </row>
    <row r="9" spans="1:9" ht="15" thickBot="1" x14ac:dyDescent="0.35">
      <c r="A9" s="61" t="s">
        <v>942</v>
      </c>
      <c r="B9" s="117">
        <v>76937</v>
      </c>
      <c r="C9" s="117">
        <v>59087</v>
      </c>
      <c r="D9" s="117">
        <v>96218</v>
      </c>
      <c r="E9" s="117">
        <v>85422</v>
      </c>
      <c r="F9" s="117">
        <v>96017</v>
      </c>
      <c r="G9" s="122">
        <v>120212</v>
      </c>
      <c r="H9" s="122"/>
      <c r="I9" s="122"/>
    </row>
    <row r="10" spans="1:9" ht="15" thickBot="1" x14ac:dyDescent="0.35">
      <c r="A10" s="61" t="s">
        <v>943</v>
      </c>
      <c r="B10" s="117">
        <v>91086</v>
      </c>
      <c r="C10" s="117">
        <v>110971</v>
      </c>
      <c r="D10" s="117">
        <v>107224</v>
      </c>
      <c r="E10" s="117">
        <v>132126</v>
      </c>
      <c r="F10" s="117">
        <v>200734</v>
      </c>
      <c r="G10" s="122">
        <v>242657</v>
      </c>
      <c r="H10" s="122"/>
      <c r="I10" s="122"/>
    </row>
    <row r="11" spans="1:9" ht="15" thickBot="1" x14ac:dyDescent="0.35">
      <c r="A11" s="60" t="s">
        <v>944</v>
      </c>
      <c r="B11" s="122">
        <v>168023</v>
      </c>
      <c r="C11" s="122">
        <v>170059</v>
      </c>
      <c r="D11" s="122">
        <v>203443</v>
      </c>
      <c r="E11" s="122">
        <v>217547</v>
      </c>
      <c r="F11" s="122">
        <f>+F9+F10</f>
        <v>296751</v>
      </c>
      <c r="G11" s="122">
        <f>+G9+G10</f>
        <v>362869</v>
      </c>
      <c r="H11" s="122"/>
      <c r="I11" s="122"/>
    </row>
    <row r="12" spans="1:9" ht="15" thickBot="1" x14ac:dyDescent="0.35">
      <c r="A12" s="88"/>
      <c r="B12" s="88"/>
      <c r="C12" s="88"/>
      <c r="D12" s="88"/>
      <c r="E12" s="88"/>
      <c r="F12" s="88"/>
      <c r="G12" s="122"/>
      <c r="H12" s="122"/>
      <c r="I12" s="122"/>
    </row>
    <row r="13" spans="1:9" ht="15" thickBot="1" x14ac:dyDescent="0.35">
      <c r="A13" s="60" t="s">
        <v>945</v>
      </c>
      <c r="B13" s="122">
        <v>253540</v>
      </c>
      <c r="C13" s="122">
        <v>257475</v>
      </c>
      <c r="D13" s="122">
        <v>258480</v>
      </c>
      <c r="E13" s="122">
        <v>261085</v>
      </c>
      <c r="F13" s="122">
        <v>185597</v>
      </c>
      <c r="G13" s="122">
        <v>190738</v>
      </c>
      <c r="H13" s="122"/>
      <c r="I13" s="122"/>
    </row>
  </sheetData>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16CC0-44C8-4FD8-924B-FBBEC63B5428}">
  <dimension ref="A1:D12"/>
  <sheetViews>
    <sheetView workbookViewId="0">
      <selection activeCell="C17" sqref="C17"/>
    </sheetView>
  </sheetViews>
  <sheetFormatPr baseColWidth="10" defaultColWidth="11.44140625" defaultRowHeight="14.4" x14ac:dyDescent="0.3"/>
  <cols>
    <col min="1" max="1" width="10.44140625" customWidth="1"/>
    <col min="2" max="2" width="18.44140625" customWidth="1"/>
    <col min="3" max="3" width="12.44140625" customWidth="1"/>
    <col min="4" max="4" width="11.44140625" customWidth="1"/>
    <col min="5" max="5" width="5.44140625" bestFit="1" customWidth="1"/>
    <col min="6" max="6" width="6.44140625" bestFit="1" customWidth="1"/>
    <col min="7" max="7" width="5.44140625" bestFit="1" customWidth="1"/>
    <col min="8" max="8" width="7" bestFit="1" customWidth="1"/>
    <col min="9" max="9" width="5.44140625" bestFit="1" customWidth="1"/>
    <col min="10" max="10" width="6.44140625" bestFit="1" customWidth="1"/>
    <col min="11" max="13" width="5.44140625" bestFit="1" customWidth="1"/>
  </cols>
  <sheetData>
    <row r="1" spans="1:4" x14ac:dyDescent="0.3">
      <c r="A1" t="s">
        <v>355</v>
      </c>
      <c r="B1">
        <v>6</v>
      </c>
    </row>
    <row r="2" spans="1:4" x14ac:dyDescent="0.3">
      <c r="A2" t="s">
        <v>5</v>
      </c>
      <c r="B2" t="s">
        <v>110</v>
      </c>
    </row>
    <row r="4" spans="1:4" ht="33.6" x14ac:dyDescent="0.3">
      <c r="B4" s="66"/>
      <c r="C4" s="66" t="s">
        <v>946</v>
      </c>
      <c r="D4" s="66" t="s">
        <v>947</v>
      </c>
    </row>
    <row r="5" spans="1:4" ht="16.8" x14ac:dyDescent="0.3">
      <c r="B5" s="65">
        <v>2019</v>
      </c>
      <c r="C5" s="126">
        <v>19169</v>
      </c>
      <c r="D5" s="65">
        <v>1.25</v>
      </c>
    </row>
    <row r="6" spans="1:4" ht="16.8" x14ac:dyDescent="0.3">
      <c r="B6" s="65">
        <v>2020</v>
      </c>
      <c r="C6" s="126">
        <v>30423</v>
      </c>
      <c r="D6" s="65">
        <v>1.51</v>
      </c>
    </row>
    <row r="7" spans="1:4" ht="16.8" x14ac:dyDescent="0.3">
      <c r="B7" s="65">
        <v>2021</v>
      </c>
      <c r="C7" s="126">
        <v>28104</v>
      </c>
      <c r="D7" s="65">
        <v>1.29</v>
      </c>
    </row>
    <row r="8" spans="1:4" ht="16.8" x14ac:dyDescent="0.3">
      <c r="B8" s="65">
        <v>2022</v>
      </c>
      <c r="C8" s="126">
        <v>56450</v>
      </c>
      <c r="D8" s="65">
        <v>1.66</v>
      </c>
    </row>
    <row r="9" spans="1:4" ht="16.8" x14ac:dyDescent="0.3">
      <c r="B9" s="65">
        <v>2023</v>
      </c>
      <c r="C9" s="126">
        <v>58808</v>
      </c>
      <c r="D9" s="65">
        <v>1.61</v>
      </c>
    </row>
    <row r="10" spans="1:4" ht="16.8" x14ac:dyDescent="0.3">
      <c r="B10" s="65">
        <v>2024</v>
      </c>
      <c r="C10" s="65">
        <v>82764</v>
      </c>
      <c r="D10" s="65">
        <v>1.69</v>
      </c>
    </row>
    <row r="11" spans="1:4" ht="16.8" x14ac:dyDescent="0.3">
      <c r="B11" s="65">
        <v>2025</v>
      </c>
      <c r="C11" s="65"/>
      <c r="D11" s="65"/>
    </row>
    <row r="12" spans="1:4" ht="16.8" x14ac:dyDescent="0.3">
      <c r="B12" s="65">
        <v>2026</v>
      </c>
      <c r="C12" s="65"/>
      <c r="D12" s="65"/>
    </row>
  </sheetData>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6542C-E282-405B-B5C2-9667AB93DB59}">
  <dimension ref="A1:I12"/>
  <sheetViews>
    <sheetView workbookViewId="0">
      <selection activeCell="I5" sqref="I5"/>
    </sheetView>
  </sheetViews>
  <sheetFormatPr baseColWidth="10" defaultColWidth="11.44140625" defaultRowHeight="14.4" x14ac:dyDescent="0.3"/>
  <cols>
    <col min="1" max="1" width="27.44140625" customWidth="1"/>
    <col min="2" max="2" width="10.44140625" customWidth="1"/>
    <col min="3" max="6" width="8.44140625" bestFit="1" customWidth="1"/>
    <col min="7" max="9" width="8.44140625" customWidth="1"/>
  </cols>
  <sheetData>
    <row r="1" spans="1:9" x14ac:dyDescent="0.3">
      <c r="A1" t="s">
        <v>355</v>
      </c>
      <c r="B1">
        <v>67</v>
      </c>
    </row>
    <row r="2" spans="1:9" x14ac:dyDescent="0.3">
      <c r="A2" t="s">
        <v>5</v>
      </c>
      <c r="B2" t="s">
        <v>948</v>
      </c>
    </row>
    <row r="3" spans="1:9" ht="15" thickBot="1" x14ac:dyDescent="0.35"/>
    <row r="4" spans="1:9" ht="15" customHeight="1" thickBot="1" x14ac:dyDescent="0.35">
      <c r="A4" s="125"/>
      <c r="B4" s="58">
        <v>2019</v>
      </c>
      <c r="C4" s="58">
        <v>2020</v>
      </c>
      <c r="D4" s="58">
        <v>2021</v>
      </c>
      <c r="E4" s="58">
        <v>2022</v>
      </c>
      <c r="F4" s="58">
        <v>2023</v>
      </c>
      <c r="G4" s="58">
        <v>2024</v>
      </c>
      <c r="H4" s="58">
        <v>2025</v>
      </c>
      <c r="I4" s="58">
        <v>2026</v>
      </c>
    </row>
    <row r="5" spans="1:9" ht="15" thickBot="1" x14ac:dyDescent="0.35">
      <c r="A5" s="61" t="s">
        <v>949</v>
      </c>
      <c r="B5" s="99">
        <v>35462</v>
      </c>
      <c r="C5" s="99">
        <v>13118</v>
      </c>
      <c r="D5" s="61">
        <v>545</v>
      </c>
      <c r="E5" s="61">
        <v>963</v>
      </c>
      <c r="F5" s="99">
        <v>1692</v>
      </c>
      <c r="G5" s="379">
        <v>1898</v>
      </c>
      <c r="H5" s="379"/>
      <c r="I5" s="379"/>
    </row>
    <row r="6" spans="1:9" ht="15" thickBot="1" x14ac:dyDescent="0.35">
      <c r="A6" s="61" t="s">
        <v>950</v>
      </c>
      <c r="B6" s="99">
        <v>8018</v>
      </c>
      <c r="C6" s="99">
        <v>5012</v>
      </c>
      <c r="D6" s="99">
        <v>3161</v>
      </c>
      <c r="E6" s="99">
        <v>1925</v>
      </c>
      <c r="F6" s="99">
        <v>2304</v>
      </c>
      <c r="G6" s="379">
        <v>3013</v>
      </c>
      <c r="H6" s="379"/>
      <c r="I6" s="379"/>
    </row>
    <row r="7" spans="1:9" ht="15" thickBot="1" x14ac:dyDescent="0.35">
      <c r="A7" s="61" t="s">
        <v>951</v>
      </c>
      <c r="B7" s="99">
        <v>2300</v>
      </c>
      <c r="C7" s="99">
        <v>2295</v>
      </c>
      <c r="D7" s="99">
        <v>2456</v>
      </c>
      <c r="E7" s="99">
        <v>2477</v>
      </c>
      <c r="F7" s="99">
        <v>2451</v>
      </c>
      <c r="G7" s="379">
        <v>2741</v>
      </c>
      <c r="H7" s="379"/>
      <c r="I7" s="379"/>
    </row>
    <row r="8" spans="1:9" ht="15" thickBot="1" x14ac:dyDescent="0.35">
      <c r="A8" s="61" t="s">
        <v>952</v>
      </c>
      <c r="B8" s="61">
        <v>588</v>
      </c>
      <c r="C8" s="61">
        <v>148</v>
      </c>
      <c r="D8" s="61">
        <v>6</v>
      </c>
      <c r="E8" s="61">
        <v>470</v>
      </c>
      <c r="F8" s="61">
        <v>239</v>
      </c>
      <c r="G8" s="380">
        <v>348</v>
      </c>
      <c r="H8" s="380"/>
      <c r="I8" s="380"/>
    </row>
    <row r="9" spans="1:9" ht="15" thickBot="1" x14ac:dyDescent="0.35">
      <c r="A9" s="61" t="s">
        <v>953</v>
      </c>
      <c r="B9" s="88"/>
      <c r="C9" s="88"/>
      <c r="D9" s="99">
        <v>5485</v>
      </c>
      <c r="E9" s="99">
        <v>4965</v>
      </c>
      <c r="F9" s="99">
        <v>4612</v>
      </c>
      <c r="G9" s="380">
        <v>5944</v>
      </c>
      <c r="H9" s="380"/>
      <c r="I9" s="380"/>
    </row>
    <row r="10" spans="1:9" ht="15" thickBot="1" x14ac:dyDescent="0.35">
      <c r="A10" s="61" t="s">
        <v>890</v>
      </c>
      <c r="B10" s="88"/>
      <c r="C10" s="88"/>
      <c r="D10" s="99"/>
      <c r="E10" s="99"/>
      <c r="F10" s="99"/>
      <c r="G10" s="380">
        <f>76+767</f>
        <v>843</v>
      </c>
      <c r="H10" s="380"/>
      <c r="I10" s="380"/>
    </row>
    <row r="11" spans="1:9" ht="15" thickBot="1" x14ac:dyDescent="0.35">
      <c r="A11" s="102" t="s">
        <v>954</v>
      </c>
      <c r="B11" s="101">
        <v>46367</v>
      </c>
      <c r="C11" s="101">
        <v>20574</v>
      </c>
      <c r="D11" s="101">
        <v>11653</v>
      </c>
      <c r="E11" s="101">
        <v>10799</v>
      </c>
      <c r="F11" s="101">
        <f>+F5+F6+F7+F8+F9+F10</f>
        <v>11298</v>
      </c>
      <c r="G11" s="380">
        <f>+G5+G6+G7+G8+G9+G10</f>
        <v>14787</v>
      </c>
      <c r="H11" s="380"/>
      <c r="I11" s="380"/>
    </row>
    <row r="12" spans="1:9" x14ac:dyDescent="0.3">
      <c r="A12" s="115" t="s">
        <v>955</v>
      </c>
      <c r="B12" s="381">
        <v>0.2</v>
      </c>
      <c r="C12" s="381">
        <v>0.09</v>
      </c>
      <c r="D12" s="381">
        <v>0.05</v>
      </c>
      <c r="E12" s="381">
        <v>0.05</v>
      </c>
      <c r="F12" s="381">
        <v>0.04</v>
      </c>
      <c r="G12" s="325">
        <f>+G11/277389</f>
        <v>5.3307809610330617E-2</v>
      </c>
      <c r="H12" s="325"/>
      <c r="I12" s="325"/>
    </row>
  </sheetData>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034B2-4967-4495-8B32-1004A7154287}">
  <dimension ref="A1:I12"/>
  <sheetViews>
    <sheetView workbookViewId="0">
      <selection activeCell="I5" sqref="I5"/>
    </sheetView>
  </sheetViews>
  <sheetFormatPr baseColWidth="10" defaultColWidth="11.44140625" defaultRowHeight="14.4" x14ac:dyDescent="0.3"/>
  <cols>
    <col min="1" max="1" width="27.44140625" customWidth="1"/>
    <col min="2" max="2" width="10.44140625" customWidth="1"/>
    <col min="3" max="6" width="8.44140625" bestFit="1" customWidth="1"/>
    <col min="7" max="7" width="11.6640625" customWidth="1"/>
  </cols>
  <sheetData>
    <row r="1" spans="1:9" x14ac:dyDescent="0.3">
      <c r="A1" t="s">
        <v>355</v>
      </c>
      <c r="B1">
        <v>68</v>
      </c>
    </row>
    <row r="2" spans="1:9" x14ac:dyDescent="0.3">
      <c r="A2" t="s">
        <v>5</v>
      </c>
      <c r="B2" t="s">
        <v>111</v>
      </c>
    </row>
    <row r="3" spans="1:9" ht="15" thickBot="1" x14ac:dyDescent="0.35"/>
    <row r="4" spans="1:9" ht="15" customHeight="1" thickBot="1" x14ac:dyDescent="0.35">
      <c r="A4" s="121" t="s">
        <v>918</v>
      </c>
      <c r="B4" s="127">
        <v>2019</v>
      </c>
      <c r="C4" s="127">
        <v>2020</v>
      </c>
      <c r="D4" s="127">
        <v>2021</v>
      </c>
      <c r="E4" s="127">
        <v>2022</v>
      </c>
      <c r="F4" s="127">
        <v>2023</v>
      </c>
      <c r="G4" s="58">
        <v>2024</v>
      </c>
      <c r="H4" s="58">
        <v>2025</v>
      </c>
      <c r="I4" s="58">
        <v>2026</v>
      </c>
    </row>
    <row r="5" spans="1:9" ht="15" thickBot="1" x14ac:dyDescent="0.35">
      <c r="A5" s="128"/>
      <c r="B5" s="129"/>
      <c r="C5" s="129"/>
      <c r="D5" s="129"/>
      <c r="E5" s="129"/>
      <c r="F5" s="129"/>
      <c r="G5" s="117"/>
      <c r="H5" s="117"/>
      <c r="I5" s="117"/>
    </row>
    <row r="6" spans="1:9" ht="15" thickBot="1" x14ac:dyDescent="0.35">
      <c r="A6" s="60" t="s">
        <v>956</v>
      </c>
      <c r="B6" s="99">
        <v>185574</v>
      </c>
      <c r="C6" s="99">
        <v>155058</v>
      </c>
      <c r="D6" s="99">
        <v>142723</v>
      </c>
      <c r="E6" s="99">
        <v>168641</v>
      </c>
      <c r="F6" s="99">
        <v>176277</v>
      </c>
      <c r="G6" s="117">
        <v>189120</v>
      </c>
      <c r="H6" s="117"/>
      <c r="I6" s="117"/>
    </row>
    <row r="7" spans="1:9" ht="15" thickBot="1" x14ac:dyDescent="0.35">
      <c r="A7" s="60" t="s">
        <v>957</v>
      </c>
      <c r="B7" s="99">
        <v>5515</v>
      </c>
      <c r="C7" s="99">
        <v>5010</v>
      </c>
      <c r="D7" s="99">
        <v>5476</v>
      </c>
      <c r="E7" s="99">
        <v>6858</v>
      </c>
      <c r="F7" s="99">
        <v>8679</v>
      </c>
      <c r="G7" s="117">
        <v>9575</v>
      </c>
      <c r="H7" s="117"/>
      <c r="I7" s="117"/>
    </row>
    <row r="8" spans="1:9" ht="15" thickBot="1" x14ac:dyDescent="0.35">
      <c r="A8" s="60" t="s">
        <v>958</v>
      </c>
      <c r="B8" s="99">
        <v>14447</v>
      </c>
      <c r="C8" s="99">
        <v>14747</v>
      </c>
      <c r="D8" s="99">
        <v>41031</v>
      </c>
      <c r="E8" s="99">
        <v>20605</v>
      </c>
      <c r="F8" s="99">
        <v>28395</v>
      </c>
      <c r="G8" s="117">
        <v>41281</v>
      </c>
      <c r="H8" s="117"/>
      <c r="I8" s="117"/>
    </row>
    <row r="9" spans="1:9" ht="15" thickBot="1" x14ac:dyDescent="0.35">
      <c r="A9" s="60" t="s">
        <v>959</v>
      </c>
      <c r="B9" s="99">
        <v>14744</v>
      </c>
      <c r="C9" s="99">
        <v>34052</v>
      </c>
      <c r="D9" s="99">
        <v>14971</v>
      </c>
      <c r="E9" s="99">
        <v>20545</v>
      </c>
      <c r="F9" s="99">
        <v>22200</v>
      </c>
      <c r="G9" s="117">
        <v>23820</v>
      </c>
      <c r="H9" s="117"/>
      <c r="I9" s="117"/>
    </row>
    <row r="10" spans="1:9" ht="15" thickBot="1" x14ac:dyDescent="0.35">
      <c r="A10" s="60" t="s">
        <v>960</v>
      </c>
      <c r="B10" s="99">
        <v>1892</v>
      </c>
      <c r="C10" s="99">
        <v>1525</v>
      </c>
      <c r="D10" s="99">
        <v>2334</v>
      </c>
      <c r="E10" s="99">
        <v>2170</v>
      </c>
      <c r="F10" s="99">
        <v>2270</v>
      </c>
      <c r="G10" s="117">
        <v>2476</v>
      </c>
      <c r="H10" s="117"/>
      <c r="I10" s="117"/>
    </row>
    <row r="11" spans="1:9" ht="15" thickBot="1" x14ac:dyDescent="0.35">
      <c r="A11" s="60" t="s">
        <v>961</v>
      </c>
      <c r="B11" s="99">
        <v>3604</v>
      </c>
      <c r="C11" s="99">
        <v>2644</v>
      </c>
      <c r="D11" s="99">
        <v>9139</v>
      </c>
      <c r="E11" s="99">
        <v>4826</v>
      </c>
      <c r="F11" s="99">
        <v>10726</v>
      </c>
      <c r="G11" s="117">
        <v>6330</v>
      </c>
      <c r="H11" s="117"/>
      <c r="I11" s="117"/>
    </row>
    <row r="12" spans="1:9" ht="15" thickBot="1" x14ac:dyDescent="0.35">
      <c r="A12" s="60" t="s">
        <v>371</v>
      </c>
      <c r="B12" s="101">
        <f t="shared" ref="B12:G12" si="0">+SUM(B6:B11)</f>
        <v>225776</v>
      </c>
      <c r="C12" s="101">
        <f t="shared" si="0"/>
        <v>213036</v>
      </c>
      <c r="D12" s="101">
        <f t="shared" si="0"/>
        <v>215674</v>
      </c>
      <c r="E12" s="101">
        <f t="shared" si="0"/>
        <v>223645</v>
      </c>
      <c r="F12" s="101">
        <f t="shared" si="0"/>
        <v>248547</v>
      </c>
      <c r="G12" s="101">
        <f t="shared" si="0"/>
        <v>272602</v>
      </c>
      <c r="H12" s="101"/>
      <c r="I12" s="101"/>
    </row>
  </sheetData>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F9275-4320-4E32-B605-EED2DFBC0AC2}">
  <dimension ref="A1:I12"/>
  <sheetViews>
    <sheetView workbookViewId="0">
      <selection activeCell="I5" sqref="I5"/>
    </sheetView>
  </sheetViews>
  <sheetFormatPr baseColWidth="10" defaultColWidth="11.44140625" defaultRowHeight="14.4" x14ac:dyDescent="0.3"/>
  <cols>
    <col min="1" max="1" width="27.44140625" customWidth="1"/>
    <col min="2" max="2" width="10.44140625" customWidth="1"/>
    <col min="3" max="6" width="8.44140625" bestFit="1" customWidth="1"/>
    <col min="7" max="9" width="8.44140625" customWidth="1"/>
  </cols>
  <sheetData>
    <row r="1" spans="1:9" x14ac:dyDescent="0.3">
      <c r="A1" t="s">
        <v>355</v>
      </c>
      <c r="B1">
        <v>69</v>
      </c>
    </row>
    <row r="2" spans="1:9" x14ac:dyDescent="0.3">
      <c r="A2" t="s">
        <v>5</v>
      </c>
      <c r="B2" t="s">
        <v>112</v>
      </c>
    </row>
    <row r="3" spans="1:9" ht="15" thickBot="1" x14ac:dyDescent="0.35"/>
    <row r="4" spans="1:9" ht="15" customHeight="1" thickBot="1" x14ac:dyDescent="0.35">
      <c r="A4" s="121" t="s">
        <v>918</v>
      </c>
      <c r="B4" s="127">
        <v>2019</v>
      </c>
      <c r="C4" s="127">
        <v>2020</v>
      </c>
      <c r="D4" s="127">
        <v>2021</v>
      </c>
      <c r="E4" s="127">
        <v>2022</v>
      </c>
      <c r="F4" s="127">
        <v>2023</v>
      </c>
      <c r="G4" s="58">
        <v>2024</v>
      </c>
      <c r="H4" s="58">
        <v>2025</v>
      </c>
      <c r="I4" s="58">
        <v>2026</v>
      </c>
    </row>
    <row r="5" spans="1:9" ht="15" thickBot="1" x14ac:dyDescent="0.35">
      <c r="A5" s="61" t="s">
        <v>962</v>
      </c>
      <c r="B5" s="99">
        <v>3154</v>
      </c>
      <c r="C5" s="99">
        <v>2345</v>
      </c>
      <c r="D5" s="99">
        <v>2056</v>
      </c>
      <c r="E5" s="99">
        <v>2343</v>
      </c>
      <c r="F5" s="99">
        <v>3066</v>
      </c>
      <c r="G5" s="117">
        <v>5088</v>
      </c>
      <c r="H5" s="117"/>
      <c r="I5" s="117"/>
    </row>
    <row r="6" spans="1:9" ht="15" thickBot="1" x14ac:dyDescent="0.35">
      <c r="A6" s="61" t="s">
        <v>963</v>
      </c>
      <c r="B6" s="99">
        <v>1829</v>
      </c>
      <c r="C6" s="99">
        <v>1092</v>
      </c>
      <c r="D6" s="99">
        <v>3066</v>
      </c>
      <c r="E6" s="99">
        <v>2040</v>
      </c>
      <c r="F6" s="99">
        <v>1967</v>
      </c>
      <c r="G6" s="117">
        <v>2749</v>
      </c>
      <c r="H6" s="117"/>
      <c r="I6" s="117"/>
    </row>
    <row r="7" spans="1:9" ht="15" thickBot="1" x14ac:dyDescent="0.35">
      <c r="A7" s="60" t="s">
        <v>964</v>
      </c>
      <c r="B7" s="101">
        <f t="shared" ref="B7:G7" si="0">+B5+B6</f>
        <v>4983</v>
      </c>
      <c r="C7" s="101">
        <f t="shared" si="0"/>
        <v>3437</v>
      </c>
      <c r="D7" s="101">
        <f t="shared" si="0"/>
        <v>5122</v>
      </c>
      <c r="E7" s="101">
        <f t="shared" si="0"/>
        <v>4383</v>
      </c>
      <c r="F7" s="101">
        <f t="shared" si="0"/>
        <v>5033</v>
      </c>
      <c r="G7" s="101">
        <f t="shared" si="0"/>
        <v>7837</v>
      </c>
      <c r="H7" s="101"/>
      <c r="I7" s="101"/>
    </row>
    <row r="8" spans="1:9" ht="15" thickBot="1" x14ac:dyDescent="0.35">
      <c r="A8" s="130" t="s">
        <v>965</v>
      </c>
      <c r="B8" s="131">
        <v>0.02</v>
      </c>
      <c r="C8" s="131">
        <v>0.02</v>
      </c>
      <c r="D8" s="131">
        <v>0.02</v>
      </c>
      <c r="E8" s="131">
        <v>0.02</v>
      </c>
      <c r="F8" s="131">
        <v>0.02</v>
      </c>
      <c r="G8" s="131">
        <v>0.03</v>
      </c>
      <c r="H8" s="131"/>
      <c r="I8" s="131"/>
    </row>
    <row r="9" spans="1:9" ht="15" thickBot="1" x14ac:dyDescent="0.35">
      <c r="A9" s="61" t="s">
        <v>966</v>
      </c>
      <c r="B9" s="99">
        <v>9464</v>
      </c>
      <c r="C9" s="99">
        <v>11310</v>
      </c>
      <c r="D9" s="99">
        <v>13359</v>
      </c>
      <c r="E9" s="99">
        <v>16222</v>
      </c>
      <c r="F9" s="99">
        <v>23362</v>
      </c>
      <c r="G9" s="122">
        <v>33444</v>
      </c>
      <c r="H9" s="122"/>
      <c r="I9" s="122"/>
    </row>
    <row r="10" spans="1:9" ht="15" thickBot="1" x14ac:dyDescent="0.35">
      <c r="A10" s="61" t="s">
        <v>967</v>
      </c>
      <c r="B10" s="129"/>
      <c r="C10" s="129"/>
      <c r="D10" s="99">
        <v>22550</v>
      </c>
      <c r="E10" s="129"/>
      <c r="F10" s="129"/>
      <c r="G10" s="122"/>
      <c r="H10" s="122"/>
      <c r="I10" s="122"/>
    </row>
    <row r="11" spans="1:9" ht="15" thickBot="1" x14ac:dyDescent="0.35">
      <c r="A11" s="60" t="s">
        <v>968</v>
      </c>
      <c r="B11" s="101">
        <v>14447</v>
      </c>
      <c r="C11" s="101">
        <v>14747</v>
      </c>
      <c r="D11" s="101">
        <v>41031</v>
      </c>
      <c r="E11" s="101">
        <v>20605</v>
      </c>
      <c r="F11" s="101">
        <v>28395</v>
      </c>
      <c r="G11" s="122">
        <v>41281</v>
      </c>
      <c r="H11" s="122"/>
      <c r="I11" s="122"/>
    </row>
    <row r="12" spans="1:9" ht="15" thickBot="1" x14ac:dyDescent="0.35">
      <c r="A12" s="130" t="s">
        <v>965</v>
      </c>
      <c r="B12" s="131">
        <v>0.06</v>
      </c>
      <c r="C12" s="131">
        <v>7.0000000000000007E-2</v>
      </c>
      <c r="D12" s="131">
        <v>0.19</v>
      </c>
      <c r="E12" s="131">
        <v>0.09</v>
      </c>
      <c r="F12" s="131">
        <v>0.11</v>
      </c>
      <c r="G12" s="131">
        <v>0.15</v>
      </c>
      <c r="H12" s="131"/>
      <c r="I12" s="131"/>
    </row>
  </sheetData>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3152F-F4FF-45FC-BA00-AF782C409EA3}">
  <dimension ref="A1:I12"/>
  <sheetViews>
    <sheetView workbookViewId="0">
      <selection activeCell="I5" sqref="I5"/>
    </sheetView>
  </sheetViews>
  <sheetFormatPr baseColWidth="10" defaultColWidth="11.44140625" defaultRowHeight="14.4" x14ac:dyDescent="0.3"/>
  <cols>
    <col min="1" max="1" width="27.44140625" customWidth="1"/>
    <col min="2" max="2" width="10.44140625" customWidth="1"/>
    <col min="3" max="6" width="8.44140625" bestFit="1" customWidth="1"/>
    <col min="7" max="9" width="8.44140625" customWidth="1"/>
  </cols>
  <sheetData>
    <row r="1" spans="1:9" x14ac:dyDescent="0.3">
      <c r="A1" t="s">
        <v>355</v>
      </c>
      <c r="B1">
        <v>70</v>
      </c>
    </row>
    <row r="2" spans="1:9" x14ac:dyDescent="0.3">
      <c r="A2" t="s">
        <v>5</v>
      </c>
      <c r="B2" t="s">
        <v>113</v>
      </c>
    </row>
    <row r="3" spans="1:9" ht="15" thickBot="1" x14ac:dyDescent="0.35"/>
    <row r="4" spans="1:9" ht="15" customHeight="1" thickBot="1" x14ac:dyDescent="0.35">
      <c r="A4" s="121" t="s">
        <v>918</v>
      </c>
      <c r="B4" s="127">
        <v>2019</v>
      </c>
      <c r="C4" s="127">
        <v>2020</v>
      </c>
      <c r="D4" s="127">
        <v>2021</v>
      </c>
      <c r="E4" s="127">
        <v>2022</v>
      </c>
      <c r="F4" s="127">
        <v>2023</v>
      </c>
      <c r="G4" s="58">
        <v>2024</v>
      </c>
      <c r="H4" s="58">
        <v>2025</v>
      </c>
      <c r="I4" s="58">
        <v>2026</v>
      </c>
    </row>
    <row r="5" spans="1:9" ht="15" thickBot="1" x14ac:dyDescent="0.35">
      <c r="A5" s="61" t="s">
        <v>969</v>
      </c>
      <c r="B5" s="99">
        <v>13461</v>
      </c>
      <c r="C5" s="99">
        <v>14767</v>
      </c>
      <c r="D5" s="99">
        <v>13693</v>
      </c>
      <c r="E5" s="99">
        <v>19277</v>
      </c>
      <c r="F5" s="99">
        <v>19902</v>
      </c>
      <c r="G5" s="117">
        <v>21879</v>
      </c>
      <c r="H5" s="117"/>
      <c r="I5" s="117"/>
    </row>
    <row r="6" spans="1:9" ht="15" thickBot="1" x14ac:dyDescent="0.35">
      <c r="A6" s="61" t="s">
        <v>970</v>
      </c>
      <c r="B6" s="61">
        <v>782</v>
      </c>
      <c r="C6" s="61">
        <v>356</v>
      </c>
      <c r="D6" s="61">
        <v>539</v>
      </c>
      <c r="E6" s="61">
        <v>458</v>
      </c>
      <c r="F6" s="99">
        <v>1494</v>
      </c>
      <c r="G6" s="117">
        <v>950</v>
      </c>
      <c r="H6" s="117"/>
      <c r="I6" s="117"/>
    </row>
    <row r="7" spans="1:9" ht="15" thickBot="1" x14ac:dyDescent="0.35">
      <c r="A7" s="61" t="s">
        <v>971</v>
      </c>
      <c r="B7" s="61">
        <v>500</v>
      </c>
      <c r="C7" s="61">
        <v>683</v>
      </c>
      <c r="D7" s="61">
        <v>739</v>
      </c>
      <c r="E7" s="61">
        <v>809</v>
      </c>
      <c r="F7" s="61">
        <v>804</v>
      </c>
      <c r="G7" s="117">
        <v>992</v>
      </c>
      <c r="H7" s="117"/>
      <c r="I7" s="117"/>
    </row>
    <row r="8" spans="1:9" ht="15" thickBot="1" x14ac:dyDescent="0.35">
      <c r="A8" s="60" t="s">
        <v>972</v>
      </c>
      <c r="B8" s="101">
        <v>14744</v>
      </c>
      <c r="C8" s="101">
        <v>15806</v>
      </c>
      <c r="D8" s="101">
        <v>14971</v>
      </c>
      <c r="E8" s="101">
        <v>20545</v>
      </c>
      <c r="F8" s="122">
        <f>+F5+F6+F7</f>
        <v>22200</v>
      </c>
      <c r="G8" s="122">
        <f>+G5+G6+G7</f>
        <v>23821</v>
      </c>
      <c r="H8" s="122"/>
      <c r="I8" s="122"/>
    </row>
    <row r="9" spans="1:9" ht="15" thickBot="1" x14ac:dyDescent="0.35">
      <c r="A9" s="130" t="s">
        <v>965</v>
      </c>
      <c r="B9" s="131">
        <v>0.06</v>
      </c>
      <c r="C9" s="131">
        <v>7.0000000000000007E-2</v>
      </c>
      <c r="D9" s="131">
        <v>7.0000000000000007E-2</v>
      </c>
      <c r="E9" s="131">
        <v>0.09</v>
      </c>
      <c r="F9" s="131">
        <v>0.09</v>
      </c>
      <c r="G9" s="131">
        <v>0.09</v>
      </c>
      <c r="H9" s="131"/>
      <c r="I9" s="131"/>
    </row>
    <row r="10" spans="1:9" ht="15" thickBot="1" x14ac:dyDescent="0.35">
      <c r="A10" s="61" t="s">
        <v>973</v>
      </c>
      <c r="B10" s="129"/>
      <c r="C10" s="99">
        <v>18246</v>
      </c>
      <c r="D10" s="129"/>
      <c r="E10" s="129"/>
      <c r="F10" s="129"/>
      <c r="G10" s="122"/>
      <c r="H10" s="122"/>
      <c r="I10" s="122"/>
    </row>
    <row r="11" spans="1:9" ht="15" thickBot="1" x14ac:dyDescent="0.35">
      <c r="A11" s="60" t="s">
        <v>974</v>
      </c>
      <c r="B11" s="101">
        <v>14744</v>
      </c>
      <c r="C11" s="101">
        <v>34052</v>
      </c>
      <c r="D11" s="101">
        <v>14971</v>
      </c>
      <c r="E11" s="101">
        <v>20545</v>
      </c>
      <c r="F11" s="101">
        <v>22200</v>
      </c>
      <c r="G11" s="122">
        <f>+G8</f>
        <v>23821</v>
      </c>
      <c r="H11" s="122"/>
      <c r="I11" s="122"/>
    </row>
    <row r="12" spans="1:9" ht="15" thickBot="1" x14ac:dyDescent="0.35">
      <c r="A12" s="130" t="s">
        <v>965</v>
      </c>
      <c r="B12" s="131">
        <v>0.06</v>
      </c>
      <c r="C12" s="131">
        <v>0.16</v>
      </c>
      <c r="D12" s="131">
        <v>7.0000000000000007E-2</v>
      </c>
      <c r="E12" s="131">
        <v>0.09</v>
      </c>
      <c r="F12" s="131">
        <v>0.09</v>
      </c>
      <c r="G12" s="131">
        <v>0.09</v>
      </c>
      <c r="H12" s="131"/>
      <c r="I12" s="131"/>
    </row>
  </sheetData>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96CB0-9748-4BB6-B858-AEDF64456EF3}">
  <dimension ref="A1:I9"/>
  <sheetViews>
    <sheetView workbookViewId="0">
      <selection activeCell="I5" sqref="I5"/>
    </sheetView>
  </sheetViews>
  <sheetFormatPr baseColWidth="10" defaultColWidth="11.44140625" defaultRowHeight="14.4" x14ac:dyDescent="0.3"/>
  <cols>
    <col min="1" max="1" width="27.44140625" customWidth="1"/>
    <col min="2" max="2" width="10.44140625" customWidth="1"/>
    <col min="3" max="6" width="8.44140625" bestFit="1" customWidth="1"/>
    <col min="7" max="9" width="8.44140625" customWidth="1"/>
  </cols>
  <sheetData>
    <row r="1" spans="1:9" x14ac:dyDescent="0.3">
      <c r="A1" t="s">
        <v>355</v>
      </c>
      <c r="B1">
        <v>71</v>
      </c>
    </row>
    <row r="2" spans="1:9" x14ac:dyDescent="0.3">
      <c r="A2" t="s">
        <v>5</v>
      </c>
      <c r="B2" t="s">
        <v>114</v>
      </c>
    </row>
    <row r="3" spans="1:9" ht="15" thickBot="1" x14ac:dyDescent="0.35"/>
    <row r="4" spans="1:9" ht="15" customHeight="1" thickBot="1" x14ac:dyDescent="0.35">
      <c r="A4" s="121" t="s">
        <v>918</v>
      </c>
      <c r="B4" s="127">
        <v>2019</v>
      </c>
      <c r="C4" s="127">
        <v>2020</v>
      </c>
      <c r="D4" s="127">
        <v>2021</v>
      </c>
      <c r="E4" s="127">
        <v>2022</v>
      </c>
      <c r="F4" s="127">
        <v>2023</v>
      </c>
      <c r="G4" s="58">
        <v>2024</v>
      </c>
      <c r="H4" s="58">
        <v>2025</v>
      </c>
      <c r="I4" s="58">
        <v>2026</v>
      </c>
    </row>
    <row r="5" spans="1:9" ht="15" thickBot="1" x14ac:dyDescent="0.35">
      <c r="A5" s="61" t="s">
        <v>975</v>
      </c>
      <c r="B5" s="61">
        <v>952</v>
      </c>
      <c r="C5" s="61">
        <v>572</v>
      </c>
      <c r="D5" s="61">
        <v>742</v>
      </c>
      <c r="E5" s="61">
        <v>638</v>
      </c>
      <c r="F5" s="61">
        <v>711</v>
      </c>
      <c r="G5" s="379">
        <v>683</v>
      </c>
      <c r="H5" s="379"/>
      <c r="I5" s="379"/>
    </row>
    <row r="6" spans="1:9" ht="15" thickBot="1" x14ac:dyDescent="0.35">
      <c r="A6" s="61" t="s">
        <v>956</v>
      </c>
      <c r="B6" s="99">
        <v>4205</v>
      </c>
      <c r="C6" s="99">
        <v>3447</v>
      </c>
      <c r="D6" s="99">
        <v>3735</v>
      </c>
      <c r="E6" s="99">
        <v>4994</v>
      </c>
      <c r="F6" s="99">
        <v>6471</v>
      </c>
      <c r="G6" s="379">
        <v>8280</v>
      </c>
      <c r="H6" s="379"/>
      <c r="I6" s="379"/>
    </row>
    <row r="7" spans="1:9" ht="15" thickBot="1" x14ac:dyDescent="0.35">
      <c r="A7" s="61" t="s">
        <v>890</v>
      </c>
      <c r="B7" s="61">
        <v>357</v>
      </c>
      <c r="C7" s="61">
        <v>991</v>
      </c>
      <c r="D7" s="61">
        <v>999</v>
      </c>
      <c r="E7" s="61">
        <v>1226</v>
      </c>
      <c r="F7" s="61">
        <v>1497</v>
      </c>
      <c r="G7" s="380">
        <v>612</v>
      </c>
      <c r="H7" s="380"/>
      <c r="I7" s="380"/>
    </row>
    <row r="8" spans="1:9" ht="15" thickBot="1" x14ac:dyDescent="0.35">
      <c r="A8" s="60" t="s">
        <v>976</v>
      </c>
      <c r="B8" s="101">
        <v>5515</v>
      </c>
      <c r="C8" s="101">
        <v>5010</v>
      </c>
      <c r="D8" s="101">
        <v>5476</v>
      </c>
      <c r="E8" s="101">
        <v>6858</v>
      </c>
      <c r="F8" s="101">
        <v>8679</v>
      </c>
      <c r="G8" s="380">
        <f>+G5+G6+G7</f>
        <v>9575</v>
      </c>
      <c r="H8" s="380"/>
      <c r="I8" s="380"/>
    </row>
    <row r="9" spans="1:9" ht="15" thickBot="1" x14ac:dyDescent="0.35">
      <c r="A9" s="130" t="s">
        <v>965</v>
      </c>
      <c r="B9" s="131">
        <v>0.02</v>
      </c>
      <c r="C9" s="131">
        <v>0.02</v>
      </c>
      <c r="D9" s="131">
        <v>0.03</v>
      </c>
      <c r="E9" s="131">
        <v>0.03</v>
      </c>
      <c r="F9" s="131">
        <v>0.03</v>
      </c>
      <c r="G9" s="382">
        <v>0.03</v>
      </c>
      <c r="H9" s="382"/>
      <c r="I9" s="382"/>
    </row>
  </sheetData>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23A2B-B7D5-4EBA-93D4-217FC27BC0E2}">
  <dimension ref="A1:J9"/>
  <sheetViews>
    <sheetView workbookViewId="0">
      <selection activeCell="J5" sqref="J5:J9"/>
    </sheetView>
  </sheetViews>
  <sheetFormatPr baseColWidth="10" defaultColWidth="11.44140625" defaultRowHeight="14.4" x14ac:dyDescent="0.3"/>
  <cols>
    <col min="1" max="1" width="27.44140625" customWidth="1"/>
    <col min="2" max="2" width="10.44140625" customWidth="1"/>
    <col min="3" max="6" width="8.44140625" bestFit="1" customWidth="1"/>
    <col min="7" max="10" width="8.44140625" customWidth="1"/>
  </cols>
  <sheetData>
    <row r="1" spans="1:10" x14ac:dyDescent="0.3">
      <c r="A1" t="s">
        <v>355</v>
      </c>
      <c r="B1">
        <v>72</v>
      </c>
    </row>
    <row r="2" spans="1:10" x14ac:dyDescent="0.3">
      <c r="A2" t="s">
        <v>5</v>
      </c>
      <c r="B2" t="s">
        <v>115</v>
      </c>
    </row>
    <row r="3" spans="1:10" ht="15" thickBot="1" x14ac:dyDescent="0.35"/>
    <row r="4" spans="1:10" ht="15" customHeight="1" thickBot="1" x14ac:dyDescent="0.35">
      <c r="A4" s="132" t="s">
        <v>918</v>
      </c>
      <c r="B4" s="69">
        <v>2019</v>
      </c>
      <c r="C4" s="127">
        <v>2020</v>
      </c>
      <c r="D4" s="127">
        <v>2021</v>
      </c>
      <c r="E4" s="127">
        <v>2019</v>
      </c>
      <c r="F4" s="127">
        <v>2022</v>
      </c>
      <c r="G4" s="127">
        <v>2023</v>
      </c>
      <c r="H4" s="127">
        <v>2024</v>
      </c>
      <c r="I4" s="127">
        <v>2025</v>
      </c>
      <c r="J4" s="127">
        <v>2026</v>
      </c>
    </row>
    <row r="5" spans="1:10" ht="15" thickBot="1" x14ac:dyDescent="0.35">
      <c r="A5" s="98" t="s">
        <v>977</v>
      </c>
      <c r="B5" s="71">
        <v>686</v>
      </c>
      <c r="C5" s="61">
        <v>36</v>
      </c>
      <c r="D5" s="61">
        <v>83</v>
      </c>
      <c r="E5" s="71">
        <v>686</v>
      </c>
      <c r="F5" s="61">
        <v>153</v>
      </c>
      <c r="G5" s="61">
        <v>164</v>
      </c>
      <c r="H5" s="61">
        <v>532</v>
      </c>
      <c r="I5" s="61"/>
      <c r="J5" s="61"/>
    </row>
    <row r="6" spans="1:10" ht="15" thickBot="1" x14ac:dyDescent="0.35">
      <c r="A6" s="98" t="s">
        <v>978</v>
      </c>
      <c r="B6" s="71">
        <v>763</v>
      </c>
      <c r="C6" s="61">
        <v>450</v>
      </c>
      <c r="D6" s="61">
        <v>505</v>
      </c>
      <c r="E6" s="71">
        <v>763</v>
      </c>
      <c r="F6" s="61">
        <v>553</v>
      </c>
      <c r="G6" s="61">
        <v>793</v>
      </c>
      <c r="H6" s="61">
        <v>890</v>
      </c>
      <c r="I6" s="61"/>
      <c r="J6" s="61"/>
    </row>
    <row r="7" spans="1:10" ht="15" thickBot="1" x14ac:dyDescent="0.35">
      <c r="A7" s="98" t="s">
        <v>979</v>
      </c>
      <c r="B7" s="71">
        <v>444</v>
      </c>
      <c r="C7" s="99">
        <v>1039</v>
      </c>
      <c r="D7" s="99">
        <v>1746</v>
      </c>
      <c r="E7" s="71">
        <v>444</v>
      </c>
      <c r="F7" s="99">
        <v>1463</v>
      </c>
      <c r="G7" s="99">
        <v>1314</v>
      </c>
      <c r="H7" s="99">
        <v>1055</v>
      </c>
      <c r="I7" s="99"/>
      <c r="J7" s="99"/>
    </row>
    <row r="8" spans="1:10" ht="15" thickBot="1" x14ac:dyDescent="0.35">
      <c r="A8" s="100" t="s">
        <v>980</v>
      </c>
      <c r="B8" s="133">
        <v>1892</v>
      </c>
      <c r="C8" s="101">
        <v>1525</v>
      </c>
      <c r="D8" s="101">
        <v>2334</v>
      </c>
      <c r="E8" s="133">
        <v>1892</v>
      </c>
      <c r="F8" s="101">
        <v>2170</v>
      </c>
      <c r="G8" s="101">
        <v>2270</v>
      </c>
      <c r="H8" s="101">
        <v>2476</v>
      </c>
      <c r="I8" s="101"/>
      <c r="J8" s="101"/>
    </row>
    <row r="9" spans="1:10" ht="15" thickBot="1" x14ac:dyDescent="0.35">
      <c r="A9" s="134" t="s">
        <v>965</v>
      </c>
      <c r="B9" s="135">
        <v>0.01</v>
      </c>
      <c r="C9" s="131">
        <v>0.01</v>
      </c>
      <c r="D9" s="131">
        <v>0.01</v>
      </c>
      <c r="E9" s="135">
        <v>0.01</v>
      </c>
      <c r="F9" s="131">
        <v>0.01</v>
      </c>
      <c r="G9" s="131">
        <v>0.01</v>
      </c>
      <c r="H9" s="131">
        <v>0.01</v>
      </c>
      <c r="I9" s="131"/>
      <c r="J9" s="131"/>
    </row>
  </sheetData>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E5F5-6542-46B9-9C7B-7E0CA56871F6}">
  <dimension ref="A1:I5"/>
  <sheetViews>
    <sheetView workbookViewId="0">
      <selection activeCell="J8" sqref="J8"/>
    </sheetView>
  </sheetViews>
  <sheetFormatPr baseColWidth="10" defaultColWidth="11.44140625" defaultRowHeight="14.4" x14ac:dyDescent="0.3"/>
  <cols>
    <col min="1" max="1" width="27.44140625" customWidth="1"/>
    <col min="2" max="2" width="10.44140625" customWidth="1"/>
    <col min="3" max="6" width="8.44140625" bestFit="1" customWidth="1"/>
    <col min="7" max="7" width="8.88671875" bestFit="1" customWidth="1"/>
    <col min="8" max="9" width="8.44140625" customWidth="1"/>
  </cols>
  <sheetData>
    <row r="1" spans="1:9" x14ac:dyDescent="0.3">
      <c r="A1" t="s">
        <v>355</v>
      </c>
      <c r="B1">
        <v>73</v>
      </c>
    </row>
    <row r="2" spans="1:9" x14ac:dyDescent="0.3">
      <c r="A2" t="s">
        <v>5</v>
      </c>
      <c r="B2" t="s">
        <v>116</v>
      </c>
    </row>
    <row r="3" spans="1:9" ht="15" thickBot="1" x14ac:dyDescent="0.35"/>
    <row r="4" spans="1:9" ht="15" customHeight="1" thickBot="1" x14ac:dyDescent="0.35">
      <c r="A4" s="121" t="s">
        <v>918</v>
      </c>
      <c r="B4" s="127">
        <v>2019</v>
      </c>
      <c r="C4" s="127">
        <v>2020</v>
      </c>
      <c r="D4" s="127">
        <v>2021</v>
      </c>
      <c r="E4" s="127">
        <v>2022</v>
      </c>
      <c r="F4" s="127">
        <v>2023</v>
      </c>
      <c r="G4" s="58">
        <v>2024</v>
      </c>
      <c r="H4" s="58">
        <v>2025</v>
      </c>
      <c r="I4" s="58">
        <v>2026</v>
      </c>
    </row>
    <row r="5" spans="1:9" ht="15" thickBot="1" x14ac:dyDescent="0.35">
      <c r="A5" s="60" t="s">
        <v>956</v>
      </c>
      <c r="B5" s="101">
        <v>185574</v>
      </c>
      <c r="C5" s="101">
        <v>155058</v>
      </c>
      <c r="D5" s="101">
        <v>142723</v>
      </c>
      <c r="E5" s="101">
        <v>168641</v>
      </c>
      <c r="F5" s="101">
        <v>176277</v>
      </c>
      <c r="G5" s="117">
        <v>189120</v>
      </c>
      <c r="H5" s="117"/>
      <c r="I5" s="117"/>
    </row>
  </sheetData>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B21BF-3E3F-460E-BD1C-23C0C9D76ACF}">
  <dimension ref="A1:D12"/>
  <sheetViews>
    <sheetView workbookViewId="0">
      <selection activeCell="B5" sqref="B5"/>
    </sheetView>
  </sheetViews>
  <sheetFormatPr baseColWidth="10" defaultColWidth="11.44140625" defaultRowHeight="14.4" x14ac:dyDescent="0.3"/>
  <cols>
    <col min="1" max="1" width="10.44140625" customWidth="1"/>
    <col min="2" max="2" width="18.44140625" customWidth="1"/>
    <col min="3" max="3" width="12.44140625" customWidth="1"/>
    <col min="4" max="4" width="11.44140625" customWidth="1"/>
    <col min="5" max="5" width="5.44140625" bestFit="1" customWidth="1"/>
    <col min="6" max="6" width="6.44140625" bestFit="1" customWidth="1"/>
    <col min="7" max="7" width="5.44140625" bestFit="1" customWidth="1"/>
    <col min="8" max="8" width="7" bestFit="1" customWidth="1"/>
    <col min="9" max="9" width="5.44140625" bestFit="1" customWidth="1"/>
    <col min="10" max="10" width="6.44140625" bestFit="1" customWidth="1"/>
    <col min="11" max="13" width="5.44140625" bestFit="1" customWidth="1"/>
  </cols>
  <sheetData>
    <row r="1" spans="1:4" x14ac:dyDescent="0.3">
      <c r="A1" t="s">
        <v>355</v>
      </c>
      <c r="B1">
        <v>8</v>
      </c>
    </row>
    <row r="2" spans="1:4" x14ac:dyDescent="0.3">
      <c r="A2" t="s">
        <v>5</v>
      </c>
      <c r="B2" t="s">
        <v>117</v>
      </c>
    </row>
    <row r="4" spans="1:4" ht="33.6" x14ac:dyDescent="0.3">
      <c r="B4" s="66" t="s">
        <v>535</v>
      </c>
      <c r="C4" s="66" t="s">
        <v>922</v>
      </c>
      <c r="D4" s="66" t="s">
        <v>981</v>
      </c>
    </row>
    <row r="5" spans="1:4" ht="16.8" x14ac:dyDescent="0.3">
      <c r="B5" s="65">
        <v>2019</v>
      </c>
      <c r="C5" s="126">
        <v>16734</v>
      </c>
      <c r="D5" s="65">
        <v>3604</v>
      </c>
    </row>
    <row r="6" spans="1:4" ht="16.8" x14ac:dyDescent="0.3">
      <c r="B6" s="65">
        <v>2020</v>
      </c>
      <c r="C6" s="126">
        <v>16124</v>
      </c>
      <c r="D6" s="65">
        <v>2644</v>
      </c>
    </row>
    <row r="7" spans="1:4" ht="16.8" x14ac:dyDescent="0.3">
      <c r="B7" s="65">
        <v>2021</v>
      </c>
      <c r="C7" s="126">
        <v>25009</v>
      </c>
      <c r="D7" s="65">
        <v>9139</v>
      </c>
    </row>
    <row r="8" spans="1:4" ht="16.8" x14ac:dyDescent="0.3">
      <c r="B8" s="65">
        <v>2022</v>
      </c>
      <c r="C8" s="126">
        <v>18493</v>
      </c>
      <c r="D8" s="65">
        <v>4826</v>
      </c>
    </row>
    <row r="9" spans="1:4" ht="16.8" x14ac:dyDescent="0.3">
      <c r="B9" s="65">
        <v>2023</v>
      </c>
      <c r="C9" s="126">
        <v>27348</v>
      </c>
      <c r="D9" s="65">
        <v>10726</v>
      </c>
    </row>
    <row r="10" spans="1:4" ht="16.8" x14ac:dyDescent="0.3">
      <c r="B10" s="65">
        <v>2024</v>
      </c>
      <c r="C10" s="65">
        <v>24053</v>
      </c>
      <c r="D10" s="65">
        <v>6330</v>
      </c>
    </row>
    <row r="11" spans="1:4" ht="16.8" x14ac:dyDescent="0.3">
      <c r="B11" s="65">
        <v>2025</v>
      </c>
      <c r="C11" s="65"/>
      <c r="D11" s="65"/>
    </row>
    <row r="12" spans="1:4" ht="16.8" x14ac:dyDescent="0.3">
      <c r="B12" s="65">
        <v>2026</v>
      </c>
      <c r="C12" s="65"/>
      <c r="D12" s="65"/>
    </row>
  </sheetData>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A138A-D9B0-491E-AEB9-C0C14CF26977}">
  <dimension ref="A1:I7"/>
  <sheetViews>
    <sheetView workbookViewId="0">
      <selection activeCell="I5" sqref="I5"/>
    </sheetView>
  </sheetViews>
  <sheetFormatPr baseColWidth="10" defaultColWidth="11.44140625" defaultRowHeight="14.4" x14ac:dyDescent="0.3"/>
  <cols>
    <col min="1" max="1" width="27.44140625" customWidth="1"/>
    <col min="2" max="2" width="10.44140625" customWidth="1"/>
    <col min="3" max="6" width="8.44140625" bestFit="1" customWidth="1"/>
    <col min="7" max="9" width="8.44140625" customWidth="1"/>
  </cols>
  <sheetData>
    <row r="1" spans="1:9" x14ac:dyDescent="0.3">
      <c r="A1" t="s">
        <v>355</v>
      </c>
      <c r="B1">
        <v>74</v>
      </c>
    </row>
    <row r="2" spans="1:9" x14ac:dyDescent="0.3">
      <c r="A2" t="s">
        <v>5</v>
      </c>
      <c r="B2" t="s">
        <v>118</v>
      </c>
    </row>
    <row r="3" spans="1:9" ht="15" thickBot="1" x14ac:dyDescent="0.35"/>
    <row r="4" spans="1:9" ht="15" customHeight="1" thickBot="1" x14ac:dyDescent="0.35">
      <c r="A4" s="121" t="s">
        <v>918</v>
      </c>
      <c r="B4" s="127">
        <v>2019</v>
      </c>
      <c r="C4" s="127">
        <v>2020</v>
      </c>
      <c r="D4" s="127">
        <v>2021</v>
      </c>
      <c r="E4" s="127">
        <v>2022</v>
      </c>
      <c r="F4" s="127">
        <v>2023</v>
      </c>
      <c r="G4" s="58">
        <v>2024</v>
      </c>
      <c r="H4" s="58">
        <v>2025</v>
      </c>
      <c r="I4" s="58">
        <v>2026</v>
      </c>
    </row>
    <row r="5" spans="1:9" ht="15" thickBot="1" x14ac:dyDescent="0.35">
      <c r="A5" s="61" t="s">
        <v>982</v>
      </c>
      <c r="B5" s="99">
        <v>18953</v>
      </c>
      <c r="C5" s="99">
        <v>19773</v>
      </c>
      <c r="D5" s="99">
        <v>11186</v>
      </c>
      <c r="E5" s="99">
        <v>18047</v>
      </c>
      <c r="F5" s="99">
        <v>16177</v>
      </c>
      <c r="G5" s="117">
        <v>18457</v>
      </c>
      <c r="H5" s="117"/>
      <c r="I5" s="117"/>
    </row>
    <row r="6" spans="1:9" ht="15" thickBot="1" x14ac:dyDescent="0.35">
      <c r="A6" s="61" t="s">
        <v>983</v>
      </c>
      <c r="B6" s="99">
        <v>35460</v>
      </c>
      <c r="C6" s="99">
        <v>13118</v>
      </c>
      <c r="D6" s="61">
        <v>545</v>
      </c>
      <c r="E6" s="61">
        <v>963</v>
      </c>
      <c r="F6" s="99">
        <v>1692</v>
      </c>
      <c r="G6" s="117">
        <v>2665</v>
      </c>
      <c r="H6" s="117"/>
      <c r="I6" s="117"/>
    </row>
    <row r="7" spans="1:9" ht="15" thickBot="1" x14ac:dyDescent="0.35">
      <c r="A7" s="60" t="s">
        <v>949</v>
      </c>
      <c r="B7" s="101">
        <f>+B5+B6</f>
        <v>54413</v>
      </c>
      <c r="C7" s="101">
        <v>32891</v>
      </c>
      <c r="D7" s="101">
        <v>11732</v>
      </c>
      <c r="E7" s="101">
        <v>19009</v>
      </c>
      <c r="F7" s="101">
        <f>+F5+F6</f>
        <v>17869</v>
      </c>
      <c r="G7" s="101">
        <f>+G5+G6</f>
        <v>21122</v>
      </c>
      <c r="H7" s="101"/>
      <c r="I7" s="101"/>
    </row>
  </sheetData>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22B51-B105-4C5E-8427-DA2AC14AD9E8}">
  <dimension ref="A1:I7"/>
  <sheetViews>
    <sheetView workbookViewId="0">
      <selection activeCell="I5" sqref="I5"/>
    </sheetView>
  </sheetViews>
  <sheetFormatPr baseColWidth="10" defaultColWidth="11.44140625" defaultRowHeight="14.4" x14ac:dyDescent="0.3"/>
  <cols>
    <col min="1" max="1" width="27.44140625" customWidth="1"/>
    <col min="2" max="2" width="10.44140625" customWidth="1"/>
    <col min="3" max="6" width="8.44140625" bestFit="1" customWidth="1"/>
    <col min="7" max="9" width="8.44140625" customWidth="1"/>
  </cols>
  <sheetData>
    <row r="1" spans="1:9" x14ac:dyDescent="0.3">
      <c r="A1" t="s">
        <v>355</v>
      </c>
      <c r="B1">
        <v>75</v>
      </c>
    </row>
    <row r="2" spans="1:9" x14ac:dyDescent="0.3">
      <c r="A2" t="s">
        <v>5</v>
      </c>
      <c r="B2" t="s">
        <v>119</v>
      </c>
    </row>
    <row r="3" spans="1:9" ht="15" thickBot="1" x14ac:dyDescent="0.35"/>
    <row r="4" spans="1:9" ht="15" customHeight="1" thickBot="1" x14ac:dyDescent="0.35">
      <c r="A4" s="132" t="s">
        <v>918</v>
      </c>
      <c r="B4" s="127">
        <v>2019</v>
      </c>
      <c r="C4" s="127">
        <v>2020</v>
      </c>
      <c r="D4" s="127">
        <v>2021</v>
      </c>
      <c r="E4" s="127">
        <v>2022</v>
      </c>
      <c r="F4" s="127">
        <v>2023</v>
      </c>
      <c r="G4" s="58">
        <v>2024</v>
      </c>
      <c r="H4" s="58">
        <v>2025</v>
      </c>
      <c r="I4" s="58">
        <v>2026</v>
      </c>
    </row>
    <row r="5" spans="1:9" ht="15" thickBot="1" x14ac:dyDescent="0.35">
      <c r="A5" s="98" t="s">
        <v>984</v>
      </c>
      <c r="B5" s="136">
        <v>58517</v>
      </c>
      <c r="C5" s="136">
        <v>56054</v>
      </c>
      <c r="D5" s="136">
        <v>61735</v>
      </c>
      <c r="E5" s="136">
        <v>63634</v>
      </c>
      <c r="F5" s="136">
        <v>63073</v>
      </c>
      <c r="G5" s="117">
        <v>71793</v>
      </c>
      <c r="H5" s="117"/>
      <c r="I5" s="117"/>
    </row>
    <row r="6" spans="1:9" ht="15" thickBot="1" x14ac:dyDescent="0.35">
      <c r="A6" s="98" t="s">
        <v>983</v>
      </c>
      <c r="B6" s="136">
        <v>8019</v>
      </c>
      <c r="C6" s="136">
        <v>5012</v>
      </c>
      <c r="D6" s="136">
        <v>3161</v>
      </c>
      <c r="E6" s="136">
        <v>1925</v>
      </c>
      <c r="F6" s="136">
        <v>2304</v>
      </c>
      <c r="G6" s="117">
        <v>3013</v>
      </c>
      <c r="H6" s="117"/>
      <c r="I6" s="117"/>
    </row>
    <row r="7" spans="1:9" ht="15" thickBot="1" x14ac:dyDescent="0.35">
      <c r="A7" s="100" t="s">
        <v>950</v>
      </c>
      <c r="B7" s="137">
        <f t="shared" ref="B7:G7" si="0">+B5+B6</f>
        <v>66536</v>
      </c>
      <c r="C7" s="137">
        <f t="shared" si="0"/>
        <v>61066</v>
      </c>
      <c r="D7" s="137">
        <f t="shared" si="0"/>
        <v>64896</v>
      </c>
      <c r="E7" s="137">
        <f t="shared" si="0"/>
        <v>65559</v>
      </c>
      <c r="F7" s="137">
        <f t="shared" si="0"/>
        <v>65377</v>
      </c>
      <c r="G7" s="137">
        <f t="shared" si="0"/>
        <v>74806</v>
      </c>
      <c r="H7" s="137"/>
      <c r="I7" s="137"/>
    </row>
  </sheetData>
  <pageMargins left="0.7" right="0.7" top="0.75" bottom="0.75" header="0.3" footer="0.3"/>
  <pageSetup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0DA4A-8DB1-445C-BCF3-062EF2DA3685}">
  <dimension ref="A1:I7"/>
  <sheetViews>
    <sheetView workbookViewId="0">
      <selection activeCell="I5" sqref="I5"/>
    </sheetView>
  </sheetViews>
  <sheetFormatPr baseColWidth="10" defaultColWidth="11.44140625" defaultRowHeight="14.4" x14ac:dyDescent="0.3"/>
  <cols>
    <col min="1" max="1" width="27.44140625" customWidth="1"/>
    <col min="2" max="2" width="10.44140625" customWidth="1"/>
    <col min="3" max="6" width="8.44140625" bestFit="1" customWidth="1"/>
    <col min="7" max="9" width="8.44140625" customWidth="1"/>
  </cols>
  <sheetData>
    <row r="1" spans="1:9" x14ac:dyDescent="0.3">
      <c r="A1" t="s">
        <v>355</v>
      </c>
      <c r="B1">
        <v>76</v>
      </c>
    </row>
    <row r="2" spans="1:9" x14ac:dyDescent="0.3">
      <c r="A2" t="s">
        <v>5</v>
      </c>
      <c r="B2" t="s">
        <v>120</v>
      </c>
    </row>
    <row r="3" spans="1:9" ht="15" thickBot="1" x14ac:dyDescent="0.35"/>
    <row r="4" spans="1:9" ht="15" customHeight="1" thickBot="1" x14ac:dyDescent="0.35">
      <c r="A4" s="121" t="s">
        <v>918</v>
      </c>
      <c r="B4" s="127">
        <v>2019</v>
      </c>
      <c r="C4" s="127">
        <v>2020</v>
      </c>
      <c r="D4" s="127">
        <v>2021</v>
      </c>
      <c r="E4" s="127">
        <v>2022</v>
      </c>
      <c r="F4" s="127">
        <v>2023</v>
      </c>
      <c r="G4" s="58">
        <v>2024</v>
      </c>
      <c r="H4" s="58">
        <v>2025</v>
      </c>
      <c r="I4" s="58">
        <v>2026</v>
      </c>
    </row>
    <row r="5" spans="1:9" ht="15" thickBot="1" x14ac:dyDescent="0.35">
      <c r="A5" s="61" t="s">
        <v>982</v>
      </c>
      <c r="B5" s="117">
        <v>1062</v>
      </c>
      <c r="C5" s="117">
        <v>1489</v>
      </c>
      <c r="D5" s="117">
        <v>1855</v>
      </c>
      <c r="E5" s="117">
        <v>2879</v>
      </c>
      <c r="F5" s="117">
        <v>3345</v>
      </c>
      <c r="G5" s="117">
        <v>3359</v>
      </c>
      <c r="H5" s="117"/>
      <c r="I5" s="117"/>
    </row>
    <row r="6" spans="1:9" ht="15" thickBot="1" x14ac:dyDescent="0.35">
      <c r="A6" s="61" t="s">
        <v>983</v>
      </c>
      <c r="B6" s="117">
        <v>2300</v>
      </c>
      <c r="C6" s="117">
        <v>2295</v>
      </c>
      <c r="D6" s="117">
        <v>2456</v>
      </c>
      <c r="E6" s="117">
        <v>2477</v>
      </c>
      <c r="F6" s="117">
        <v>2451</v>
      </c>
      <c r="G6" s="117">
        <v>2741</v>
      </c>
      <c r="H6" s="117"/>
      <c r="I6" s="117"/>
    </row>
    <row r="7" spans="1:9" ht="15" thickBot="1" x14ac:dyDescent="0.35">
      <c r="A7" s="60" t="s">
        <v>951</v>
      </c>
      <c r="B7" s="122">
        <f>+B5+B6</f>
        <v>3362</v>
      </c>
      <c r="C7" s="122">
        <f t="shared" ref="C7:G7" si="0">+C5+C6</f>
        <v>3784</v>
      </c>
      <c r="D7" s="122">
        <f t="shared" si="0"/>
        <v>4311</v>
      </c>
      <c r="E7" s="122">
        <f t="shared" si="0"/>
        <v>5356</v>
      </c>
      <c r="F7" s="122">
        <f t="shared" si="0"/>
        <v>5796</v>
      </c>
      <c r="G7" s="122">
        <f t="shared" si="0"/>
        <v>6100</v>
      </c>
      <c r="H7" s="122"/>
      <c r="I7" s="122"/>
    </row>
  </sheetData>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8DCC2-21B9-4911-982A-072729C9E488}">
  <dimension ref="A1:I7"/>
  <sheetViews>
    <sheetView workbookViewId="0">
      <selection activeCell="I5" sqref="I5"/>
    </sheetView>
  </sheetViews>
  <sheetFormatPr baseColWidth="10" defaultColWidth="11.44140625" defaultRowHeight="14.4" x14ac:dyDescent="0.3"/>
  <cols>
    <col min="1" max="1" width="27.44140625" customWidth="1"/>
    <col min="2" max="2" width="10.44140625" customWidth="1"/>
    <col min="3" max="6" width="8.44140625" bestFit="1" customWidth="1"/>
    <col min="7" max="9" width="8.44140625" customWidth="1"/>
  </cols>
  <sheetData>
    <row r="1" spans="1:9" x14ac:dyDescent="0.3">
      <c r="A1" t="s">
        <v>355</v>
      </c>
      <c r="B1">
        <v>77</v>
      </c>
    </row>
    <row r="2" spans="1:9" x14ac:dyDescent="0.3">
      <c r="A2" t="s">
        <v>5</v>
      </c>
      <c r="B2" t="s">
        <v>121</v>
      </c>
    </row>
    <row r="3" spans="1:9" ht="15" thickBot="1" x14ac:dyDescent="0.35"/>
    <row r="4" spans="1:9" ht="15" customHeight="1" thickBot="1" x14ac:dyDescent="0.35">
      <c r="A4" s="132" t="s">
        <v>918</v>
      </c>
      <c r="B4" s="127">
        <v>2019</v>
      </c>
      <c r="C4" s="127">
        <v>2020</v>
      </c>
      <c r="D4" s="127">
        <v>2021</v>
      </c>
      <c r="E4" s="127">
        <v>2022</v>
      </c>
      <c r="F4" s="127">
        <v>2023</v>
      </c>
      <c r="G4" s="58">
        <v>2024</v>
      </c>
      <c r="H4" s="58">
        <v>2025</v>
      </c>
      <c r="I4" s="58">
        <v>2026</v>
      </c>
    </row>
    <row r="5" spans="1:9" ht="15" thickBot="1" x14ac:dyDescent="0.35">
      <c r="A5" s="98" t="s">
        <v>984</v>
      </c>
      <c r="B5" s="136">
        <v>2751</v>
      </c>
      <c r="C5" s="136">
        <v>2023</v>
      </c>
      <c r="D5" s="136">
        <v>1958</v>
      </c>
      <c r="E5" s="136">
        <v>2119</v>
      </c>
      <c r="F5" s="136">
        <v>2776</v>
      </c>
      <c r="G5" s="117">
        <v>3542</v>
      </c>
      <c r="H5" s="117"/>
      <c r="I5" s="117"/>
    </row>
    <row r="6" spans="1:9" ht="15" thickBot="1" x14ac:dyDescent="0.35">
      <c r="A6" s="98" t="s">
        <v>983</v>
      </c>
      <c r="B6" s="136">
        <v>588</v>
      </c>
      <c r="C6" s="136">
        <v>148</v>
      </c>
      <c r="D6" s="136">
        <v>6</v>
      </c>
      <c r="E6" s="136">
        <v>470</v>
      </c>
      <c r="F6" s="136">
        <v>239</v>
      </c>
      <c r="G6" s="117">
        <v>348</v>
      </c>
      <c r="H6" s="117"/>
      <c r="I6" s="117"/>
    </row>
    <row r="7" spans="1:9" ht="15" thickBot="1" x14ac:dyDescent="0.35">
      <c r="A7" s="100" t="s">
        <v>952</v>
      </c>
      <c r="B7" s="137">
        <v>3339</v>
      </c>
      <c r="C7" s="137">
        <v>2171</v>
      </c>
      <c r="D7" s="137">
        <v>1964</v>
      </c>
      <c r="E7" s="137">
        <v>2590</v>
      </c>
      <c r="F7" s="137">
        <f>+F5+F6</f>
        <v>3015</v>
      </c>
      <c r="G7" s="137">
        <f>+G5+G6</f>
        <v>3890</v>
      </c>
      <c r="H7" s="137"/>
      <c r="I7" s="137"/>
    </row>
  </sheetData>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BFE43-561A-450A-8520-B10E99C031F9}">
  <dimension ref="A1:E27"/>
  <sheetViews>
    <sheetView topLeftCell="A3" workbookViewId="0">
      <selection activeCell="D3" sqref="D3"/>
    </sheetView>
  </sheetViews>
  <sheetFormatPr baseColWidth="10" defaultColWidth="11.44140625" defaultRowHeight="14.4" x14ac:dyDescent="0.3"/>
  <cols>
    <col min="1" max="1" width="12" customWidth="1"/>
    <col min="2" max="2" width="13.44140625" customWidth="1"/>
    <col min="3" max="3" width="35.44140625" customWidth="1"/>
    <col min="4" max="5" width="31.44140625" customWidth="1"/>
  </cols>
  <sheetData>
    <row r="1" spans="1:5" x14ac:dyDescent="0.3">
      <c r="A1" t="s">
        <v>355</v>
      </c>
      <c r="B1">
        <v>82</v>
      </c>
    </row>
    <row r="2" spans="1:5" x14ac:dyDescent="0.3">
      <c r="A2" t="s">
        <v>5</v>
      </c>
      <c r="B2" t="s">
        <v>124</v>
      </c>
    </row>
    <row r="3" spans="1:5" ht="15" thickBot="1" x14ac:dyDescent="0.35"/>
    <row r="4" spans="1:5" ht="26.85" customHeight="1" thickBot="1" x14ac:dyDescent="0.35">
      <c r="A4" s="85" t="s">
        <v>985</v>
      </c>
      <c r="B4" s="85" t="s">
        <v>986</v>
      </c>
      <c r="C4" s="85" t="s">
        <v>987</v>
      </c>
      <c r="D4" s="85" t="s">
        <v>988</v>
      </c>
      <c r="E4" s="157" t="s">
        <v>989</v>
      </c>
    </row>
    <row r="5" spans="1:5" ht="36.6" thickBot="1" x14ac:dyDescent="0.35">
      <c r="A5" s="640" t="s">
        <v>990</v>
      </c>
      <c r="B5" s="73" t="s">
        <v>991</v>
      </c>
      <c r="C5" s="73" t="s">
        <v>992</v>
      </c>
      <c r="D5" s="75" t="s">
        <v>993</v>
      </c>
      <c r="E5" s="75"/>
    </row>
    <row r="6" spans="1:5" ht="84.6" thickBot="1" x14ac:dyDescent="0.35">
      <c r="A6" s="642"/>
      <c r="B6" s="73" t="s">
        <v>994</v>
      </c>
      <c r="C6" s="73" t="s">
        <v>995</v>
      </c>
      <c r="D6" s="75" t="s">
        <v>993</v>
      </c>
      <c r="E6" s="75"/>
    </row>
    <row r="7" spans="1:5" ht="48.6" thickBot="1" x14ac:dyDescent="0.35">
      <c r="A7" s="642"/>
      <c r="B7" s="73" t="s">
        <v>996</v>
      </c>
      <c r="C7" s="73" t="s">
        <v>997</v>
      </c>
      <c r="D7" s="75" t="s">
        <v>993</v>
      </c>
      <c r="E7" s="75"/>
    </row>
    <row r="8" spans="1:5" ht="84.6" thickBot="1" x14ac:dyDescent="0.35">
      <c r="A8" s="642"/>
      <c r="B8" s="73" t="s">
        <v>998</v>
      </c>
      <c r="C8" s="73" t="s">
        <v>999</v>
      </c>
      <c r="D8" s="75" t="s">
        <v>993</v>
      </c>
      <c r="E8" s="75"/>
    </row>
    <row r="9" spans="1:5" ht="48.6" thickBot="1" x14ac:dyDescent="0.35">
      <c r="A9" s="642"/>
      <c r="B9" s="73" t="s">
        <v>1000</v>
      </c>
      <c r="C9" s="73" t="s">
        <v>1001</v>
      </c>
      <c r="D9" s="75" t="s">
        <v>993</v>
      </c>
      <c r="E9" s="75"/>
    </row>
    <row r="10" spans="1:5" ht="96.6" thickBot="1" x14ac:dyDescent="0.35">
      <c r="A10" s="642"/>
      <c r="B10" s="73" t="s">
        <v>1002</v>
      </c>
      <c r="C10" s="73" t="s">
        <v>1003</v>
      </c>
      <c r="D10" s="75" t="s">
        <v>993</v>
      </c>
      <c r="E10" s="75"/>
    </row>
    <row r="11" spans="1:5" ht="72.599999999999994" thickBot="1" x14ac:dyDescent="0.35">
      <c r="A11" s="642"/>
      <c r="B11" s="73" t="s">
        <v>1004</v>
      </c>
      <c r="C11" s="73" t="s">
        <v>1005</v>
      </c>
      <c r="D11" s="75" t="s">
        <v>993</v>
      </c>
      <c r="E11" s="75"/>
    </row>
    <row r="12" spans="1:5" ht="84.6" thickBot="1" x14ac:dyDescent="0.35">
      <c r="A12" s="641"/>
      <c r="B12" s="73" t="s">
        <v>1006</v>
      </c>
      <c r="C12" s="73" t="s">
        <v>1007</v>
      </c>
      <c r="D12" s="75" t="s">
        <v>993</v>
      </c>
      <c r="E12" s="75"/>
    </row>
    <row r="13" spans="1:5" ht="72.599999999999994" thickBot="1" x14ac:dyDescent="0.35">
      <c r="A13" s="640" t="s">
        <v>1008</v>
      </c>
      <c r="B13" s="73" t="s">
        <v>1009</v>
      </c>
      <c r="C13" s="73" t="s">
        <v>1010</v>
      </c>
      <c r="D13" s="75" t="s">
        <v>1011</v>
      </c>
      <c r="E13" s="75"/>
    </row>
    <row r="14" spans="1:5" ht="72.599999999999994" thickBot="1" x14ac:dyDescent="0.35">
      <c r="A14" s="642"/>
      <c r="B14" s="73" t="s">
        <v>1012</v>
      </c>
      <c r="C14" s="73" t="s">
        <v>1013</v>
      </c>
      <c r="D14" s="75" t="s">
        <v>1014</v>
      </c>
      <c r="E14" s="75"/>
    </row>
    <row r="15" spans="1:5" ht="120.6" thickBot="1" x14ac:dyDescent="0.35">
      <c r="A15" s="642"/>
      <c r="B15" s="73" t="s">
        <v>1015</v>
      </c>
      <c r="C15" s="73" t="s">
        <v>1016</v>
      </c>
      <c r="D15" s="75" t="s">
        <v>1011</v>
      </c>
      <c r="E15" s="75"/>
    </row>
    <row r="16" spans="1:5" ht="48.6" thickBot="1" x14ac:dyDescent="0.35">
      <c r="A16" s="642"/>
      <c r="B16" s="411" t="s">
        <v>1017</v>
      </c>
      <c r="C16" s="73" t="s">
        <v>1018</v>
      </c>
      <c r="D16" s="75" t="s">
        <v>1014</v>
      </c>
      <c r="E16" s="75"/>
    </row>
    <row r="17" spans="1:5" ht="84.6" thickBot="1" x14ac:dyDescent="0.35">
      <c r="A17" s="642"/>
      <c r="B17" s="73" t="s">
        <v>1019</v>
      </c>
      <c r="C17" s="73" t="s">
        <v>1020</v>
      </c>
      <c r="D17" s="75" t="s">
        <v>1011</v>
      </c>
      <c r="E17" s="75"/>
    </row>
    <row r="18" spans="1:5" ht="48.6" thickBot="1" x14ac:dyDescent="0.35">
      <c r="A18" s="642"/>
      <c r="B18" s="73" t="s">
        <v>1021</v>
      </c>
      <c r="C18" s="73" t="s">
        <v>1022</v>
      </c>
      <c r="D18" s="75" t="s">
        <v>1011</v>
      </c>
      <c r="E18" s="75"/>
    </row>
    <row r="19" spans="1:5" ht="72.599999999999994" thickBot="1" x14ac:dyDescent="0.35">
      <c r="A19" s="642"/>
      <c r="B19" s="73" t="s">
        <v>1023</v>
      </c>
      <c r="C19" s="73" t="s">
        <v>1024</v>
      </c>
      <c r="D19" s="75" t="s">
        <v>1011</v>
      </c>
      <c r="E19" s="75"/>
    </row>
    <row r="20" spans="1:5" ht="72.599999999999994" thickBot="1" x14ac:dyDescent="0.35">
      <c r="A20" s="642" t="s">
        <v>1025</v>
      </c>
      <c r="B20" s="73" t="s">
        <v>1026</v>
      </c>
      <c r="C20" s="73" t="s">
        <v>1027</v>
      </c>
      <c r="D20" s="75" t="s">
        <v>1028</v>
      </c>
      <c r="E20" s="75"/>
    </row>
    <row r="21" spans="1:5" ht="84.6" thickBot="1" x14ac:dyDescent="0.35">
      <c r="A21" s="641"/>
      <c r="B21" s="73" t="s">
        <v>1029</v>
      </c>
      <c r="C21" s="73" t="s">
        <v>1030</v>
      </c>
      <c r="D21" s="75" t="s">
        <v>1028</v>
      </c>
      <c r="E21" s="75"/>
    </row>
    <row r="22" spans="1:5" ht="72.599999999999994" thickBot="1" x14ac:dyDescent="0.35">
      <c r="A22" s="640" t="s">
        <v>1031</v>
      </c>
      <c r="B22" s="73" t="s">
        <v>1032</v>
      </c>
      <c r="C22" s="73" t="s">
        <v>1033</v>
      </c>
      <c r="D22" s="75" t="s">
        <v>1011</v>
      </c>
      <c r="E22" s="75"/>
    </row>
    <row r="23" spans="1:5" ht="60.6" thickBot="1" x14ac:dyDescent="0.35">
      <c r="A23" s="642"/>
      <c r="B23" s="73" t="s">
        <v>1034</v>
      </c>
      <c r="C23" s="73" t="s">
        <v>1035</v>
      </c>
      <c r="D23" s="75" t="s">
        <v>1036</v>
      </c>
      <c r="E23" s="75"/>
    </row>
    <row r="24" spans="1:5" ht="60.6" thickBot="1" x14ac:dyDescent="0.35">
      <c r="A24" s="642"/>
      <c r="B24" s="73" t="s">
        <v>1037</v>
      </c>
      <c r="C24" s="73" t="s">
        <v>1038</v>
      </c>
      <c r="D24" s="75" t="s">
        <v>1036</v>
      </c>
      <c r="E24" s="75"/>
    </row>
    <row r="25" spans="1:5" ht="72.599999999999994" thickBot="1" x14ac:dyDescent="0.35">
      <c r="A25" s="641"/>
      <c r="B25" s="73" t="s">
        <v>1039</v>
      </c>
      <c r="C25" s="73" t="s">
        <v>1040</v>
      </c>
      <c r="D25" s="75" t="s">
        <v>993</v>
      </c>
      <c r="E25" s="75"/>
    </row>
    <row r="26" spans="1:5" ht="48.6" thickBot="1" x14ac:dyDescent="0.35">
      <c r="A26" s="640" t="s">
        <v>1041</v>
      </c>
      <c r="B26" s="73" t="s">
        <v>1042</v>
      </c>
      <c r="C26" s="73" t="s">
        <v>1043</v>
      </c>
      <c r="D26" s="75" t="s">
        <v>1014</v>
      </c>
      <c r="E26" s="75"/>
    </row>
    <row r="27" spans="1:5" ht="48.6" thickBot="1" x14ac:dyDescent="0.35">
      <c r="A27" s="641"/>
      <c r="B27" s="73" t="s">
        <v>1044</v>
      </c>
      <c r="C27" s="73" t="s">
        <v>1045</v>
      </c>
      <c r="D27" s="75" t="s">
        <v>1036</v>
      </c>
      <c r="E27" s="75"/>
    </row>
  </sheetData>
  <mergeCells count="5">
    <mergeCell ref="A26:A27"/>
    <mergeCell ref="A13:A19"/>
    <mergeCell ref="A5:A12"/>
    <mergeCell ref="A22:A25"/>
    <mergeCell ref="A20:A21"/>
  </mergeCell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E399C-CFD7-42B1-83FC-27415812F132}">
  <dimension ref="A1:D22"/>
  <sheetViews>
    <sheetView topLeftCell="A18" workbookViewId="0">
      <selection activeCell="D24" sqref="D24"/>
    </sheetView>
  </sheetViews>
  <sheetFormatPr baseColWidth="10" defaultColWidth="11.44140625" defaultRowHeight="14.4" x14ac:dyDescent="0.3"/>
  <cols>
    <col min="1" max="1" width="12" customWidth="1"/>
    <col min="2" max="2" width="10.44140625" customWidth="1"/>
    <col min="3" max="3" width="35.44140625" customWidth="1"/>
    <col min="4" max="4" width="31.44140625" customWidth="1"/>
  </cols>
  <sheetData>
    <row r="1" spans="1:4" x14ac:dyDescent="0.3">
      <c r="A1" t="s">
        <v>355</v>
      </c>
      <c r="B1">
        <v>83</v>
      </c>
    </row>
    <row r="2" spans="1:4" x14ac:dyDescent="0.3">
      <c r="A2" t="s">
        <v>5</v>
      </c>
      <c r="B2" t="s">
        <v>126</v>
      </c>
    </row>
    <row r="3" spans="1:4" ht="15" thickBot="1" x14ac:dyDescent="0.35"/>
    <row r="4" spans="1:4" ht="26.85" customHeight="1" thickBot="1" x14ac:dyDescent="0.35">
      <c r="A4" s="85" t="s">
        <v>985</v>
      </c>
      <c r="B4" s="85" t="s">
        <v>986</v>
      </c>
      <c r="C4" s="85" t="s">
        <v>987</v>
      </c>
      <c r="D4" s="85" t="s">
        <v>988</v>
      </c>
    </row>
    <row r="5" spans="1:4" ht="48.6" thickBot="1" x14ac:dyDescent="0.35">
      <c r="A5" s="643" t="s">
        <v>990</v>
      </c>
      <c r="B5" s="138" t="s">
        <v>1046</v>
      </c>
      <c r="C5" s="73" t="s">
        <v>1047</v>
      </c>
      <c r="D5" s="75" t="s">
        <v>993</v>
      </c>
    </row>
    <row r="6" spans="1:4" ht="120.6" thickBot="1" x14ac:dyDescent="0.35">
      <c r="A6" s="644"/>
      <c r="B6" s="138" t="s">
        <v>1048</v>
      </c>
      <c r="C6" s="73" t="s">
        <v>1049</v>
      </c>
      <c r="D6" s="75" t="s">
        <v>993</v>
      </c>
    </row>
    <row r="7" spans="1:4" ht="84.6" thickBot="1" x14ac:dyDescent="0.35">
      <c r="A7" s="644"/>
      <c r="B7" s="138" t="s">
        <v>1050</v>
      </c>
      <c r="C7" s="73" t="s">
        <v>1051</v>
      </c>
      <c r="D7" s="75" t="s">
        <v>993</v>
      </c>
    </row>
    <row r="8" spans="1:4" ht="108.6" thickBot="1" x14ac:dyDescent="0.35">
      <c r="A8" s="644"/>
      <c r="B8" s="138" t="s">
        <v>1052</v>
      </c>
      <c r="C8" s="73" t="s">
        <v>1053</v>
      </c>
      <c r="D8" s="75" t="s">
        <v>993</v>
      </c>
    </row>
    <row r="9" spans="1:4" ht="96.6" thickBot="1" x14ac:dyDescent="0.35">
      <c r="A9" s="640" t="s">
        <v>1008</v>
      </c>
      <c r="B9" s="138" t="s">
        <v>1054</v>
      </c>
      <c r="C9" s="73" t="s">
        <v>1055</v>
      </c>
      <c r="D9" s="75" t="s">
        <v>1036</v>
      </c>
    </row>
    <row r="10" spans="1:4" ht="108.6" thickBot="1" x14ac:dyDescent="0.35">
      <c r="A10" s="642"/>
      <c r="B10" s="138" t="s">
        <v>1056</v>
      </c>
      <c r="C10" s="73" t="s">
        <v>1057</v>
      </c>
      <c r="D10" s="75" t="s">
        <v>1036</v>
      </c>
    </row>
    <row r="11" spans="1:4" ht="72.599999999999994" thickBot="1" x14ac:dyDescent="0.35">
      <c r="A11" s="642"/>
      <c r="B11" s="138" t="s">
        <v>1058</v>
      </c>
      <c r="C11" s="73" t="s">
        <v>1059</v>
      </c>
      <c r="D11" s="75" t="s">
        <v>1036</v>
      </c>
    </row>
    <row r="12" spans="1:4" ht="96.6" thickBot="1" x14ac:dyDescent="0.35">
      <c r="A12" s="642"/>
      <c r="B12" s="138" t="s">
        <v>1060</v>
      </c>
      <c r="C12" s="73" t="s">
        <v>1061</v>
      </c>
      <c r="D12" s="75" t="s">
        <v>1036</v>
      </c>
    </row>
    <row r="13" spans="1:4" ht="96.6" thickBot="1" x14ac:dyDescent="0.35">
      <c r="A13" s="642"/>
      <c r="B13" s="138" t="s">
        <v>1062</v>
      </c>
      <c r="C13" s="73" t="s">
        <v>1063</v>
      </c>
      <c r="D13" s="75" t="s">
        <v>1014</v>
      </c>
    </row>
    <row r="14" spans="1:4" ht="84.6" thickBot="1" x14ac:dyDescent="0.35">
      <c r="A14" s="642"/>
      <c r="B14" s="138" t="s">
        <v>1064</v>
      </c>
      <c r="C14" s="73" t="s">
        <v>1065</v>
      </c>
      <c r="D14" s="75" t="s">
        <v>1014</v>
      </c>
    </row>
    <row r="15" spans="1:4" ht="72.599999999999994" thickBot="1" x14ac:dyDescent="0.35">
      <c r="A15" s="641"/>
      <c r="B15" s="138" t="s">
        <v>1066</v>
      </c>
      <c r="C15" s="73" t="s">
        <v>1067</v>
      </c>
      <c r="D15" s="75" t="s">
        <v>1014</v>
      </c>
    </row>
    <row r="16" spans="1:4" ht="72.599999999999994" thickBot="1" x14ac:dyDescent="0.35">
      <c r="A16" s="643" t="s">
        <v>1031</v>
      </c>
      <c r="B16" s="138" t="s">
        <v>1068</v>
      </c>
      <c r="C16" s="73" t="s">
        <v>1069</v>
      </c>
      <c r="D16" s="75" t="s">
        <v>1070</v>
      </c>
    </row>
    <row r="17" spans="1:4" ht="72.599999999999994" thickBot="1" x14ac:dyDescent="0.35">
      <c r="A17" s="645"/>
      <c r="B17" s="138" t="s">
        <v>1071</v>
      </c>
      <c r="C17" s="73" t="s">
        <v>1072</v>
      </c>
      <c r="D17" s="75" t="s">
        <v>1036</v>
      </c>
    </row>
    <row r="18" spans="1:4" ht="72.599999999999994" thickBot="1" x14ac:dyDescent="0.35">
      <c r="A18" s="73" t="s">
        <v>1041</v>
      </c>
      <c r="B18" s="138" t="s">
        <v>1073</v>
      </c>
      <c r="C18" s="73" t="s">
        <v>1074</v>
      </c>
      <c r="D18" s="75" t="s">
        <v>993</v>
      </c>
    </row>
    <row r="19" spans="1:4" ht="84.6" thickBot="1" x14ac:dyDescent="0.35">
      <c r="A19" s="410"/>
      <c r="B19" s="138" t="s">
        <v>1075</v>
      </c>
      <c r="C19" s="73" t="s">
        <v>1076</v>
      </c>
      <c r="D19" s="75" t="s">
        <v>993</v>
      </c>
    </row>
    <row r="20" spans="1:4" ht="60.6" thickBot="1" x14ac:dyDescent="0.35">
      <c r="A20" s="640" t="s">
        <v>1077</v>
      </c>
      <c r="B20" s="138" t="s">
        <v>1078</v>
      </c>
      <c r="C20" s="73" t="s">
        <v>1079</v>
      </c>
      <c r="D20" s="75" t="s">
        <v>1014</v>
      </c>
    </row>
    <row r="21" spans="1:4" ht="96.6" thickBot="1" x14ac:dyDescent="0.35">
      <c r="A21" s="642"/>
      <c r="B21" s="138" t="s">
        <v>1080</v>
      </c>
      <c r="C21" s="73" t="s">
        <v>1081</v>
      </c>
      <c r="D21" s="75" t="s">
        <v>1014</v>
      </c>
    </row>
    <row r="22" spans="1:4" ht="60.6" thickBot="1" x14ac:dyDescent="0.35">
      <c r="A22" s="642"/>
      <c r="B22" s="138" t="s">
        <v>1082</v>
      </c>
      <c r="C22" s="73" t="s">
        <v>1083</v>
      </c>
      <c r="D22" s="75" t="s">
        <v>993</v>
      </c>
    </row>
  </sheetData>
  <mergeCells count="4">
    <mergeCell ref="A5:A8"/>
    <mergeCell ref="A16:A17"/>
    <mergeCell ref="A9:A15"/>
    <mergeCell ref="A20:A22"/>
  </mergeCell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D08A4-9284-4359-A5AE-685783157724}">
  <dimension ref="A1:D17"/>
  <sheetViews>
    <sheetView topLeftCell="A4" workbookViewId="0">
      <selection activeCell="D4" sqref="D4"/>
    </sheetView>
  </sheetViews>
  <sheetFormatPr baseColWidth="10" defaultColWidth="11.44140625" defaultRowHeight="14.4" x14ac:dyDescent="0.3"/>
  <cols>
    <col min="1" max="1" width="12" customWidth="1"/>
    <col min="2" max="2" width="46.44140625" customWidth="1"/>
    <col min="3" max="4" width="13.44140625" customWidth="1"/>
  </cols>
  <sheetData>
    <row r="1" spans="1:4" x14ac:dyDescent="0.3">
      <c r="A1" t="s">
        <v>355</v>
      </c>
      <c r="B1">
        <v>85</v>
      </c>
    </row>
    <row r="2" spans="1:4" x14ac:dyDescent="0.3">
      <c r="A2" t="s">
        <v>5</v>
      </c>
      <c r="B2" t="s">
        <v>128</v>
      </c>
    </row>
    <row r="4" spans="1:4" ht="30.6" thickBot="1" x14ac:dyDescent="0.35">
      <c r="A4" s="46" t="s">
        <v>535</v>
      </c>
      <c r="B4" s="46" t="s">
        <v>1084</v>
      </c>
      <c r="C4" s="46" t="s">
        <v>1085</v>
      </c>
      <c r="D4" s="46" t="s">
        <v>1086</v>
      </c>
    </row>
    <row r="5" spans="1:4" ht="45.6" thickBot="1" x14ac:dyDescent="0.35">
      <c r="A5" s="48">
        <v>2020</v>
      </c>
      <c r="B5" s="48" t="s">
        <v>1087</v>
      </c>
      <c r="C5" s="48" t="s">
        <v>1088</v>
      </c>
      <c r="D5" s="48">
        <v>50</v>
      </c>
    </row>
    <row r="6" spans="1:4" ht="45.6" thickBot="1" x14ac:dyDescent="0.35">
      <c r="A6" s="48">
        <v>2021</v>
      </c>
      <c r="B6" s="48" t="s">
        <v>1089</v>
      </c>
      <c r="C6" s="48" t="s">
        <v>1088</v>
      </c>
      <c r="D6" s="48">
        <v>31</v>
      </c>
    </row>
    <row r="7" spans="1:4" ht="45.6" thickBot="1" x14ac:dyDescent="0.35">
      <c r="A7" s="48">
        <v>2021</v>
      </c>
      <c r="B7" s="48" t="s">
        <v>1090</v>
      </c>
      <c r="C7" s="48" t="s">
        <v>1091</v>
      </c>
      <c r="D7" s="48">
        <v>134</v>
      </c>
    </row>
    <row r="8" spans="1:4" ht="45.6" thickBot="1" x14ac:dyDescent="0.35">
      <c r="A8" s="48">
        <v>2022</v>
      </c>
      <c r="B8" s="48" t="s">
        <v>1092</v>
      </c>
      <c r="C8" s="48" t="s">
        <v>1091</v>
      </c>
      <c r="D8" s="48">
        <v>30</v>
      </c>
    </row>
    <row r="9" spans="1:4" ht="30.6" thickBot="1" x14ac:dyDescent="0.35">
      <c r="A9" s="48">
        <v>2022</v>
      </c>
      <c r="B9" s="48" t="s">
        <v>1093</v>
      </c>
      <c r="C9" s="48" t="s">
        <v>1094</v>
      </c>
      <c r="D9" s="48">
        <v>120</v>
      </c>
    </row>
    <row r="10" spans="1:4" ht="30.6" thickBot="1" x14ac:dyDescent="0.35">
      <c r="A10" s="48">
        <v>2023</v>
      </c>
      <c r="B10" s="48" t="s">
        <v>1095</v>
      </c>
      <c r="C10" s="48" t="s">
        <v>1091</v>
      </c>
      <c r="D10" s="48">
        <v>36</v>
      </c>
    </row>
    <row r="11" spans="1:4" ht="45.6" thickBot="1" x14ac:dyDescent="0.35">
      <c r="A11" s="48">
        <v>2023</v>
      </c>
      <c r="B11" s="48" t="s">
        <v>1096</v>
      </c>
      <c r="C11" s="48" t="s">
        <v>1097</v>
      </c>
      <c r="D11" s="48">
        <v>50</v>
      </c>
    </row>
    <row r="12" spans="1:4" ht="30.6" thickBot="1" x14ac:dyDescent="0.35">
      <c r="A12" s="48">
        <v>2023</v>
      </c>
      <c r="B12" s="48" t="s">
        <v>1098</v>
      </c>
      <c r="C12" s="48" t="s">
        <v>1094</v>
      </c>
      <c r="D12" s="48">
        <v>150</v>
      </c>
    </row>
    <row r="13" spans="1:4" ht="30.6" thickBot="1" x14ac:dyDescent="0.35">
      <c r="A13" s="48">
        <v>2024</v>
      </c>
      <c r="B13" s="48" t="s">
        <v>1099</v>
      </c>
      <c r="C13" s="48" t="s">
        <v>1094</v>
      </c>
      <c r="D13" s="48">
        <v>200</v>
      </c>
    </row>
    <row r="14" spans="1:4" ht="30" x14ac:dyDescent="0.3">
      <c r="A14" s="48">
        <v>2025</v>
      </c>
      <c r="B14" s="48" t="s">
        <v>1100</v>
      </c>
      <c r="C14" s="48" t="s">
        <v>1091</v>
      </c>
      <c r="D14" s="48">
        <v>44</v>
      </c>
    </row>
    <row r="15" spans="1:4" ht="30" x14ac:dyDescent="0.3">
      <c r="A15" s="48">
        <v>2025</v>
      </c>
      <c r="B15" s="48" t="s">
        <v>1101</v>
      </c>
      <c r="C15" s="48" t="s">
        <v>1091</v>
      </c>
      <c r="D15" s="48">
        <v>23</v>
      </c>
    </row>
    <row r="16" spans="1:4" ht="30" x14ac:dyDescent="0.3">
      <c r="A16" s="48">
        <v>2025</v>
      </c>
      <c r="B16" s="48" t="s">
        <v>1102</v>
      </c>
      <c r="C16" s="48" t="s">
        <v>1091</v>
      </c>
      <c r="D16" s="48">
        <v>28</v>
      </c>
    </row>
    <row r="17" spans="1:4" ht="15" x14ac:dyDescent="0.3">
      <c r="A17" s="48">
        <v>2026</v>
      </c>
      <c r="B17" s="48" t="s">
        <v>1103</v>
      </c>
      <c r="C17" s="48" t="s">
        <v>1104</v>
      </c>
      <c r="D17" s="48" t="s">
        <v>1104</v>
      </c>
    </row>
  </sheetData>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634A0-F3CC-45AD-8733-12523B8C2A1A}">
  <dimension ref="A1:C18"/>
  <sheetViews>
    <sheetView workbookViewId="0">
      <selection activeCell="A18" sqref="A18"/>
    </sheetView>
  </sheetViews>
  <sheetFormatPr baseColWidth="10" defaultColWidth="11.44140625" defaultRowHeight="14.4" x14ac:dyDescent="0.3"/>
  <cols>
    <col min="1" max="1" width="12" customWidth="1"/>
    <col min="2" max="4" width="13.44140625" customWidth="1"/>
  </cols>
  <sheetData>
    <row r="1" spans="1:3" x14ac:dyDescent="0.3">
      <c r="A1" t="s">
        <v>355</v>
      </c>
      <c r="B1">
        <v>9</v>
      </c>
    </row>
    <row r="2" spans="1:3" x14ac:dyDescent="0.3">
      <c r="A2" t="s">
        <v>5</v>
      </c>
      <c r="B2" t="s">
        <v>131</v>
      </c>
    </row>
    <row r="4" spans="1:3" ht="16.8" x14ac:dyDescent="0.3">
      <c r="A4" s="66"/>
      <c r="B4" s="66" t="s">
        <v>1105</v>
      </c>
      <c r="C4" s="66" t="s">
        <v>1106</v>
      </c>
    </row>
    <row r="5" spans="1:3" ht="16.8" x14ac:dyDescent="0.3">
      <c r="A5" s="139" t="s">
        <v>422</v>
      </c>
      <c r="B5" s="514">
        <v>4.3</v>
      </c>
      <c r="C5" s="514">
        <v>4.4000000000000004</v>
      </c>
    </row>
    <row r="6" spans="1:3" ht="16.8" x14ac:dyDescent="0.3">
      <c r="A6" s="139" t="s">
        <v>423</v>
      </c>
      <c r="B6" s="514">
        <v>4.4000000000000004</v>
      </c>
      <c r="C6" s="514">
        <v>4.4000000000000004</v>
      </c>
    </row>
    <row r="7" spans="1:3" ht="16.8" x14ac:dyDescent="0.3">
      <c r="A7" s="139" t="s">
        <v>424</v>
      </c>
      <c r="B7" s="514">
        <v>4.7</v>
      </c>
      <c r="C7" s="514">
        <v>4.7</v>
      </c>
    </row>
    <row r="8" spans="1:3" ht="16.8" x14ac:dyDescent="0.3">
      <c r="A8" s="139" t="s">
        <v>425</v>
      </c>
      <c r="B8" s="514">
        <v>4.7</v>
      </c>
      <c r="C8" s="514">
        <v>4.5</v>
      </c>
    </row>
    <row r="9" spans="1:3" ht="16.8" x14ac:dyDescent="0.3">
      <c r="A9" s="139" t="s">
        <v>426</v>
      </c>
      <c r="B9" s="514">
        <v>4.5</v>
      </c>
      <c r="C9" s="514">
        <v>4.5999999999999996</v>
      </c>
    </row>
    <row r="10" spans="1:3" ht="16.8" x14ac:dyDescent="0.3">
      <c r="A10" s="139" t="s">
        <v>427</v>
      </c>
      <c r="B10" s="514">
        <v>4.4000000000000004</v>
      </c>
      <c r="C10" s="514">
        <v>4.5999999999999996</v>
      </c>
    </row>
    <row r="11" spans="1:3" ht="16.8" x14ac:dyDescent="0.3">
      <c r="A11" s="139" t="s">
        <v>428</v>
      </c>
      <c r="B11" s="514">
        <v>4.4000000000000004</v>
      </c>
      <c r="C11" s="514">
        <v>4.4000000000000004</v>
      </c>
    </row>
    <row r="12" spans="1:3" ht="16.8" x14ac:dyDescent="0.3">
      <c r="A12" s="139" t="s">
        <v>429</v>
      </c>
      <c r="B12" s="514">
        <v>4.4000000000000004</v>
      </c>
      <c r="C12" s="514">
        <v>4.7</v>
      </c>
    </row>
    <row r="13" spans="1:3" ht="16.8" x14ac:dyDescent="0.3">
      <c r="A13" s="139" t="s">
        <v>430</v>
      </c>
      <c r="B13" s="514">
        <v>4.4000000000000004</v>
      </c>
      <c r="C13" s="514">
        <v>4.7</v>
      </c>
    </row>
    <row r="14" spans="1:3" ht="16.8" x14ac:dyDescent="0.3">
      <c r="A14" s="139" t="s">
        <v>358</v>
      </c>
      <c r="B14" s="514">
        <v>4.5</v>
      </c>
      <c r="C14" s="514">
        <v>4.7</v>
      </c>
    </row>
    <row r="15" spans="1:3" ht="16.8" x14ac:dyDescent="0.3">
      <c r="A15" s="139" t="s">
        <v>359</v>
      </c>
      <c r="B15" s="514">
        <v>4.5999999999999996</v>
      </c>
      <c r="C15" s="514">
        <v>4.7</v>
      </c>
    </row>
    <row r="16" spans="1:3" ht="16.8" x14ac:dyDescent="0.3">
      <c r="A16" s="139" t="s">
        <v>360</v>
      </c>
      <c r="B16" s="514">
        <v>4.5</v>
      </c>
      <c r="C16" s="514">
        <v>4.7</v>
      </c>
    </row>
    <row r="17" spans="1:3" ht="16.8" x14ac:dyDescent="0.3">
      <c r="A17" s="139" t="s">
        <v>361</v>
      </c>
      <c r="B17" s="514">
        <v>4.5999999999999996</v>
      </c>
      <c r="C17" s="514">
        <v>4.7</v>
      </c>
    </row>
    <row r="18" spans="1:3" ht="16.8" x14ac:dyDescent="0.3">
      <c r="A18" s="139" t="s">
        <v>362</v>
      </c>
      <c r="B18" s="514">
        <v>4.49</v>
      </c>
      <c r="C18" s="514">
        <v>4.7699999999999996</v>
      </c>
    </row>
  </sheetData>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7C205-6D7A-4C02-B200-F7F16C7BEFAE}">
  <dimension ref="A1:G5"/>
  <sheetViews>
    <sheetView zoomScale="93" zoomScaleNormal="190" workbookViewId="0">
      <selection activeCell="G5" sqref="G5"/>
    </sheetView>
  </sheetViews>
  <sheetFormatPr baseColWidth="10" defaultColWidth="11.44140625" defaultRowHeight="14.4" x14ac:dyDescent="0.3"/>
  <cols>
    <col min="1" max="1" width="12" customWidth="1"/>
    <col min="2" max="2" width="46.44140625" customWidth="1"/>
    <col min="3" max="4" width="13.44140625" customWidth="1"/>
  </cols>
  <sheetData>
    <row r="1" spans="1:7" x14ac:dyDescent="0.3">
      <c r="A1" t="s">
        <v>355</v>
      </c>
      <c r="B1">
        <v>87</v>
      </c>
    </row>
    <row r="2" spans="1:7" x14ac:dyDescent="0.3">
      <c r="A2" t="s">
        <v>5</v>
      </c>
      <c r="B2" t="s">
        <v>129</v>
      </c>
    </row>
    <row r="3" spans="1:7" ht="15" thickBot="1" x14ac:dyDescent="0.35"/>
    <row r="4" spans="1:7" ht="30.6" thickBot="1" x14ac:dyDescent="0.35">
      <c r="B4" s="140" t="s">
        <v>1107</v>
      </c>
      <c r="C4" s="140" t="s">
        <v>1108</v>
      </c>
      <c r="D4" s="140" t="s">
        <v>1109</v>
      </c>
      <c r="E4" s="140" t="s">
        <v>1110</v>
      </c>
      <c r="F4" s="140" t="s">
        <v>1111</v>
      </c>
      <c r="G4" s="140" t="s">
        <v>1112</v>
      </c>
    </row>
    <row r="5" spans="1:7" ht="15.6" thickBot="1" x14ac:dyDescent="0.35">
      <c r="B5" s="48" t="s">
        <v>1113</v>
      </c>
      <c r="C5" s="141">
        <v>0.86</v>
      </c>
      <c r="D5" s="105">
        <v>0.88400000000000001</v>
      </c>
      <c r="E5" s="105">
        <v>0.88839999999999997</v>
      </c>
      <c r="F5" s="105">
        <v>0.90100000000000002</v>
      </c>
      <c r="G5" s="105"/>
    </row>
  </sheetData>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54F8B-8EC3-4EA0-A57A-C663189A3F83}">
  <dimension ref="A1:C22"/>
  <sheetViews>
    <sheetView workbookViewId="0">
      <selection activeCell="F1" sqref="F1"/>
    </sheetView>
  </sheetViews>
  <sheetFormatPr baseColWidth="10" defaultColWidth="11.44140625" defaultRowHeight="14.4" x14ac:dyDescent="0.3"/>
  <cols>
    <col min="1" max="1" width="12" customWidth="1"/>
    <col min="2" max="2" width="13.44140625" customWidth="1"/>
    <col min="3" max="3" width="39.44140625" customWidth="1"/>
  </cols>
  <sheetData>
    <row r="1" spans="1:3" x14ac:dyDescent="0.3">
      <c r="A1" t="s">
        <v>355</v>
      </c>
      <c r="B1">
        <v>98</v>
      </c>
    </row>
    <row r="2" spans="1:3" x14ac:dyDescent="0.3">
      <c r="A2" t="s">
        <v>5</v>
      </c>
      <c r="B2" t="s">
        <v>134</v>
      </c>
    </row>
    <row r="4" spans="1:3" ht="27" thickBot="1" x14ac:dyDescent="0.35">
      <c r="A4" s="90" t="s">
        <v>1114</v>
      </c>
      <c r="B4" s="90" t="s">
        <v>1115</v>
      </c>
      <c r="C4" s="90" t="s">
        <v>1116</v>
      </c>
    </row>
    <row r="5" spans="1:3" ht="15" thickBot="1" x14ac:dyDescent="0.35">
      <c r="A5" s="646" t="s">
        <v>1117</v>
      </c>
      <c r="B5" s="646" t="s">
        <v>1118</v>
      </c>
      <c r="C5" s="356" t="s">
        <v>1119</v>
      </c>
    </row>
    <row r="6" spans="1:3" ht="89.25" customHeight="1" x14ac:dyDescent="0.3">
      <c r="A6" s="630"/>
      <c r="B6" s="630"/>
      <c r="C6" s="351" t="s">
        <v>1120</v>
      </c>
    </row>
    <row r="7" spans="1:3" ht="52.8" x14ac:dyDescent="0.3">
      <c r="A7" s="630"/>
      <c r="B7" s="630"/>
      <c r="C7" s="351" t="s">
        <v>1121</v>
      </c>
    </row>
    <row r="8" spans="1:3" ht="15" thickBot="1" x14ac:dyDescent="0.35">
      <c r="A8" s="630"/>
      <c r="B8" s="630"/>
      <c r="C8" s="345" t="s">
        <v>1122</v>
      </c>
    </row>
    <row r="9" spans="1:3" ht="39.6" x14ac:dyDescent="0.3">
      <c r="A9" s="630"/>
      <c r="B9" s="630"/>
      <c r="C9" s="351" t="s">
        <v>1123</v>
      </c>
    </row>
    <row r="10" spans="1:3" ht="79.2" x14ac:dyDescent="0.3">
      <c r="A10" s="630"/>
      <c r="B10" s="630"/>
      <c r="C10" s="351" t="s">
        <v>1124</v>
      </c>
    </row>
    <row r="11" spans="1:3" ht="15" thickBot="1" x14ac:dyDescent="0.35">
      <c r="A11" s="630"/>
      <c r="B11" s="630"/>
      <c r="C11" s="345" t="s">
        <v>1125</v>
      </c>
    </row>
    <row r="12" spans="1:3" ht="66" x14ac:dyDescent="0.3">
      <c r="A12" s="630"/>
      <c r="B12" s="630"/>
      <c r="C12" s="359" t="s">
        <v>1126</v>
      </c>
    </row>
    <row r="13" spans="1:3" ht="15" thickBot="1" x14ac:dyDescent="0.35">
      <c r="A13" s="630"/>
      <c r="B13" s="630"/>
      <c r="C13" s="345" t="s">
        <v>1127</v>
      </c>
    </row>
    <row r="14" spans="1:3" ht="52.8" x14ac:dyDescent="0.3">
      <c r="A14" s="630"/>
      <c r="B14" s="630"/>
      <c r="C14" s="359" t="s">
        <v>1128</v>
      </c>
    </row>
    <row r="15" spans="1:3" ht="15" thickBot="1" x14ac:dyDescent="0.35">
      <c r="A15" s="630"/>
      <c r="B15" s="630"/>
      <c r="C15" s="345" t="s">
        <v>1129</v>
      </c>
    </row>
    <row r="16" spans="1:3" ht="39.6" x14ac:dyDescent="0.3">
      <c r="A16" s="630"/>
      <c r="B16" s="630"/>
      <c r="C16" s="359" t="s">
        <v>1130</v>
      </c>
    </row>
    <row r="17" spans="1:3" ht="15" thickBot="1" x14ac:dyDescent="0.35">
      <c r="A17" s="630"/>
      <c r="B17" s="630"/>
      <c r="C17" s="345" t="s">
        <v>1131</v>
      </c>
    </row>
    <row r="18" spans="1:3" ht="115.5" customHeight="1" thickBot="1" x14ac:dyDescent="0.35">
      <c r="A18" s="345"/>
      <c r="B18" s="628"/>
      <c r="C18" s="346" t="s">
        <v>1132</v>
      </c>
    </row>
    <row r="19" spans="1:3" ht="27.75" customHeight="1" x14ac:dyDescent="0.3">
      <c r="A19" s="648" t="s">
        <v>1133</v>
      </c>
      <c r="B19" s="649" t="s">
        <v>1134</v>
      </c>
      <c r="C19" s="649"/>
    </row>
    <row r="20" spans="1:3" ht="43.5" customHeight="1" x14ac:dyDescent="0.3">
      <c r="A20" s="648"/>
      <c r="B20" s="649" t="s">
        <v>1135</v>
      </c>
      <c r="C20" s="649"/>
    </row>
    <row r="21" spans="1:3" ht="43.5" customHeight="1" x14ac:dyDescent="0.3">
      <c r="A21" s="648"/>
      <c r="B21" s="649" t="s">
        <v>1136</v>
      </c>
      <c r="C21" s="649"/>
    </row>
    <row r="22" spans="1:3" ht="43.5" customHeight="1" thickBot="1" x14ac:dyDescent="0.35">
      <c r="A22" s="102"/>
      <c r="B22" s="647" t="s">
        <v>1137</v>
      </c>
      <c r="C22" s="647"/>
    </row>
  </sheetData>
  <mergeCells count="7">
    <mergeCell ref="A5:A17"/>
    <mergeCell ref="B5:B18"/>
    <mergeCell ref="B22:C22"/>
    <mergeCell ref="A19:A21"/>
    <mergeCell ref="B19:C19"/>
    <mergeCell ref="B20:C20"/>
    <mergeCell ref="B21:C21"/>
  </mergeCell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82DCD-A635-4F61-BDFB-A1AB0E57A59C}">
  <dimension ref="A1:C47"/>
  <sheetViews>
    <sheetView workbookViewId="0">
      <selection activeCell="B1" sqref="B1"/>
    </sheetView>
  </sheetViews>
  <sheetFormatPr baseColWidth="10" defaultColWidth="11.44140625" defaultRowHeight="15.6" x14ac:dyDescent="0.35"/>
  <cols>
    <col min="1" max="1" width="12" style="352" customWidth="1"/>
    <col min="2" max="2" width="28.44140625" style="352" customWidth="1"/>
    <col min="3" max="3" width="39.44140625" style="352" customWidth="1"/>
    <col min="4" max="16384" width="11.44140625" style="352"/>
  </cols>
  <sheetData>
    <row r="1" spans="1:3" x14ac:dyDescent="0.35">
      <c r="A1" s="352" t="s">
        <v>355</v>
      </c>
      <c r="B1" s="352">
        <v>99</v>
      </c>
    </row>
    <row r="2" spans="1:3" x14ac:dyDescent="0.35">
      <c r="A2" s="352" t="s">
        <v>5</v>
      </c>
      <c r="B2" s="352" t="s">
        <v>138</v>
      </c>
    </row>
    <row r="4" spans="1:3" ht="26.4" x14ac:dyDescent="0.35">
      <c r="A4" s="90" t="s">
        <v>1114</v>
      </c>
      <c r="B4" s="90" t="s">
        <v>1115</v>
      </c>
      <c r="C4" s="90" t="s">
        <v>1116</v>
      </c>
    </row>
    <row r="5" spans="1:3" ht="16.2" thickBot="1" x14ac:dyDescent="0.4">
      <c r="A5" s="630" t="s">
        <v>1117</v>
      </c>
      <c r="B5" s="651" t="s">
        <v>1138</v>
      </c>
      <c r="C5" s="350" t="s">
        <v>1119</v>
      </c>
    </row>
    <row r="6" spans="1:3" ht="66.599999999999994" thickBot="1" x14ac:dyDescent="0.4">
      <c r="A6" s="630"/>
      <c r="B6" s="651"/>
      <c r="C6" s="358" t="s">
        <v>1139</v>
      </c>
    </row>
    <row r="7" spans="1:3" ht="16.2" thickBot="1" x14ac:dyDescent="0.4">
      <c r="A7" s="630"/>
      <c r="B7" s="651"/>
      <c r="C7" s="345" t="s">
        <v>1122</v>
      </c>
    </row>
    <row r="8" spans="1:3" ht="66" x14ac:dyDescent="0.35">
      <c r="A8" s="630"/>
      <c r="B8" s="651"/>
      <c r="C8" s="354" t="s">
        <v>1140</v>
      </c>
    </row>
    <row r="9" spans="1:3" ht="53.4" thickBot="1" x14ac:dyDescent="0.4">
      <c r="A9" s="630"/>
      <c r="B9" s="651"/>
      <c r="C9" s="357" t="s">
        <v>1141</v>
      </c>
    </row>
    <row r="10" spans="1:3" ht="16.2" thickBot="1" x14ac:dyDescent="0.4">
      <c r="A10" s="630"/>
      <c r="B10" s="651"/>
      <c r="C10" s="345" t="s">
        <v>1125</v>
      </c>
    </row>
    <row r="11" spans="1:3" ht="52.8" x14ac:dyDescent="0.35">
      <c r="A11" s="630"/>
      <c r="B11" s="651"/>
      <c r="C11" s="353" t="s">
        <v>1142</v>
      </c>
    </row>
    <row r="12" spans="1:3" ht="57.75" customHeight="1" x14ac:dyDescent="0.35">
      <c r="A12" s="630"/>
      <c r="B12" s="651"/>
      <c r="C12" s="354" t="s">
        <v>1143</v>
      </c>
    </row>
    <row r="13" spans="1:3" ht="59.25" customHeight="1" x14ac:dyDescent="0.35">
      <c r="A13" s="630"/>
      <c r="B13" s="651"/>
      <c r="C13" s="354" t="s">
        <v>1144</v>
      </c>
    </row>
    <row r="14" spans="1:3" ht="52.5" customHeight="1" x14ac:dyDescent="0.35">
      <c r="A14" s="630"/>
      <c r="B14" s="651"/>
      <c r="C14" s="354" t="s">
        <v>1145</v>
      </c>
    </row>
    <row r="15" spans="1:3" ht="52.5" customHeight="1" x14ac:dyDescent="0.35">
      <c r="A15" s="630"/>
      <c r="B15" s="651"/>
      <c r="C15" s="354" t="s">
        <v>1146</v>
      </c>
    </row>
    <row r="16" spans="1:3" ht="87.75" customHeight="1" x14ac:dyDescent="0.35">
      <c r="A16" s="630"/>
      <c r="B16" s="651"/>
      <c r="C16" s="354" t="s">
        <v>1147</v>
      </c>
    </row>
    <row r="17" spans="1:3" ht="96.75" customHeight="1" x14ac:dyDescent="0.35">
      <c r="A17" s="630"/>
      <c r="B17" s="651"/>
      <c r="C17" s="354" t="s">
        <v>1148</v>
      </c>
    </row>
    <row r="18" spans="1:3" ht="50.25" customHeight="1" x14ac:dyDescent="0.35">
      <c r="A18" s="630"/>
      <c r="B18" s="651"/>
      <c r="C18" s="354" t="s">
        <v>1149</v>
      </c>
    </row>
    <row r="19" spans="1:3" ht="50.25" customHeight="1" x14ac:dyDescent="0.35">
      <c r="A19" s="630"/>
      <c r="B19" s="651"/>
      <c r="C19" s="354" t="s">
        <v>1150</v>
      </c>
    </row>
    <row r="20" spans="1:3" ht="50.25" customHeight="1" x14ac:dyDescent="0.35">
      <c r="A20" s="630"/>
      <c r="B20" s="651"/>
      <c r="C20" s="354" t="s">
        <v>1151</v>
      </c>
    </row>
    <row r="21" spans="1:3" ht="52.8" x14ac:dyDescent="0.35">
      <c r="A21" s="630"/>
      <c r="B21" s="651"/>
      <c r="C21" s="354" t="s">
        <v>1152</v>
      </c>
    </row>
    <row r="22" spans="1:3" ht="37.5" customHeight="1" thickBot="1" x14ac:dyDescent="0.4">
      <c r="A22" s="630"/>
      <c r="B22" s="651"/>
      <c r="C22" s="357" t="s">
        <v>1153</v>
      </c>
    </row>
    <row r="23" spans="1:3" ht="16.2" thickBot="1" x14ac:dyDescent="0.4">
      <c r="A23" s="630"/>
      <c r="B23" s="651"/>
      <c r="C23" s="345" t="s">
        <v>1127</v>
      </c>
    </row>
    <row r="24" spans="1:3" ht="39.6" x14ac:dyDescent="0.35">
      <c r="A24" s="630"/>
      <c r="B24" s="651"/>
      <c r="C24" s="354" t="s">
        <v>1154</v>
      </c>
    </row>
    <row r="25" spans="1:3" ht="51" customHeight="1" x14ac:dyDescent="0.35">
      <c r="A25" s="630"/>
      <c r="B25" s="651"/>
      <c r="C25" s="354" t="s">
        <v>1155</v>
      </c>
    </row>
    <row r="26" spans="1:3" ht="51" customHeight="1" x14ac:dyDescent="0.35">
      <c r="A26" s="630"/>
      <c r="B26" s="651"/>
      <c r="C26" s="354" t="s">
        <v>1156</v>
      </c>
    </row>
    <row r="27" spans="1:3" ht="51" customHeight="1" x14ac:dyDescent="0.35">
      <c r="A27" s="630"/>
      <c r="B27" s="651"/>
      <c r="C27" s="354" t="s">
        <v>1157</v>
      </c>
    </row>
    <row r="28" spans="1:3" ht="88.5" customHeight="1" thickBot="1" x14ac:dyDescent="0.4">
      <c r="A28" s="630"/>
      <c r="B28" s="651"/>
      <c r="C28" s="357" t="s">
        <v>1158</v>
      </c>
    </row>
    <row r="29" spans="1:3" ht="16.2" thickBot="1" x14ac:dyDescent="0.4">
      <c r="A29" s="630"/>
      <c r="B29" s="651"/>
      <c r="C29" s="357" t="s">
        <v>1129</v>
      </c>
    </row>
    <row r="30" spans="1:3" ht="39.6" x14ac:dyDescent="0.35">
      <c r="A30" s="630"/>
      <c r="B30" s="651"/>
      <c r="C30" s="354" t="s">
        <v>1159</v>
      </c>
    </row>
    <row r="31" spans="1:3" ht="55.5" customHeight="1" x14ac:dyDescent="0.35">
      <c r="A31" s="630"/>
      <c r="B31" s="651"/>
      <c r="C31" s="353" t="s">
        <v>1160</v>
      </c>
    </row>
    <row r="32" spans="1:3" ht="47.25" customHeight="1" x14ac:dyDescent="0.35">
      <c r="A32" s="630"/>
      <c r="B32" s="651"/>
      <c r="C32" s="353" t="s">
        <v>1161</v>
      </c>
    </row>
    <row r="33" spans="1:3" ht="93" customHeight="1" x14ac:dyDescent="0.35">
      <c r="A33" s="630"/>
      <c r="B33" s="651"/>
      <c r="C33" s="353" t="s">
        <v>1162</v>
      </c>
    </row>
    <row r="34" spans="1:3" ht="96" customHeight="1" thickBot="1" x14ac:dyDescent="0.4">
      <c r="A34" s="630"/>
      <c r="B34" s="651"/>
      <c r="C34" s="355" t="s">
        <v>1163</v>
      </c>
    </row>
    <row r="35" spans="1:3" ht="16.2" thickBot="1" x14ac:dyDescent="0.4">
      <c r="A35" s="630"/>
      <c r="B35" s="651"/>
      <c r="C35" s="357" t="s">
        <v>1131</v>
      </c>
    </row>
    <row r="36" spans="1:3" ht="52.5" customHeight="1" x14ac:dyDescent="0.35">
      <c r="A36" s="630"/>
      <c r="B36" s="651"/>
      <c r="C36" s="354" t="s">
        <v>1164</v>
      </c>
    </row>
    <row r="37" spans="1:3" ht="50.25" customHeight="1" x14ac:dyDescent="0.35">
      <c r="A37" s="630"/>
      <c r="B37" s="651"/>
      <c r="C37" s="353" t="s">
        <v>1165</v>
      </c>
    </row>
    <row r="38" spans="1:3" ht="47.25" customHeight="1" x14ac:dyDescent="0.35">
      <c r="A38" s="630"/>
      <c r="B38" s="651"/>
      <c r="C38" s="353" t="s">
        <v>1166</v>
      </c>
    </row>
    <row r="39" spans="1:3" ht="84" customHeight="1" x14ac:dyDescent="0.35">
      <c r="A39" s="630"/>
      <c r="B39" s="651"/>
      <c r="C39" s="353" t="s">
        <v>1167</v>
      </c>
    </row>
    <row r="40" spans="1:3" ht="95.25" customHeight="1" thickBot="1" x14ac:dyDescent="0.4">
      <c r="A40" s="628"/>
      <c r="B40" s="652"/>
      <c r="C40" s="355" t="s">
        <v>1168</v>
      </c>
    </row>
    <row r="41" spans="1:3" ht="33.75" customHeight="1" x14ac:dyDescent="0.35">
      <c r="A41" s="648" t="s">
        <v>1133</v>
      </c>
      <c r="B41" s="651" t="s">
        <v>1169</v>
      </c>
      <c r="C41" s="651"/>
    </row>
    <row r="42" spans="1:3" ht="43.5" customHeight="1" x14ac:dyDescent="0.35">
      <c r="A42" s="648"/>
      <c r="B42" s="651" t="s">
        <v>1170</v>
      </c>
      <c r="C42" s="651"/>
    </row>
    <row r="43" spans="1:3" ht="55.5" customHeight="1" x14ac:dyDescent="0.35">
      <c r="A43" s="648"/>
      <c r="B43" s="651" t="s">
        <v>1171</v>
      </c>
      <c r="C43" s="651"/>
    </row>
    <row r="44" spans="1:3" ht="27" customHeight="1" x14ac:dyDescent="0.35">
      <c r="A44" s="648"/>
      <c r="B44" s="651" t="s">
        <v>1172</v>
      </c>
      <c r="C44" s="651"/>
    </row>
    <row r="45" spans="1:3" ht="37.5" customHeight="1" x14ac:dyDescent="0.35">
      <c r="A45" s="648"/>
      <c r="B45" s="651" t="s">
        <v>1173</v>
      </c>
      <c r="C45" s="651"/>
    </row>
    <row r="46" spans="1:3" ht="45" customHeight="1" x14ac:dyDescent="0.35">
      <c r="A46" s="648"/>
      <c r="B46" s="651" t="s">
        <v>1174</v>
      </c>
      <c r="C46" s="651"/>
    </row>
    <row r="47" spans="1:3" ht="34.5" customHeight="1" thickBot="1" x14ac:dyDescent="0.4">
      <c r="A47" s="650"/>
      <c r="B47" s="652" t="s">
        <v>1175</v>
      </c>
      <c r="C47" s="652"/>
    </row>
  </sheetData>
  <mergeCells count="10">
    <mergeCell ref="A5:A40"/>
    <mergeCell ref="A41:A47"/>
    <mergeCell ref="B41:C41"/>
    <mergeCell ref="B42:C42"/>
    <mergeCell ref="B43:C43"/>
    <mergeCell ref="B44:C44"/>
    <mergeCell ref="B45:C45"/>
    <mergeCell ref="B47:C47"/>
    <mergeCell ref="B46:C46"/>
    <mergeCell ref="B5:B40"/>
  </mergeCell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1A459-1392-4A36-9573-75CA57028602}">
  <dimension ref="A1:J8"/>
  <sheetViews>
    <sheetView workbookViewId="0">
      <selection activeCell="H9" sqref="H9"/>
    </sheetView>
  </sheetViews>
  <sheetFormatPr baseColWidth="10" defaultColWidth="11.44140625" defaultRowHeight="14.4" x14ac:dyDescent="0.3"/>
  <cols>
    <col min="1" max="1" width="12" customWidth="1"/>
    <col min="2" max="2" width="9.33203125" customWidth="1"/>
    <col min="3" max="4" width="5" bestFit="1" customWidth="1"/>
    <col min="5" max="7" width="6.44140625" bestFit="1" customWidth="1"/>
    <col min="8" max="9" width="6.44140625" customWidth="1"/>
    <col min="10" max="10" width="5.33203125" bestFit="1" customWidth="1"/>
  </cols>
  <sheetData>
    <row r="1" spans="1:10" x14ac:dyDescent="0.3">
      <c r="A1" t="s">
        <v>355</v>
      </c>
      <c r="B1">
        <v>100</v>
      </c>
    </row>
    <row r="2" spans="1:10" x14ac:dyDescent="0.3">
      <c r="A2" t="s">
        <v>5</v>
      </c>
      <c r="B2" t="s">
        <v>139</v>
      </c>
    </row>
    <row r="4" spans="1:10" ht="26.85" customHeight="1" thickBot="1" x14ac:dyDescent="0.35">
      <c r="A4" s="91" t="s">
        <v>467</v>
      </c>
      <c r="B4" s="91">
        <v>2021</v>
      </c>
      <c r="C4" s="91">
        <v>2022</v>
      </c>
      <c r="D4" s="91">
        <v>2023</v>
      </c>
      <c r="E4" s="91" t="s">
        <v>358</v>
      </c>
      <c r="F4" s="91" t="s">
        <v>359</v>
      </c>
      <c r="G4" s="91" t="s">
        <v>360</v>
      </c>
      <c r="H4" s="91" t="s">
        <v>361</v>
      </c>
      <c r="I4" s="91" t="s">
        <v>362</v>
      </c>
      <c r="J4" s="91" t="s">
        <v>466</v>
      </c>
    </row>
    <row r="5" spans="1:10" ht="40.200000000000003" thickBot="1" x14ac:dyDescent="0.35">
      <c r="A5" s="71" t="s">
        <v>1176</v>
      </c>
      <c r="B5" s="71">
        <v>70</v>
      </c>
      <c r="C5" s="71">
        <v>4</v>
      </c>
      <c r="D5" s="71">
        <v>10</v>
      </c>
      <c r="E5" s="71">
        <v>1</v>
      </c>
      <c r="F5" s="71">
        <v>9</v>
      </c>
      <c r="G5" s="71">
        <v>1</v>
      </c>
      <c r="H5" s="71"/>
      <c r="I5" s="71"/>
      <c r="J5" s="71">
        <f>+SUM(B5:I5)</f>
        <v>95</v>
      </c>
    </row>
    <row r="6" spans="1:10" ht="40.200000000000003" thickBot="1" x14ac:dyDescent="0.35">
      <c r="A6" s="344" t="s">
        <v>1177</v>
      </c>
      <c r="B6" s="344">
        <v>66</v>
      </c>
      <c r="C6" s="344">
        <v>5</v>
      </c>
      <c r="D6" s="344">
        <v>5</v>
      </c>
      <c r="E6" s="344"/>
      <c r="F6" s="344">
        <v>13</v>
      </c>
      <c r="G6" s="344">
        <v>1</v>
      </c>
      <c r="H6" s="344"/>
      <c r="I6" s="344"/>
      <c r="J6" s="344">
        <f>+SUM(B6:I6)</f>
        <v>90</v>
      </c>
    </row>
    <row r="7" spans="1:10" ht="40.200000000000003" thickBot="1" x14ac:dyDescent="0.35">
      <c r="A7" s="344" t="s">
        <v>1178</v>
      </c>
      <c r="B7" s="344">
        <v>94</v>
      </c>
      <c r="C7" s="344">
        <v>16</v>
      </c>
      <c r="D7" s="344">
        <v>34</v>
      </c>
      <c r="E7" s="344"/>
      <c r="F7" s="344">
        <v>10</v>
      </c>
      <c r="G7" s="344">
        <v>3</v>
      </c>
      <c r="H7" s="344"/>
      <c r="I7" s="344"/>
      <c r="J7" s="344">
        <f>+SUM(B7:I7)</f>
        <v>157</v>
      </c>
    </row>
    <row r="8" spans="1:10" ht="15" thickBot="1" x14ac:dyDescent="0.35">
      <c r="A8" s="360" t="s">
        <v>466</v>
      </c>
      <c r="B8" s="186">
        <v>230</v>
      </c>
      <c r="C8" s="186">
        <v>25</v>
      </c>
      <c r="D8" s="186">
        <v>50</v>
      </c>
      <c r="E8" s="186">
        <v>1</v>
      </c>
      <c r="F8" s="186">
        <f>SUM(F5:F7)</f>
        <v>32</v>
      </c>
      <c r="G8" s="186">
        <f>SUM(G5:G7)</f>
        <v>5</v>
      </c>
      <c r="H8" s="186"/>
      <c r="I8" s="186"/>
      <c r="J8" s="186">
        <f>+SUM(B8:I8)</f>
        <v>343</v>
      </c>
    </row>
  </sheetData>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605FB-E30D-4035-8B70-C9C642FB4A82}">
  <dimension ref="A1:L9"/>
  <sheetViews>
    <sheetView workbookViewId="0">
      <selection activeCell="J5" sqref="J5"/>
    </sheetView>
  </sheetViews>
  <sheetFormatPr baseColWidth="10" defaultColWidth="28.44140625" defaultRowHeight="14.4" x14ac:dyDescent="0.3"/>
  <cols>
    <col min="1" max="1" width="16.44140625" customWidth="1"/>
    <col min="2" max="2" width="11.44140625" customWidth="1"/>
    <col min="3" max="12" width="8.44140625" customWidth="1"/>
    <col min="13" max="16" width="5.44140625" customWidth="1"/>
  </cols>
  <sheetData>
    <row r="1" spans="1:12" x14ac:dyDescent="0.3">
      <c r="A1" t="s">
        <v>355</v>
      </c>
      <c r="B1">
        <v>199</v>
      </c>
    </row>
    <row r="2" spans="1:12" x14ac:dyDescent="0.3">
      <c r="A2" t="s">
        <v>5</v>
      </c>
      <c r="B2" t="s">
        <v>343</v>
      </c>
    </row>
    <row r="4" spans="1:12" ht="15" thickBot="1" x14ac:dyDescent="0.35"/>
    <row r="5" spans="1:12" ht="15" thickBot="1" x14ac:dyDescent="0.35">
      <c r="A5" s="206" t="s">
        <v>372</v>
      </c>
      <c r="B5" s="208" t="s">
        <v>425</v>
      </c>
      <c r="C5" s="208" t="s">
        <v>426</v>
      </c>
      <c r="D5" s="208" t="s">
        <v>427</v>
      </c>
      <c r="E5" s="208" t="s">
        <v>429</v>
      </c>
      <c r="F5" s="208" t="s">
        <v>430</v>
      </c>
      <c r="G5" s="208" t="s">
        <v>358</v>
      </c>
      <c r="H5" s="208" t="s">
        <v>359</v>
      </c>
      <c r="I5" s="208" t="s">
        <v>360</v>
      </c>
      <c r="J5" s="208" t="s">
        <v>361</v>
      </c>
      <c r="K5" s="208" t="s">
        <v>362</v>
      </c>
      <c r="L5" s="208" t="s">
        <v>466</v>
      </c>
    </row>
    <row r="6" spans="1:12" ht="46.2" thickBot="1" x14ac:dyDescent="0.35">
      <c r="A6" s="26" t="s">
        <v>375</v>
      </c>
      <c r="B6" s="26">
        <v>61</v>
      </c>
      <c r="C6" s="26">
        <v>10</v>
      </c>
      <c r="D6" s="26">
        <v>6</v>
      </c>
      <c r="E6" s="26">
        <v>4</v>
      </c>
      <c r="F6" s="26"/>
      <c r="G6" s="26">
        <v>4</v>
      </c>
      <c r="H6" s="26">
        <v>5</v>
      </c>
      <c r="I6" s="26">
        <v>3</v>
      </c>
      <c r="J6" s="26"/>
      <c r="K6" s="26"/>
      <c r="L6" s="26">
        <f>SUM(B6:K6)</f>
        <v>93</v>
      </c>
    </row>
    <row r="7" spans="1:12" ht="46.2" thickBot="1" x14ac:dyDescent="0.35">
      <c r="A7" s="26" t="s">
        <v>376</v>
      </c>
      <c r="B7" s="26">
        <v>64</v>
      </c>
      <c r="C7" s="26">
        <v>4</v>
      </c>
      <c r="D7" s="26">
        <v>5</v>
      </c>
      <c r="E7" s="26">
        <v>6</v>
      </c>
      <c r="F7" s="26"/>
      <c r="G7" s="26">
        <v>6</v>
      </c>
      <c r="H7" s="26">
        <v>3</v>
      </c>
      <c r="I7" s="26">
        <v>1</v>
      </c>
      <c r="J7" s="26"/>
      <c r="K7" s="26"/>
      <c r="L7" s="26">
        <f>SUM(B7:K7)</f>
        <v>89</v>
      </c>
    </row>
    <row r="8" spans="1:12" ht="46.2" thickBot="1" x14ac:dyDescent="0.35">
      <c r="A8" s="26" t="s">
        <v>377</v>
      </c>
      <c r="B8" s="26">
        <v>90</v>
      </c>
      <c r="C8" s="26">
        <v>21</v>
      </c>
      <c r="D8" s="26">
        <v>18</v>
      </c>
      <c r="E8" s="26">
        <v>16</v>
      </c>
      <c r="F8" s="26"/>
      <c r="G8" s="26">
        <v>8</v>
      </c>
      <c r="H8" s="26">
        <v>4</v>
      </c>
      <c r="I8" s="26">
        <v>3</v>
      </c>
      <c r="J8" s="26"/>
      <c r="K8" s="26"/>
      <c r="L8" s="26">
        <f>SUM(B8:K8)</f>
        <v>160</v>
      </c>
    </row>
    <row r="9" spans="1:12" ht="15" thickBot="1" x14ac:dyDescent="0.35">
      <c r="A9" s="236" t="s">
        <v>466</v>
      </c>
      <c r="B9" s="236">
        <v>215</v>
      </c>
      <c r="C9" s="236">
        <v>35</v>
      </c>
      <c r="D9" s="236">
        <v>29</v>
      </c>
      <c r="E9" s="236">
        <v>26</v>
      </c>
      <c r="F9" s="236"/>
      <c r="G9" s="236">
        <f>SUM(G6:G8)</f>
        <v>18</v>
      </c>
      <c r="H9" s="236">
        <f>SUM(H6:H8)</f>
        <v>12</v>
      </c>
      <c r="I9" s="236">
        <f>SUM(I6:I8)</f>
        <v>7</v>
      </c>
      <c r="J9" s="236"/>
      <c r="K9" s="236"/>
      <c r="L9" s="236">
        <f>SUM(B9:K9)</f>
        <v>342</v>
      </c>
    </row>
  </sheetData>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230AF-A0DF-466C-AF8D-A1EE997FC736}">
  <dimension ref="A1:O8"/>
  <sheetViews>
    <sheetView zoomScale="80" zoomScaleNormal="80" workbookViewId="0"/>
  </sheetViews>
  <sheetFormatPr baseColWidth="10" defaultColWidth="9.44140625" defaultRowHeight="14.4" x14ac:dyDescent="0.3"/>
  <cols>
    <col min="1" max="1" width="17.44140625" customWidth="1"/>
  </cols>
  <sheetData>
    <row r="1" spans="1:15" x14ac:dyDescent="0.3">
      <c r="A1" t="s">
        <v>355</v>
      </c>
      <c r="B1">
        <v>101</v>
      </c>
    </row>
    <row r="2" spans="1:15" x14ac:dyDescent="0.3">
      <c r="A2" t="s">
        <v>5</v>
      </c>
      <c r="B2" t="s">
        <v>140</v>
      </c>
    </row>
    <row r="3" spans="1:15" ht="15" thickBot="1" x14ac:dyDescent="0.35"/>
    <row r="4" spans="1:15" ht="26.85" customHeight="1" thickBot="1" x14ac:dyDescent="0.35">
      <c r="A4" s="85" t="s">
        <v>1179</v>
      </c>
      <c r="B4" s="143" t="s">
        <v>422</v>
      </c>
      <c r="C4" s="143" t="s">
        <v>423</v>
      </c>
      <c r="D4" s="143" t="s">
        <v>424</v>
      </c>
      <c r="E4" s="143" t="s">
        <v>425</v>
      </c>
      <c r="F4" s="143" t="s">
        <v>426</v>
      </c>
      <c r="G4" s="143" t="s">
        <v>427</v>
      </c>
      <c r="H4" s="143" t="s">
        <v>428</v>
      </c>
      <c r="I4" s="143" t="s">
        <v>429</v>
      </c>
      <c r="J4" s="143" t="s">
        <v>430</v>
      </c>
      <c r="K4" s="143" t="s">
        <v>358</v>
      </c>
      <c r="L4" s="143" t="s">
        <v>359</v>
      </c>
      <c r="M4" s="143" t="s">
        <v>360</v>
      </c>
      <c r="N4" s="143" t="s">
        <v>361</v>
      </c>
      <c r="O4" s="143" t="s">
        <v>362</v>
      </c>
    </row>
    <row r="5" spans="1:15" ht="15" thickBot="1" x14ac:dyDescent="0.35">
      <c r="A5" s="75" t="s">
        <v>542</v>
      </c>
      <c r="B5" s="75">
        <v>220</v>
      </c>
      <c r="C5" s="75">
        <v>436</v>
      </c>
      <c r="D5" s="75">
        <v>119</v>
      </c>
      <c r="E5" s="75">
        <v>335</v>
      </c>
      <c r="F5" s="75">
        <v>72</v>
      </c>
      <c r="G5" s="75">
        <v>85</v>
      </c>
      <c r="H5" s="75">
        <v>128</v>
      </c>
      <c r="I5" s="75">
        <v>85</v>
      </c>
      <c r="J5" s="75">
        <v>62</v>
      </c>
      <c r="K5" s="75">
        <v>321</v>
      </c>
      <c r="L5" s="75">
        <v>478</v>
      </c>
      <c r="M5" s="75">
        <v>946</v>
      </c>
      <c r="N5" s="75"/>
      <c r="O5" s="75"/>
    </row>
    <row r="6" spans="1:15" ht="36.6" thickBot="1" x14ac:dyDescent="0.35">
      <c r="A6" s="75" t="s">
        <v>541</v>
      </c>
      <c r="B6" s="75">
        <v>156</v>
      </c>
      <c r="C6" s="75">
        <v>293</v>
      </c>
      <c r="D6" s="75">
        <v>47</v>
      </c>
      <c r="E6" s="75">
        <v>133</v>
      </c>
      <c r="F6" s="75">
        <v>25</v>
      </c>
      <c r="G6" s="75">
        <v>51</v>
      </c>
      <c r="H6" s="75">
        <v>28</v>
      </c>
      <c r="I6" s="75">
        <v>18</v>
      </c>
      <c r="J6" s="75">
        <v>6</v>
      </c>
      <c r="K6" s="75">
        <v>282</v>
      </c>
      <c r="L6" s="75">
        <v>229</v>
      </c>
      <c r="M6" s="75">
        <v>640</v>
      </c>
      <c r="N6" s="75"/>
      <c r="O6" s="75"/>
    </row>
    <row r="7" spans="1:15" ht="15" thickBot="1" x14ac:dyDescent="0.35">
      <c r="A7" s="75" t="s">
        <v>539</v>
      </c>
      <c r="B7" s="75">
        <v>174</v>
      </c>
      <c r="C7" s="75">
        <v>444</v>
      </c>
      <c r="D7" s="75">
        <v>86</v>
      </c>
      <c r="E7" s="75">
        <v>298</v>
      </c>
      <c r="F7" s="75">
        <v>69</v>
      </c>
      <c r="G7" s="75">
        <v>79</v>
      </c>
      <c r="H7" s="75">
        <v>145</v>
      </c>
      <c r="I7" s="75">
        <v>65</v>
      </c>
      <c r="J7" s="75">
        <v>24</v>
      </c>
      <c r="K7" s="75">
        <v>129</v>
      </c>
      <c r="L7" s="75">
        <v>107</v>
      </c>
      <c r="M7" s="75">
        <v>97</v>
      </c>
      <c r="N7" s="75"/>
      <c r="O7" s="75"/>
    </row>
    <row r="8" spans="1:15" ht="15" thickBot="1" x14ac:dyDescent="0.35">
      <c r="A8" s="75" t="s">
        <v>538</v>
      </c>
      <c r="B8" s="75">
        <v>118</v>
      </c>
      <c r="C8" s="75">
        <v>303</v>
      </c>
      <c r="D8" s="75">
        <v>78</v>
      </c>
      <c r="E8" s="75">
        <v>138</v>
      </c>
      <c r="F8" s="75">
        <v>44</v>
      </c>
      <c r="G8" s="75">
        <v>102</v>
      </c>
      <c r="H8" s="75">
        <v>120</v>
      </c>
      <c r="I8" s="75">
        <v>35</v>
      </c>
      <c r="J8" s="75">
        <v>24</v>
      </c>
      <c r="K8" s="75">
        <v>6</v>
      </c>
      <c r="L8" s="75">
        <v>238</v>
      </c>
      <c r="M8" s="75">
        <v>13</v>
      </c>
      <c r="N8" s="75"/>
      <c r="O8" s="75"/>
    </row>
  </sheetData>
  <pageMargins left="0.7" right="0.7" top="0.75" bottom="0.75" header="0.3" footer="0.3"/>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E400-F605-452E-921C-83BF42EDAF5A}">
  <dimension ref="A1:J10"/>
  <sheetViews>
    <sheetView workbookViewId="0"/>
  </sheetViews>
  <sheetFormatPr baseColWidth="10" defaultColWidth="11.44140625" defaultRowHeight="14.4" x14ac:dyDescent="0.3"/>
  <cols>
    <col min="1" max="1" width="12" customWidth="1"/>
    <col min="2" max="2" width="19" customWidth="1"/>
    <col min="3" max="7" width="5.44140625" customWidth="1"/>
    <col min="8" max="10" width="8.44140625" customWidth="1"/>
  </cols>
  <sheetData>
    <row r="1" spans="1:10" x14ac:dyDescent="0.3">
      <c r="A1" t="s">
        <v>355</v>
      </c>
      <c r="B1">
        <v>105</v>
      </c>
    </row>
    <row r="2" spans="1:10" x14ac:dyDescent="0.3">
      <c r="A2" t="s">
        <v>5</v>
      </c>
      <c r="B2" t="s">
        <v>1180</v>
      </c>
    </row>
    <row r="3" spans="1:10" ht="15" thickBot="1" x14ac:dyDescent="0.35"/>
    <row r="4" spans="1:10" ht="28.5" customHeight="1" thickBot="1" x14ac:dyDescent="0.35">
      <c r="A4" s="653" t="s">
        <v>464</v>
      </c>
      <c r="B4" s="656" t="s">
        <v>1181</v>
      </c>
      <c r="C4" s="656"/>
      <c r="D4" s="656"/>
      <c r="E4" s="656"/>
      <c r="F4" s="656"/>
      <c r="G4" s="656"/>
      <c r="H4" s="656"/>
      <c r="I4" s="527"/>
      <c r="J4" s="637" t="s">
        <v>536</v>
      </c>
    </row>
    <row r="5" spans="1:10" ht="15" x14ac:dyDescent="0.3">
      <c r="A5" s="654"/>
      <c r="B5" s="67">
        <v>2019</v>
      </c>
      <c r="C5" s="67">
        <v>2020</v>
      </c>
      <c r="D5" s="67">
        <v>2021</v>
      </c>
      <c r="E5" s="46">
        <v>2022</v>
      </c>
      <c r="F5" s="46">
        <v>2023</v>
      </c>
      <c r="G5" s="46">
        <v>2024</v>
      </c>
      <c r="H5" s="46">
        <v>2025</v>
      </c>
      <c r="I5" s="46" t="s">
        <v>1182</v>
      </c>
      <c r="J5" s="655"/>
    </row>
    <row r="6" spans="1:10" ht="15" x14ac:dyDescent="0.3">
      <c r="A6" s="63" t="s">
        <v>454</v>
      </c>
      <c r="B6" s="63">
        <v>1</v>
      </c>
      <c r="C6" s="63">
        <v>0</v>
      </c>
      <c r="D6" s="63">
        <v>1</v>
      </c>
      <c r="E6" s="48">
        <v>0</v>
      </c>
      <c r="F6" s="48">
        <v>0</v>
      </c>
      <c r="G6" s="48">
        <v>0</v>
      </c>
      <c r="H6" s="456">
        <v>0</v>
      </c>
      <c r="I6" s="456">
        <v>0</v>
      </c>
      <c r="J6" s="457">
        <f>SUM(B6:H6)</f>
        <v>2</v>
      </c>
    </row>
    <row r="7" spans="1:10" ht="15" x14ac:dyDescent="0.3">
      <c r="A7" s="63" t="s">
        <v>455</v>
      </c>
      <c r="B7" s="63">
        <v>1</v>
      </c>
      <c r="C7" s="63">
        <v>2</v>
      </c>
      <c r="D7" s="63">
        <v>5</v>
      </c>
      <c r="E7" s="48">
        <v>4</v>
      </c>
      <c r="F7" s="48">
        <v>0</v>
      </c>
      <c r="G7" s="48">
        <v>2</v>
      </c>
      <c r="H7" s="29">
        <v>2</v>
      </c>
      <c r="I7" s="29">
        <v>4</v>
      </c>
      <c r="J7" s="457">
        <f>SUM(B7:H7)</f>
        <v>16</v>
      </c>
    </row>
    <row r="8" spans="1:10" ht="15" x14ac:dyDescent="0.3">
      <c r="A8" s="63" t="s">
        <v>456</v>
      </c>
      <c r="B8" s="63">
        <v>0</v>
      </c>
      <c r="C8" s="63">
        <v>1</v>
      </c>
      <c r="D8" s="63">
        <v>2</v>
      </c>
      <c r="E8" s="48">
        <v>0</v>
      </c>
      <c r="F8" s="48">
        <v>0</v>
      </c>
      <c r="G8" s="48">
        <v>0</v>
      </c>
      <c r="H8" s="29">
        <v>1</v>
      </c>
      <c r="I8" s="29">
        <v>4</v>
      </c>
      <c r="J8" s="457">
        <f>SUM(B8:H8)</f>
        <v>4</v>
      </c>
    </row>
    <row r="9" spans="1:10" ht="15" x14ac:dyDescent="0.3">
      <c r="A9" s="63" t="s">
        <v>457</v>
      </c>
      <c r="B9" s="63">
        <v>2</v>
      </c>
      <c r="C9" s="63">
        <v>0</v>
      </c>
      <c r="D9" s="63">
        <v>3</v>
      </c>
      <c r="E9" s="48">
        <v>1</v>
      </c>
      <c r="F9" s="48">
        <v>1</v>
      </c>
      <c r="G9" s="48">
        <v>3</v>
      </c>
      <c r="H9" s="29">
        <v>5</v>
      </c>
      <c r="I9" s="29">
        <v>2</v>
      </c>
      <c r="J9" s="457">
        <f>SUM(B9:H9)</f>
        <v>15</v>
      </c>
    </row>
    <row r="10" spans="1:10" ht="15" x14ac:dyDescent="0.3">
      <c r="A10" s="64" t="s">
        <v>536</v>
      </c>
      <c r="B10" s="64">
        <v>4</v>
      </c>
      <c r="C10" s="64">
        <v>3</v>
      </c>
      <c r="D10" s="64">
        <v>11</v>
      </c>
      <c r="E10" s="106">
        <v>5</v>
      </c>
      <c r="F10" s="106">
        <v>1</v>
      </c>
      <c r="G10" s="106">
        <v>5</v>
      </c>
      <c r="H10" s="236">
        <f>SUM(H6:H9)</f>
        <v>8</v>
      </c>
      <c r="I10" s="236">
        <f>SUM(I6:I9)</f>
        <v>10</v>
      </c>
      <c r="J10" s="458">
        <f>SUM(J6:J9)</f>
        <v>37</v>
      </c>
    </row>
  </sheetData>
  <mergeCells count="3">
    <mergeCell ref="A4:A5"/>
    <mergeCell ref="J4:J5"/>
    <mergeCell ref="B4:H4"/>
  </mergeCells>
  <pageMargins left="0.7" right="0.7" top="0.75" bottom="0.75" header="0.3" footer="0.3"/>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316DC-D2E1-4F98-AB05-E04129262823}">
  <dimension ref="A1:I17"/>
  <sheetViews>
    <sheetView zoomScale="84" zoomScaleNormal="130" workbookViewId="0">
      <selection activeCell="A20" sqref="A20"/>
    </sheetView>
  </sheetViews>
  <sheetFormatPr baseColWidth="10" defaultColWidth="11.44140625" defaultRowHeight="14.4" x14ac:dyDescent="0.3"/>
  <cols>
    <col min="1" max="1" width="65.44140625" customWidth="1"/>
    <col min="2" max="2" width="6.44140625" customWidth="1"/>
    <col min="3" max="6" width="5.44140625" customWidth="1"/>
    <col min="7" max="7" width="8.44140625" customWidth="1"/>
    <col min="8" max="9" width="13" customWidth="1"/>
  </cols>
  <sheetData>
    <row r="1" spans="1:9" x14ac:dyDescent="0.3">
      <c r="A1" t="s">
        <v>355</v>
      </c>
      <c r="B1">
        <v>108</v>
      </c>
    </row>
    <row r="2" spans="1:9" x14ac:dyDescent="0.3">
      <c r="A2" t="s">
        <v>5</v>
      </c>
      <c r="B2" t="s">
        <v>1183</v>
      </c>
    </row>
    <row r="4" spans="1:9" ht="15.6" thickBot="1" x14ac:dyDescent="0.35">
      <c r="A4" s="46" t="s">
        <v>1184</v>
      </c>
      <c r="B4" s="50">
        <v>2019</v>
      </c>
      <c r="C4" s="50">
        <v>2020</v>
      </c>
      <c r="D4" s="50">
        <v>2021</v>
      </c>
      <c r="E4" s="50">
        <v>2022</v>
      </c>
      <c r="F4" s="50">
        <v>2023</v>
      </c>
      <c r="G4" s="50">
        <v>2024</v>
      </c>
      <c r="H4" s="50">
        <v>2025</v>
      </c>
      <c r="I4" s="50" t="s">
        <v>362</v>
      </c>
    </row>
    <row r="5" spans="1:9" x14ac:dyDescent="0.3">
      <c r="A5" s="412" t="s">
        <v>2174</v>
      </c>
      <c r="B5" s="413" t="s">
        <v>1185</v>
      </c>
      <c r="C5" s="413" t="s">
        <v>1185</v>
      </c>
      <c r="D5" s="413" t="s">
        <v>1185</v>
      </c>
      <c r="E5" s="413">
        <v>631</v>
      </c>
      <c r="F5" s="413">
        <v>1961</v>
      </c>
      <c r="G5" s="413">
        <v>2283</v>
      </c>
      <c r="H5" s="544">
        <v>657</v>
      </c>
      <c r="I5" s="544">
        <v>1045</v>
      </c>
    </row>
    <row r="6" spans="1:9" x14ac:dyDescent="0.3">
      <c r="A6" s="412" t="s">
        <v>2175</v>
      </c>
      <c r="B6" s="413">
        <v>679</v>
      </c>
      <c r="C6" s="413">
        <v>1380</v>
      </c>
      <c r="D6" s="413">
        <v>612</v>
      </c>
      <c r="E6" s="413">
        <v>900</v>
      </c>
      <c r="F6" s="413">
        <v>622</v>
      </c>
      <c r="G6" s="413">
        <v>485</v>
      </c>
      <c r="H6" s="544">
        <v>517</v>
      </c>
      <c r="I6" s="544">
        <v>497</v>
      </c>
    </row>
    <row r="7" spans="1:9" x14ac:dyDescent="0.3">
      <c r="A7" s="412" t="s">
        <v>2176</v>
      </c>
      <c r="B7" s="413" t="s">
        <v>1185</v>
      </c>
      <c r="C7" s="413" t="s">
        <v>1185</v>
      </c>
      <c r="D7" s="413" t="s">
        <v>1185</v>
      </c>
      <c r="E7" s="413" t="s">
        <v>1185</v>
      </c>
      <c r="F7" s="413">
        <v>1690</v>
      </c>
      <c r="G7" s="413">
        <v>690</v>
      </c>
      <c r="H7" s="544">
        <v>773</v>
      </c>
      <c r="I7" s="544">
        <v>537</v>
      </c>
    </row>
    <row r="8" spans="1:9" x14ac:dyDescent="0.3">
      <c r="A8" s="412" t="s">
        <v>2177</v>
      </c>
      <c r="B8" s="413">
        <v>737</v>
      </c>
      <c r="C8" s="413">
        <v>1006</v>
      </c>
      <c r="D8" s="413">
        <v>899</v>
      </c>
      <c r="E8" s="413">
        <v>792</v>
      </c>
      <c r="F8" s="413">
        <v>681</v>
      </c>
      <c r="G8" s="413">
        <v>1013</v>
      </c>
      <c r="H8" s="544">
        <v>866</v>
      </c>
      <c r="I8" s="544">
        <v>923</v>
      </c>
    </row>
    <row r="9" spans="1:9" x14ac:dyDescent="0.3">
      <c r="A9" s="412" t="s">
        <v>2178</v>
      </c>
      <c r="B9" s="413">
        <v>17</v>
      </c>
      <c r="C9" s="413">
        <v>7</v>
      </c>
      <c r="D9" s="413">
        <v>17</v>
      </c>
      <c r="E9" s="413">
        <v>18</v>
      </c>
      <c r="F9" s="413">
        <v>6</v>
      </c>
      <c r="G9" s="413">
        <v>18</v>
      </c>
      <c r="H9" s="544">
        <v>13</v>
      </c>
      <c r="I9" s="544">
        <v>1</v>
      </c>
    </row>
    <row r="10" spans="1:9" x14ac:dyDescent="0.3">
      <c r="A10" s="412" t="s">
        <v>2179</v>
      </c>
      <c r="B10" s="413">
        <v>5</v>
      </c>
      <c r="C10" s="413" t="s">
        <v>1185</v>
      </c>
      <c r="D10" s="413">
        <v>23</v>
      </c>
      <c r="E10" s="413">
        <v>5</v>
      </c>
      <c r="F10" s="413">
        <v>8</v>
      </c>
      <c r="G10" s="413">
        <v>20</v>
      </c>
      <c r="H10" s="544">
        <v>20</v>
      </c>
      <c r="I10" s="544">
        <v>12</v>
      </c>
    </row>
    <row r="11" spans="1:9" x14ac:dyDescent="0.3">
      <c r="A11" s="412" t="s">
        <v>2180</v>
      </c>
      <c r="B11" s="413" t="s">
        <v>1185</v>
      </c>
      <c r="C11" s="413">
        <v>3</v>
      </c>
      <c r="D11" s="413">
        <v>12</v>
      </c>
      <c r="E11" s="413">
        <v>8</v>
      </c>
      <c r="F11" s="413">
        <v>9</v>
      </c>
      <c r="G11" s="413">
        <v>9</v>
      </c>
      <c r="H11" s="544">
        <v>14</v>
      </c>
      <c r="I11" s="544">
        <v>20</v>
      </c>
    </row>
    <row r="12" spans="1:9" x14ac:dyDescent="0.3">
      <c r="A12" s="412" t="s">
        <v>2181</v>
      </c>
      <c r="B12" s="413"/>
      <c r="C12" s="413"/>
      <c r="D12" s="413"/>
      <c r="E12" s="413"/>
      <c r="F12" s="413"/>
      <c r="G12" s="413">
        <v>675</v>
      </c>
      <c r="H12" s="544">
        <v>431</v>
      </c>
      <c r="I12" s="544">
        <v>83</v>
      </c>
    </row>
    <row r="13" spans="1:9" x14ac:dyDescent="0.3">
      <c r="A13" s="412" t="s">
        <v>1186</v>
      </c>
      <c r="B13" s="413"/>
      <c r="C13" s="413"/>
      <c r="D13" s="413"/>
      <c r="E13" s="413"/>
      <c r="F13" s="413"/>
      <c r="G13" s="413"/>
      <c r="H13" s="544">
        <v>434</v>
      </c>
      <c r="I13" s="544">
        <v>63</v>
      </c>
    </row>
    <row r="14" spans="1:9" x14ac:dyDescent="0.3">
      <c r="A14" s="341" t="s">
        <v>2182</v>
      </c>
      <c r="B14" s="328"/>
      <c r="C14" s="328"/>
      <c r="D14" s="328"/>
      <c r="E14" s="328"/>
      <c r="F14" s="328"/>
      <c r="G14" s="328"/>
      <c r="H14" s="591">
        <v>2023</v>
      </c>
      <c r="I14" s="591">
        <v>1568</v>
      </c>
    </row>
    <row r="15" spans="1:9" x14ac:dyDescent="0.3">
      <c r="A15" s="341" t="s">
        <v>1187</v>
      </c>
      <c r="B15" s="328"/>
      <c r="C15" s="328"/>
      <c r="D15" s="328"/>
      <c r="E15" s="328"/>
      <c r="F15" s="328"/>
      <c r="G15" s="328"/>
      <c r="H15" s="591"/>
      <c r="I15" s="591">
        <v>265</v>
      </c>
    </row>
    <row r="16" spans="1:9" ht="15.6" thickBot="1" x14ac:dyDescent="0.35">
      <c r="A16" s="144" t="s">
        <v>1188</v>
      </c>
      <c r="B16" s="144">
        <v>1438</v>
      </c>
      <c r="C16" s="144">
        <v>2396</v>
      </c>
      <c r="D16" s="144">
        <v>1563</v>
      </c>
      <c r="E16" s="144">
        <v>2354</v>
      </c>
      <c r="F16" s="336">
        <v>4977</v>
      </c>
      <c r="G16" s="144">
        <f>SUM(G5:G12)</f>
        <v>5193</v>
      </c>
      <c r="H16" s="144">
        <f>SUM(H5:H14)</f>
        <v>5748</v>
      </c>
      <c r="I16" s="144">
        <f>SUM(I5:I15)</f>
        <v>5014</v>
      </c>
    </row>
    <row r="17" spans="1:9" ht="15" x14ac:dyDescent="0.3">
      <c r="A17" s="145" t="s">
        <v>1189</v>
      </c>
      <c r="B17" s="47">
        <v>106</v>
      </c>
      <c r="C17" s="47">
        <v>127</v>
      </c>
      <c r="D17" s="47">
        <v>133</v>
      </c>
      <c r="E17" s="47">
        <v>124</v>
      </c>
      <c r="F17" s="47">
        <v>133</v>
      </c>
      <c r="G17" s="47">
        <v>124</v>
      </c>
      <c r="H17" s="47">
        <v>115</v>
      </c>
      <c r="I17" s="591">
        <v>122</v>
      </c>
    </row>
  </sheetData>
  <pageMargins left="0.7" right="0.7" top="0.75" bottom="0.75" header="0.3" footer="0.3"/>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0EA2E-F9FE-4E83-98C3-2C59934FAB0E}">
  <dimension ref="A1:H23"/>
  <sheetViews>
    <sheetView workbookViewId="0"/>
  </sheetViews>
  <sheetFormatPr baseColWidth="10" defaultColWidth="11.44140625" defaultRowHeight="14.4" x14ac:dyDescent="0.3"/>
  <cols>
    <col min="1" max="1" width="44.44140625" customWidth="1"/>
    <col min="2" max="2" width="6.44140625" customWidth="1"/>
    <col min="3" max="4" width="5.44140625" customWidth="1"/>
  </cols>
  <sheetData>
    <row r="1" spans="1:8" x14ac:dyDescent="0.3">
      <c r="A1" t="s">
        <v>355</v>
      </c>
      <c r="B1">
        <v>110</v>
      </c>
    </row>
    <row r="2" spans="1:8" x14ac:dyDescent="0.3">
      <c r="A2" t="s">
        <v>5</v>
      </c>
      <c r="B2" t="s">
        <v>319</v>
      </c>
    </row>
    <row r="3" spans="1:8" ht="15" thickBot="1" x14ac:dyDescent="0.35">
      <c r="G3" s="405" t="s">
        <v>1190</v>
      </c>
    </row>
    <row r="4" spans="1:8" ht="15" thickBot="1" x14ac:dyDescent="0.35">
      <c r="A4" s="58" t="s">
        <v>468</v>
      </c>
      <c r="B4" s="58" t="s">
        <v>467</v>
      </c>
      <c r="C4" s="58">
        <v>2018</v>
      </c>
      <c r="D4" s="58">
        <v>2022</v>
      </c>
      <c r="E4" s="58">
        <v>2023</v>
      </c>
      <c r="F4" s="58">
        <v>2024</v>
      </c>
      <c r="G4" s="116" t="s">
        <v>360</v>
      </c>
      <c r="H4" s="116">
        <v>2026</v>
      </c>
    </row>
    <row r="5" spans="1:8" ht="15" thickBot="1" x14ac:dyDescent="0.35">
      <c r="A5" s="71" t="s">
        <v>482</v>
      </c>
      <c r="B5" s="71" t="s">
        <v>401</v>
      </c>
      <c r="C5" s="61" t="s">
        <v>474</v>
      </c>
      <c r="D5" s="61" t="s">
        <v>476</v>
      </c>
      <c r="E5" s="61" t="s">
        <v>476</v>
      </c>
      <c r="F5" s="61" t="s">
        <v>476</v>
      </c>
      <c r="G5" s="61" t="s">
        <v>483</v>
      </c>
      <c r="H5" s="61" t="s">
        <v>483</v>
      </c>
    </row>
    <row r="6" spans="1:8" ht="15" thickBot="1" x14ac:dyDescent="0.35">
      <c r="A6" s="71" t="s">
        <v>487</v>
      </c>
      <c r="B6" s="71" t="s">
        <v>401</v>
      </c>
      <c r="C6" s="61" t="s">
        <v>474</v>
      </c>
      <c r="D6" s="61" t="s">
        <v>476</v>
      </c>
      <c r="E6" s="61" t="s">
        <v>476</v>
      </c>
      <c r="F6" s="61" t="s">
        <v>476</v>
      </c>
      <c r="G6" s="61" t="s">
        <v>474</v>
      </c>
      <c r="H6" s="61" t="s">
        <v>474</v>
      </c>
    </row>
    <row r="7" spans="1:8" ht="15" thickBot="1" x14ac:dyDescent="0.35">
      <c r="A7" s="71" t="s">
        <v>481</v>
      </c>
      <c r="B7" s="71" t="s">
        <v>401</v>
      </c>
      <c r="C7" s="61" t="s">
        <v>472</v>
      </c>
      <c r="D7" s="61" t="s">
        <v>476</v>
      </c>
      <c r="E7" s="61" t="s">
        <v>476</v>
      </c>
      <c r="F7" s="61" t="s">
        <v>476</v>
      </c>
      <c r="G7" s="61" t="s">
        <v>472</v>
      </c>
      <c r="H7" s="61" t="s">
        <v>472</v>
      </c>
    </row>
    <row r="8" spans="1:8" ht="15" thickBot="1" x14ac:dyDescent="0.35">
      <c r="A8" s="71" t="s">
        <v>490</v>
      </c>
      <c r="B8" s="71" t="s">
        <v>393</v>
      </c>
      <c r="C8" s="61" t="s">
        <v>474</v>
      </c>
      <c r="D8" s="61" t="s">
        <v>476</v>
      </c>
      <c r="E8" s="61" t="s">
        <v>476</v>
      </c>
      <c r="F8" s="61" t="s">
        <v>476</v>
      </c>
      <c r="G8" s="61" t="s">
        <v>472</v>
      </c>
      <c r="H8" s="61" t="s">
        <v>472</v>
      </c>
    </row>
    <row r="9" spans="1:8" ht="15" thickBot="1" x14ac:dyDescent="0.35">
      <c r="A9" s="71" t="s">
        <v>471</v>
      </c>
      <c r="B9" s="71" t="s">
        <v>385</v>
      </c>
      <c r="C9" s="61" t="s">
        <v>476</v>
      </c>
      <c r="D9" s="61" t="s">
        <v>472</v>
      </c>
      <c r="E9" s="61" t="s">
        <v>472</v>
      </c>
      <c r="F9" s="61" t="s">
        <v>472</v>
      </c>
      <c r="G9" s="61" t="s">
        <v>472</v>
      </c>
      <c r="H9" s="61" t="s">
        <v>472</v>
      </c>
    </row>
    <row r="10" spans="1:8" ht="15" thickBot="1" x14ac:dyDescent="0.35">
      <c r="A10" s="71" t="s">
        <v>480</v>
      </c>
      <c r="B10" s="71" t="s">
        <v>401</v>
      </c>
      <c r="C10" s="61" t="s">
        <v>474</v>
      </c>
      <c r="D10" s="61" t="s">
        <v>476</v>
      </c>
      <c r="E10" s="61" t="s">
        <v>476</v>
      </c>
      <c r="F10" s="61" t="s">
        <v>476</v>
      </c>
      <c r="G10" s="61" t="s">
        <v>472</v>
      </c>
      <c r="H10" s="61" t="s">
        <v>472</v>
      </c>
    </row>
    <row r="11" spans="1:8" ht="27" thickBot="1" x14ac:dyDescent="0.35">
      <c r="A11" s="71" t="s">
        <v>492</v>
      </c>
      <c r="B11" s="71" t="s">
        <v>393</v>
      </c>
      <c r="C11" s="61" t="s">
        <v>515</v>
      </c>
      <c r="D11" s="61" t="s">
        <v>474</v>
      </c>
      <c r="E11" s="61" t="s">
        <v>474</v>
      </c>
      <c r="F11" s="61" t="s">
        <v>474</v>
      </c>
      <c r="G11" s="61" t="s">
        <v>476</v>
      </c>
      <c r="H11" s="61" t="s">
        <v>476</v>
      </c>
    </row>
    <row r="12" spans="1:8" ht="15" thickBot="1" x14ac:dyDescent="0.35">
      <c r="A12" s="71" t="s">
        <v>485</v>
      </c>
      <c r="B12" s="71" t="s">
        <v>401</v>
      </c>
      <c r="C12" s="61" t="s">
        <v>515</v>
      </c>
      <c r="D12" s="61" t="s">
        <v>474</v>
      </c>
      <c r="E12" s="61" t="s">
        <v>474</v>
      </c>
      <c r="F12" s="61" t="s">
        <v>474</v>
      </c>
      <c r="G12" s="61" t="s">
        <v>474</v>
      </c>
      <c r="H12" s="61" t="s">
        <v>474</v>
      </c>
    </row>
    <row r="13" spans="1:8" ht="15" thickBot="1" x14ac:dyDescent="0.35">
      <c r="A13" s="71" t="s">
        <v>491</v>
      </c>
      <c r="B13" s="71" t="s">
        <v>393</v>
      </c>
      <c r="C13" s="61" t="s">
        <v>515</v>
      </c>
      <c r="D13" s="61" t="s">
        <v>474</v>
      </c>
      <c r="E13" s="61" t="s">
        <v>474</v>
      </c>
      <c r="F13" s="61" t="s">
        <v>474</v>
      </c>
      <c r="G13" s="61" t="s">
        <v>476</v>
      </c>
      <c r="H13" s="61" t="s">
        <v>476</v>
      </c>
    </row>
    <row r="14" spans="1:8" ht="15" thickBot="1" x14ac:dyDescent="0.35">
      <c r="A14" s="71" t="s">
        <v>473</v>
      </c>
      <c r="B14" s="71" t="s">
        <v>385</v>
      </c>
      <c r="C14" s="61" t="s">
        <v>515</v>
      </c>
      <c r="D14" s="61" t="s">
        <v>474</v>
      </c>
      <c r="E14" s="61" t="s">
        <v>474</v>
      </c>
      <c r="F14" s="61" t="s">
        <v>474</v>
      </c>
      <c r="G14" s="61" t="s">
        <v>474</v>
      </c>
      <c r="H14" s="61" t="s">
        <v>474</v>
      </c>
    </row>
    <row r="15" spans="1:8" ht="15" thickBot="1" x14ac:dyDescent="0.35">
      <c r="A15" s="71" t="s">
        <v>484</v>
      </c>
      <c r="B15" s="71" t="s">
        <v>401</v>
      </c>
      <c r="C15" s="61" t="s">
        <v>515</v>
      </c>
      <c r="D15" s="61" t="s">
        <v>474</v>
      </c>
      <c r="E15" s="61" t="s">
        <v>474</v>
      </c>
      <c r="F15" s="61" t="s">
        <v>474</v>
      </c>
      <c r="G15" s="61" t="s">
        <v>476</v>
      </c>
      <c r="H15" s="61" t="s">
        <v>476</v>
      </c>
    </row>
    <row r="16" spans="1:8" ht="27" thickBot="1" x14ac:dyDescent="0.35">
      <c r="A16" s="71" t="s">
        <v>475</v>
      </c>
      <c r="B16" s="71" t="s">
        <v>385</v>
      </c>
      <c r="C16" s="61" t="s">
        <v>515</v>
      </c>
      <c r="D16" s="61" t="s">
        <v>478</v>
      </c>
      <c r="E16" s="61" t="s">
        <v>478</v>
      </c>
      <c r="F16" s="61" t="s">
        <v>478</v>
      </c>
      <c r="G16" s="61" t="s">
        <v>476</v>
      </c>
      <c r="H16" s="61" t="s">
        <v>476</v>
      </c>
    </row>
    <row r="17" spans="1:8" ht="15" thickBot="1" x14ac:dyDescent="0.35">
      <c r="A17" s="71" t="s">
        <v>486</v>
      </c>
      <c r="B17" s="71" t="s">
        <v>401</v>
      </c>
      <c r="C17" s="61" t="s">
        <v>515</v>
      </c>
      <c r="D17" s="61" t="s">
        <v>515</v>
      </c>
      <c r="E17" s="61" t="s">
        <v>515</v>
      </c>
      <c r="F17" s="61" t="s">
        <v>515</v>
      </c>
      <c r="G17" s="61" t="s">
        <v>474</v>
      </c>
      <c r="H17" s="61" t="s">
        <v>474</v>
      </c>
    </row>
    <row r="18" spans="1:8" ht="27" thickBot="1" x14ac:dyDescent="0.35">
      <c r="A18" s="71" t="s">
        <v>488</v>
      </c>
      <c r="B18" s="71" t="s">
        <v>401</v>
      </c>
      <c r="C18" s="61" t="s">
        <v>515</v>
      </c>
      <c r="D18" s="61" t="s">
        <v>515</v>
      </c>
      <c r="E18" s="61" t="s">
        <v>515</v>
      </c>
      <c r="F18" s="61" t="s">
        <v>515</v>
      </c>
      <c r="G18" s="61" t="s">
        <v>474</v>
      </c>
      <c r="H18" s="61" t="s">
        <v>474</v>
      </c>
    </row>
    <row r="19" spans="1:8" ht="15" thickBot="1" x14ac:dyDescent="0.35">
      <c r="A19" s="71" t="s">
        <v>1191</v>
      </c>
      <c r="B19" s="71" t="s">
        <v>401</v>
      </c>
      <c r="C19" s="61"/>
      <c r="D19" s="61"/>
      <c r="E19" s="61"/>
      <c r="F19" s="61"/>
      <c r="G19" s="61" t="s">
        <v>474</v>
      </c>
      <c r="H19" s="61" t="s">
        <v>474</v>
      </c>
    </row>
    <row r="20" spans="1:8" ht="15" thickBot="1" x14ac:dyDescent="0.35">
      <c r="A20" s="71" t="s">
        <v>493</v>
      </c>
      <c r="B20" s="71" t="s">
        <v>393</v>
      </c>
      <c r="C20" s="61" t="s">
        <v>515</v>
      </c>
      <c r="D20" s="61" t="s">
        <v>515</v>
      </c>
      <c r="E20" s="61" t="s">
        <v>515</v>
      </c>
      <c r="F20" s="61" t="s">
        <v>515</v>
      </c>
      <c r="G20" s="61" t="s">
        <v>476</v>
      </c>
      <c r="H20" s="61" t="s">
        <v>476</v>
      </c>
    </row>
    <row r="21" spans="1:8" ht="15" thickBot="1" x14ac:dyDescent="0.35">
      <c r="A21" s="61" t="s">
        <v>477</v>
      </c>
      <c r="B21" s="61" t="s">
        <v>385</v>
      </c>
      <c r="C21" s="61" t="s">
        <v>515</v>
      </c>
      <c r="D21" s="61" t="s">
        <v>515</v>
      </c>
      <c r="E21" s="61" t="s">
        <v>515</v>
      </c>
      <c r="F21" s="61" t="s">
        <v>515</v>
      </c>
      <c r="G21" s="61" t="s">
        <v>478</v>
      </c>
      <c r="H21" s="61" t="s">
        <v>478</v>
      </c>
    </row>
    <row r="23" spans="1:8" x14ac:dyDescent="0.3">
      <c r="A23" s="92" t="s">
        <v>1192</v>
      </c>
    </row>
  </sheetData>
  <pageMargins left="0.7" right="0.7" top="0.75" bottom="0.75" header="0.3" footer="0.3"/>
  <pageSetup orientation="portrait" horizontalDpi="0" verticalDpi="0"/>
  <drawing r:id="rId1"/>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FC28E-C81B-4D79-B43D-C7F04AF4F01A}">
  <dimension ref="A1:B24"/>
  <sheetViews>
    <sheetView workbookViewId="0">
      <selection activeCell="C13" sqref="C13"/>
    </sheetView>
  </sheetViews>
  <sheetFormatPr baseColWidth="10" defaultColWidth="11.44140625" defaultRowHeight="14.4" x14ac:dyDescent="0.3"/>
  <cols>
    <col min="1" max="1" width="47.44140625" customWidth="1"/>
    <col min="2" max="2" width="11.44140625" customWidth="1"/>
  </cols>
  <sheetData>
    <row r="1" spans="1:2" x14ac:dyDescent="0.3">
      <c r="A1" t="s">
        <v>355</v>
      </c>
      <c r="B1">
        <v>111</v>
      </c>
    </row>
    <row r="2" spans="1:2" x14ac:dyDescent="0.3">
      <c r="A2" t="s">
        <v>5</v>
      </c>
      <c r="B2" t="s">
        <v>320</v>
      </c>
    </row>
    <row r="3" spans="1:2" ht="15" thickBot="1" x14ac:dyDescent="0.35"/>
    <row r="4" spans="1:2" ht="15.6" thickBot="1" x14ac:dyDescent="0.35">
      <c r="A4" s="62" t="s">
        <v>1193</v>
      </c>
      <c r="B4" s="62" t="s">
        <v>1194</v>
      </c>
    </row>
    <row r="5" spans="1:2" ht="15" x14ac:dyDescent="0.3">
      <c r="A5" s="146" t="s">
        <v>1195</v>
      </c>
      <c r="B5" s="146">
        <v>0</v>
      </c>
    </row>
    <row r="6" spans="1:2" ht="15.6" thickBot="1" x14ac:dyDescent="0.35">
      <c r="A6" s="63" t="s">
        <v>497</v>
      </c>
      <c r="B6" s="64">
        <v>0</v>
      </c>
    </row>
    <row r="7" spans="1:2" ht="15" x14ac:dyDescent="0.3">
      <c r="A7" s="146" t="s">
        <v>79</v>
      </c>
      <c r="B7" s="146">
        <v>2</v>
      </c>
    </row>
    <row r="8" spans="1:2" ht="15" x14ac:dyDescent="0.3">
      <c r="A8" s="63" t="s">
        <v>497</v>
      </c>
      <c r="B8" s="63">
        <v>2</v>
      </c>
    </row>
    <row r="9" spans="1:2" ht="15" x14ac:dyDescent="0.3">
      <c r="A9" s="146" t="s">
        <v>1196</v>
      </c>
      <c r="B9" s="146">
        <v>2</v>
      </c>
    </row>
    <row r="10" spans="1:2" ht="15.6" thickBot="1" x14ac:dyDescent="0.35">
      <c r="A10" s="63" t="s">
        <v>497</v>
      </c>
      <c r="B10" s="64">
        <v>2</v>
      </c>
    </row>
    <row r="11" spans="1:2" ht="15" x14ac:dyDescent="0.3">
      <c r="A11" s="146" t="s">
        <v>503</v>
      </c>
      <c r="B11" s="146">
        <v>27</v>
      </c>
    </row>
    <row r="12" spans="1:2" ht="15.6" thickBot="1" x14ac:dyDescent="0.35">
      <c r="A12" s="63" t="s">
        <v>498</v>
      </c>
      <c r="B12" s="64">
        <v>6</v>
      </c>
    </row>
    <row r="13" spans="1:2" ht="15.6" thickBot="1" x14ac:dyDescent="0.35">
      <c r="A13" s="63" t="s">
        <v>497</v>
      </c>
      <c r="B13" s="64">
        <v>20</v>
      </c>
    </row>
    <row r="14" spans="1:2" ht="15" x14ac:dyDescent="0.3">
      <c r="A14" s="63" t="s">
        <v>1197</v>
      </c>
      <c r="B14" s="64">
        <v>1</v>
      </c>
    </row>
    <row r="15" spans="1:2" ht="15" x14ac:dyDescent="0.3">
      <c r="A15" s="146" t="s">
        <v>489</v>
      </c>
      <c r="B15" s="146">
        <v>30</v>
      </c>
    </row>
    <row r="16" spans="1:2" ht="15.6" thickBot="1" x14ac:dyDescent="0.35">
      <c r="A16" s="63" t="s">
        <v>498</v>
      </c>
      <c r="B16" s="64">
        <v>11</v>
      </c>
    </row>
    <row r="17" spans="1:2" ht="15.6" thickBot="1" x14ac:dyDescent="0.35">
      <c r="A17" s="63" t="s">
        <v>497</v>
      </c>
      <c r="B17" s="64">
        <v>17</v>
      </c>
    </row>
    <row r="18" spans="1:2" ht="15" x14ac:dyDescent="0.3">
      <c r="A18" s="63" t="s">
        <v>1197</v>
      </c>
      <c r="B18" s="64">
        <v>2</v>
      </c>
    </row>
    <row r="19" spans="1:2" ht="15" x14ac:dyDescent="0.3">
      <c r="A19" s="146" t="s">
        <v>504</v>
      </c>
      <c r="B19" s="146">
        <v>61</v>
      </c>
    </row>
    <row r="20" spans="1:2" ht="15.6" thickBot="1" x14ac:dyDescent="0.35">
      <c r="A20" s="147" t="s">
        <v>498</v>
      </c>
      <c r="B20" s="148">
        <v>15</v>
      </c>
    </row>
    <row r="21" spans="1:2" ht="15.6" thickBot="1" x14ac:dyDescent="0.35">
      <c r="A21" s="63" t="s">
        <v>497</v>
      </c>
      <c r="B21" s="64">
        <v>39</v>
      </c>
    </row>
    <row r="22" spans="1:2" ht="15.6" thickBot="1" x14ac:dyDescent="0.35">
      <c r="A22" s="63" t="s">
        <v>1197</v>
      </c>
      <c r="B22" s="64">
        <v>7</v>
      </c>
    </row>
    <row r="23" spans="1:2" ht="15.6" thickBot="1" x14ac:dyDescent="0.35">
      <c r="A23" s="149" t="s">
        <v>466</v>
      </c>
      <c r="B23" s="149">
        <v>122</v>
      </c>
    </row>
    <row r="24" spans="1:2" x14ac:dyDescent="0.3">
      <c r="A24" t="s">
        <v>500</v>
      </c>
    </row>
  </sheetData>
  <pageMargins left="0.7" right="0.7" top="0.75" bottom="0.75" header="0.3" footer="0.3"/>
  <pageSetup orientation="portrait" horizontalDpi="0" verticalDpi="0"/>
  <drawing r:id="rId1"/>
  <legacy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7DE0F-BE89-4F1E-8725-AB3B04D8CDBB}">
  <dimension ref="A1:B12"/>
  <sheetViews>
    <sheetView workbookViewId="0"/>
  </sheetViews>
  <sheetFormatPr baseColWidth="10" defaultColWidth="11.44140625" defaultRowHeight="14.4" x14ac:dyDescent="0.3"/>
  <cols>
    <col min="1" max="1" width="8.44140625" bestFit="1" customWidth="1"/>
    <col min="2" max="2" width="21.44140625" customWidth="1"/>
  </cols>
  <sheetData>
    <row r="1" spans="1:2" x14ac:dyDescent="0.3">
      <c r="A1" t="s">
        <v>355</v>
      </c>
      <c r="B1">
        <v>112</v>
      </c>
    </row>
    <row r="2" spans="1:2" x14ac:dyDescent="0.3">
      <c r="A2" t="s">
        <v>5</v>
      </c>
      <c r="B2" t="s">
        <v>149</v>
      </c>
    </row>
    <row r="3" spans="1:2" ht="15" thickBot="1" x14ac:dyDescent="0.35"/>
    <row r="4" spans="1:2" ht="30.6" thickBot="1" x14ac:dyDescent="0.35">
      <c r="A4" s="51" t="s">
        <v>535</v>
      </c>
      <c r="B4" s="51" t="s">
        <v>1198</v>
      </c>
    </row>
    <row r="5" spans="1:2" ht="15.6" thickBot="1" x14ac:dyDescent="0.35">
      <c r="A5" s="48">
        <v>2019</v>
      </c>
      <c r="B5" s="48">
        <v>69</v>
      </c>
    </row>
    <row r="6" spans="1:2" ht="15.6" thickBot="1" x14ac:dyDescent="0.35">
      <c r="A6" s="48">
        <v>2020</v>
      </c>
      <c r="B6" s="48">
        <v>251</v>
      </c>
    </row>
    <row r="7" spans="1:2" ht="15.6" thickBot="1" x14ac:dyDescent="0.35">
      <c r="A7" s="48">
        <v>2021</v>
      </c>
      <c r="B7" s="48">
        <v>200</v>
      </c>
    </row>
    <row r="8" spans="1:2" ht="15.6" thickBot="1" x14ac:dyDescent="0.35">
      <c r="A8" s="48">
        <v>2022</v>
      </c>
      <c r="B8" s="48">
        <v>190</v>
      </c>
    </row>
    <row r="9" spans="1:2" ht="15.6" thickBot="1" x14ac:dyDescent="0.35">
      <c r="A9" s="48">
        <v>2023</v>
      </c>
      <c r="B9" s="48">
        <v>204</v>
      </c>
    </row>
    <row r="10" spans="1:2" ht="15.6" thickBot="1" x14ac:dyDescent="0.35">
      <c r="A10" s="48">
        <v>2024</v>
      </c>
      <c r="B10" s="48">
        <v>73</v>
      </c>
    </row>
    <row r="11" spans="1:2" ht="15.6" thickBot="1" x14ac:dyDescent="0.35">
      <c r="A11" s="48">
        <v>2025</v>
      </c>
      <c r="B11" s="545">
        <v>90</v>
      </c>
    </row>
    <row r="12" spans="1:2" ht="15.6" thickBot="1" x14ac:dyDescent="0.35">
      <c r="A12" s="48" t="s">
        <v>362</v>
      </c>
      <c r="B12" s="545"/>
    </row>
  </sheetData>
  <pageMargins left="0.7" right="0.7" top="0.75" bottom="0.75" header="0.3" footer="0.3"/>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B39F7-01A0-4808-AFEF-8766524E3656}">
  <dimension ref="A1:B13"/>
  <sheetViews>
    <sheetView tabSelected="1" workbookViewId="0">
      <selection activeCell="I8" sqref="I8"/>
    </sheetView>
  </sheetViews>
  <sheetFormatPr baseColWidth="10" defaultColWidth="11.44140625" defaultRowHeight="14.4" x14ac:dyDescent="0.3"/>
  <cols>
    <col min="1" max="1" width="8.44140625" bestFit="1" customWidth="1"/>
    <col min="2" max="2" width="21.44140625" customWidth="1"/>
  </cols>
  <sheetData>
    <row r="1" spans="1:2" x14ac:dyDescent="0.3">
      <c r="A1" t="s">
        <v>355</v>
      </c>
      <c r="B1">
        <v>113</v>
      </c>
    </row>
    <row r="2" spans="1:2" x14ac:dyDescent="0.3">
      <c r="A2" t="s">
        <v>5</v>
      </c>
      <c r="B2" t="s">
        <v>150</v>
      </c>
    </row>
    <row r="3" spans="1:2" ht="15" thickBot="1" x14ac:dyDescent="0.35"/>
    <row r="4" spans="1:2" ht="45.6" thickBot="1" x14ac:dyDescent="0.35">
      <c r="A4" s="51" t="s">
        <v>535</v>
      </c>
      <c r="B4" s="51" t="s">
        <v>1199</v>
      </c>
    </row>
    <row r="5" spans="1:2" ht="15.6" thickBot="1" x14ac:dyDescent="0.35">
      <c r="A5" s="48">
        <v>2019</v>
      </c>
      <c r="B5" s="48">
        <v>10</v>
      </c>
    </row>
    <row r="6" spans="1:2" ht="15.6" thickBot="1" x14ac:dyDescent="0.35">
      <c r="A6" s="48">
        <v>2020</v>
      </c>
      <c r="B6" s="48">
        <v>13</v>
      </c>
    </row>
    <row r="7" spans="1:2" ht="15.6" thickBot="1" x14ac:dyDescent="0.35">
      <c r="A7" s="48">
        <v>2021</v>
      </c>
      <c r="B7" s="48">
        <v>14</v>
      </c>
    </row>
    <row r="8" spans="1:2" ht="15.6" thickBot="1" x14ac:dyDescent="0.35">
      <c r="A8" s="48">
        <v>2022</v>
      </c>
      <c r="B8" s="48">
        <v>13</v>
      </c>
    </row>
    <row r="9" spans="1:2" ht="15.6" thickBot="1" x14ac:dyDescent="0.35">
      <c r="A9" s="48">
        <v>2023</v>
      </c>
      <c r="B9" s="48">
        <v>23</v>
      </c>
    </row>
    <row r="10" spans="1:2" ht="15.6" thickBot="1" x14ac:dyDescent="0.35">
      <c r="A10" s="48">
        <v>2024</v>
      </c>
      <c r="B10" s="48">
        <v>17</v>
      </c>
    </row>
    <row r="11" spans="1:2" ht="15.6" thickBot="1" x14ac:dyDescent="0.35">
      <c r="A11" s="48">
        <v>2025</v>
      </c>
      <c r="B11" s="48">
        <v>39</v>
      </c>
    </row>
    <row r="12" spans="1:2" ht="15.6" thickBot="1" x14ac:dyDescent="0.35">
      <c r="A12" s="48">
        <v>2026</v>
      </c>
      <c r="B12" s="48">
        <v>29</v>
      </c>
    </row>
    <row r="13" spans="1:2" ht="15.6" thickBot="1" x14ac:dyDescent="0.35">
      <c r="A13" s="48" t="s">
        <v>466</v>
      </c>
      <c r="B13" s="48">
        <f>SUM(B5:B10)</f>
        <v>90</v>
      </c>
    </row>
  </sheetData>
  <pageMargins left="0.7" right="0.7" top="0.75" bottom="0.75" header="0.3" footer="0.3"/>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2B01E-E06B-42B4-AD57-686D4BFA5807}">
  <dimension ref="A1:J25"/>
  <sheetViews>
    <sheetView zoomScale="72" zoomScaleNormal="130" workbookViewId="0">
      <selection activeCell="L14" sqref="L14"/>
    </sheetView>
  </sheetViews>
  <sheetFormatPr baseColWidth="10" defaultColWidth="11.44140625" defaultRowHeight="14.4" x14ac:dyDescent="0.3"/>
  <cols>
    <col min="1" max="1" width="8.44140625" bestFit="1" customWidth="1"/>
    <col min="2" max="2" width="45.6640625" bestFit="1" customWidth="1"/>
    <col min="3" max="6" width="5.44140625" bestFit="1" customWidth="1"/>
    <col min="7" max="7" width="20.6640625" bestFit="1" customWidth="1"/>
    <col min="8" max="8" width="7.109375" bestFit="1" customWidth="1"/>
    <col min="9" max="9" width="13" bestFit="1" customWidth="1"/>
  </cols>
  <sheetData>
    <row r="1" spans="1:10" x14ac:dyDescent="0.3">
      <c r="A1" t="s">
        <v>355</v>
      </c>
      <c r="B1">
        <v>114</v>
      </c>
    </row>
    <row r="2" spans="1:10" x14ac:dyDescent="0.3">
      <c r="A2" t="s">
        <v>5</v>
      </c>
      <c r="B2" t="s">
        <v>1200</v>
      </c>
    </row>
    <row r="3" spans="1:10" ht="15" thickBot="1" x14ac:dyDescent="0.35"/>
    <row r="4" spans="1:10" ht="15.6" thickBot="1" x14ac:dyDescent="0.35">
      <c r="A4" s="150"/>
      <c r="B4" s="656" t="s">
        <v>535</v>
      </c>
      <c r="C4" s="656"/>
      <c r="D4" s="656"/>
      <c r="E4" s="656"/>
      <c r="F4" s="656"/>
    </row>
    <row r="5" spans="1:10" ht="15.6" thickBot="1" x14ac:dyDescent="0.35">
      <c r="A5" s="151" t="s">
        <v>468</v>
      </c>
      <c r="B5" s="67">
        <v>2019</v>
      </c>
      <c r="C5" s="67">
        <v>2020</v>
      </c>
      <c r="D5" s="67">
        <v>2021</v>
      </c>
      <c r="E5" s="67">
        <v>2022</v>
      </c>
      <c r="F5" s="67">
        <v>2023</v>
      </c>
      <c r="G5" s="67" t="s">
        <v>1201</v>
      </c>
      <c r="H5" s="67" t="s">
        <v>360</v>
      </c>
      <c r="I5" s="593" t="s">
        <v>1202</v>
      </c>
      <c r="J5" s="593" t="s">
        <v>362</v>
      </c>
    </row>
    <row r="6" spans="1:10" ht="15.6" thickBot="1" x14ac:dyDescent="0.35">
      <c r="A6" s="152" t="s">
        <v>1203</v>
      </c>
      <c r="B6" s="63">
        <v>12</v>
      </c>
      <c r="C6" s="63">
        <v>18</v>
      </c>
      <c r="D6" s="63">
        <v>14</v>
      </c>
      <c r="E6" s="63">
        <v>7</v>
      </c>
      <c r="F6" s="63">
        <v>3</v>
      </c>
      <c r="G6" s="63">
        <v>7</v>
      </c>
      <c r="H6" s="63">
        <v>11</v>
      </c>
      <c r="I6" s="63">
        <v>12</v>
      </c>
      <c r="J6" s="63">
        <v>13</v>
      </c>
    </row>
    <row r="7" spans="1:10" ht="15.6" thickBot="1" x14ac:dyDescent="0.35">
      <c r="A7" s="152" t="s">
        <v>1204</v>
      </c>
      <c r="B7" s="63"/>
      <c r="C7" s="63"/>
      <c r="D7" s="63">
        <v>2</v>
      </c>
      <c r="E7" s="63">
        <v>1</v>
      </c>
      <c r="F7" s="63">
        <v>1</v>
      </c>
      <c r="G7" s="63">
        <v>2</v>
      </c>
      <c r="H7" s="63">
        <v>4</v>
      </c>
      <c r="I7" s="63">
        <v>3</v>
      </c>
      <c r="J7" s="63">
        <v>3</v>
      </c>
    </row>
    <row r="8" spans="1:10" ht="15.6" thickBot="1" x14ac:dyDescent="0.35">
      <c r="A8" s="152" t="s">
        <v>1205</v>
      </c>
      <c r="B8" s="63"/>
      <c r="C8" s="63"/>
      <c r="D8" s="63">
        <v>1</v>
      </c>
      <c r="E8" s="63">
        <v>2</v>
      </c>
      <c r="F8" s="63">
        <v>3</v>
      </c>
      <c r="G8" s="63">
        <v>1</v>
      </c>
      <c r="H8" s="63">
        <v>1</v>
      </c>
      <c r="I8" s="63">
        <v>2</v>
      </c>
      <c r="J8" s="63">
        <v>3</v>
      </c>
    </row>
    <row r="9" spans="1:10" ht="15.6" thickBot="1" x14ac:dyDescent="0.35">
      <c r="A9" s="152" t="s">
        <v>471</v>
      </c>
      <c r="B9" s="63">
        <v>17</v>
      </c>
      <c r="C9" s="63">
        <v>36</v>
      </c>
      <c r="D9" s="63">
        <v>47</v>
      </c>
      <c r="E9" s="63">
        <v>37</v>
      </c>
      <c r="F9" s="63">
        <v>40</v>
      </c>
      <c r="G9" s="63">
        <v>21</v>
      </c>
      <c r="H9" s="63">
        <v>15</v>
      </c>
      <c r="I9" s="63">
        <v>12</v>
      </c>
      <c r="J9" s="63">
        <v>30</v>
      </c>
    </row>
    <row r="10" spans="1:10" ht="15.6" thickBot="1" x14ac:dyDescent="0.35">
      <c r="A10" s="152" t="s">
        <v>1206</v>
      </c>
      <c r="B10" s="63"/>
      <c r="C10" s="63"/>
      <c r="D10" s="63">
        <v>3</v>
      </c>
      <c r="E10" s="63">
        <v>2</v>
      </c>
      <c r="F10" s="63">
        <v>2</v>
      </c>
      <c r="G10" s="63">
        <v>6</v>
      </c>
      <c r="H10" s="63">
        <v>6</v>
      </c>
      <c r="I10" s="63">
        <v>7</v>
      </c>
      <c r="J10" s="63">
        <v>8</v>
      </c>
    </row>
    <row r="11" spans="1:10" ht="15.6" thickBot="1" x14ac:dyDescent="0.35">
      <c r="A11" s="152" t="s">
        <v>1207</v>
      </c>
      <c r="B11" s="63"/>
      <c r="C11" s="63">
        <v>6</v>
      </c>
      <c r="D11" s="63">
        <v>10</v>
      </c>
      <c r="E11" s="63">
        <v>11</v>
      </c>
      <c r="F11" s="63">
        <v>7</v>
      </c>
      <c r="G11" s="63">
        <v>4</v>
      </c>
      <c r="H11" s="63">
        <v>2</v>
      </c>
      <c r="I11" s="63">
        <v>9</v>
      </c>
      <c r="J11" s="63">
        <v>10</v>
      </c>
    </row>
    <row r="12" spans="1:10" ht="15.6" thickBot="1" x14ac:dyDescent="0.35">
      <c r="A12" s="152" t="s">
        <v>1208</v>
      </c>
      <c r="B12" s="63">
        <v>6</v>
      </c>
      <c r="C12" s="63">
        <v>10</v>
      </c>
      <c r="D12" s="63">
        <v>15</v>
      </c>
      <c r="E12" s="63">
        <v>10</v>
      </c>
      <c r="F12" s="63">
        <v>11</v>
      </c>
      <c r="G12" s="63">
        <v>15</v>
      </c>
      <c r="H12" s="63">
        <v>20</v>
      </c>
      <c r="I12" s="63">
        <v>18</v>
      </c>
      <c r="J12" s="63">
        <v>22</v>
      </c>
    </row>
    <row r="13" spans="1:10" ht="15.6" thickBot="1" x14ac:dyDescent="0.35">
      <c r="A13" s="152" t="s">
        <v>1209</v>
      </c>
      <c r="B13" s="63"/>
      <c r="C13" s="63">
        <v>4</v>
      </c>
      <c r="D13" s="63">
        <v>2</v>
      </c>
      <c r="E13" s="63"/>
      <c r="F13" s="63"/>
      <c r="G13" s="63"/>
      <c r="H13" s="63"/>
      <c r="I13" s="63"/>
      <c r="J13" s="63"/>
    </row>
    <row r="14" spans="1:10" ht="15.6" thickBot="1" x14ac:dyDescent="0.35">
      <c r="A14" s="152" t="s">
        <v>1210</v>
      </c>
      <c r="B14" s="63"/>
      <c r="C14" s="63">
        <v>8</v>
      </c>
      <c r="D14" s="63">
        <v>10</v>
      </c>
      <c r="E14" s="63">
        <v>6</v>
      </c>
      <c r="F14" s="63">
        <v>6</v>
      </c>
      <c r="G14" s="63">
        <v>8</v>
      </c>
      <c r="H14" s="63">
        <v>7</v>
      </c>
      <c r="I14" s="63">
        <v>13</v>
      </c>
      <c r="J14" s="63">
        <v>9</v>
      </c>
    </row>
    <row r="15" spans="1:10" ht="15.6" thickBot="1" x14ac:dyDescent="0.35">
      <c r="A15" s="152" t="s">
        <v>1211</v>
      </c>
      <c r="B15" s="63"/>
      <c r="C15" s="63">
        <v>6</v>
      </c>
      <c r="D15" s="63">
        <v>14</v>
      </c>
      <c r="E15" s="63">
        <v>16</v>
      </c>
      <c r="F15" s="63">
        <v>14</v>
      </c>
      <c r="G15" s="63">
        <v>11</v>
      </c>
      <c r="H15" s="63">
        <v>10</v>
      </c>
      <c r="I15" s="63">
        <v>9</v>
      </c>
      <c r="J15" s="63">
        <v>14</v>
      </c>
    </row>
    <row r="16" spans="1:10" ht="15.6" thickBot="1" x14ac:dyDescent="0.35">
      <c r="A16" s="152" t="s">
        <v>1212</v>
      </c>
      <c r="B16" s="63">
        <v>19</v>
      </c>
      <c r="C16" s="63">
        <v>25</v>
      </c>
      <c r="D16" s="63">
        <v>21</v>
      </c>
      <c r="E16" s="63">
        <v>16</v>
      </c>
      <c r="F16" s="63">
        <v>12</v>
      </c>
      <c r="G16" s="63">
        <v>15</v>
      </c>
      <c r="H16" s="63">
        <v>15</v>
      </c>
      <c r="I16" s="63">
        <v>19</v>
      </c>
      <c r="J16" s="63">
        <v>28</v>
      </c>
    </row>
    <row r="17" spans="1:10" ht="15.6" thickBot="1" x14ac:dyDescent="0.35">
      <c r="A17" s="152" t="s">
        <v>1213</v>
      </c>
      <c r="B17" s="63"/>
      <c r="C17" s="63">
        <v>13</v>
      </c>
      <c r="D17" s="63">
        <v>20</v>
      </c>
      <c r="E17" s="63">
        <v>21</v>
      </c>
      <c r="F17" s="63">
        <v>17</v>
      </c>
      <c r="G17" s="63">
        <v>18</v>
      </c>
      <c r="H17" s="63">
        <v>14</v>
      </c>
      <c r="I17" s="63">
        <v>21</v>
      </c>
      <c r="J17" s="63">
        <v>15</v>
      </c>
    </row>
    <row r="18" spans="1:10" ht="15.6" thickBot="1" x14ac:dyDescent="0.35">
      <c r="A18" s="152" t="s">
        <v>493</v>
      </c>
      <c r="B18" s="63"/>
      <c r="C18" s="63"/>
      <c r="D18" s="63">
        <v>1</v>
      </c>
      <c r="E18" s="63">
        <v>4</v>
      </c>
      <c r="F18" s="63">
        <v>3</v>
      </c>
      <c r="G18" s="63">
        <v>5</v>
      </c>
      <c r="H18" s="63">
        <v>3</v>
      </c>
      <c r="I18" s="63">
        <v>8</v>
      </c>
      <c r="J18" s="63">
        <v>12</v>
      </c>
    </row>
    <row r="19" spans="1:10" ht="15.6" thickBot="1" x14ac:dyDescent="0.35">
      <c r="A19" s="152" t="s">
        <v>1214</v>
      </c>
      <c r="B19" s="63">
        <v>8</v>
      </c>
      <c r="C19" s="63">
        <v>17</v>
      </c>
      <c r="D19" s="63">
        <v>22</v>
      </c>
      <c r="E19" s="63">
        <v>13</v>
      </c>
      <c r="F19" s="63">
        <v>13</v>
      </c>
      <c r="G19" s="63">
        <v>15</v>
      </c>
      <c r="H19" s="63">
        <v>22</v>
      </c>
      <c r="I19" s="63">
        <v>16</v>
      </c>
      <c r="J19" s="63">
        <v>18</v>
      </c>
    </row>
    <row r="20" spans="1:10" ht="15.6" thickBot="1" x14ac:dyDescent="0.35">
      <c r="A20" s="152" t="s">
        <v>1215</v>
      </c>
      <c r="B20" s="63"/>
      <c r="C20" s="63">
        <v>4</v>
      </c>
      <c r="D20" s="63">
        <v>2</v>
      </c>
      <c r="E20" s="63">
        <v>5</v>
      </c>
      <c r="F20" s="63">
        <v>5</v>
      </c>
      <c r="G20" s="63">
        <v>4</v>
      </c>
      <c r="H20" s="63">
        <v>4</v>
      </c>
      <c r="I20" s="63">
        <v>5</v>
      </c>
      <c r="J20" s="63">
        <v>3</v>
      </c>
    </row>
    <row r="21" spans="1:10" ht="15.6" thickBot="1" x14ac:dyDescent="0.35">
      <c r="A21" s="152" t="s">
        <v>1216</v>
      </c>
      <c r="B21" s="63">
        <v>1</v>
      </c>
      <c r="C21" s="63">
        <v>20</v>
      </c>
      <c r="D21" s="63">
        <v>15</v>
      </c>
      <c r="E21" s="63">
        <v>7</v>
      </c>
      <c r="F21" s="63">
        <v>6</v>
      </c>
      <c r="G21" s="63">
        <v>14</v>
      </c>
      <c r="H21" s="63">
        <v>14</v>
      </c>
      <c r="I21" s="63">
        <v>22</v>
      </c>
      <c r="J21" s="63">
        <v>20</v>
      </c>
    </row>
    <row r="22" spans="1:10" ht="15.6" thickBot="1" x14ac:dyDescent="0.35">
      <c r="A22" s="152" t="s">
        <v>1217</v>
      </c>
      <c r="B22" s="63">
        <v>9</v>
      </c>
      <c r="C22" s="63">
        <v>38</v>
      </c>
      <c r="D22" s="63">
        <v>24</v>
      </c>
      <c r="E22" s="63">
        <v>16</v>
      </c>
      <c r="F22" s="63">
        <v>28</v>
      </c>
      <c r="G22" s="63">
        <v>14</v>
      </c>
      <c r="H22" s="63">
        <v>9</v>
      </c>
      <c r="I22" s="63">
        <v>6</v>
      </c>
      <c r="J22" s="63">
        <v>7</v>
      </c>
    </row>
    <row r="23" spans="1:10" ht="15.6" thickBot="1" x14ac:dyDescent="0.35">
      <c r="A23" s="152" t="s">
        <v>477</v>
      </c>
      <c r="B23" s="63"/>
      <c r="C23" s="63"/>
      <c r="D23" s="63"/>
      <c r="E23" s="63"/>
      <c r="F23" s="63"/>
      <c r="G23" s="63">
        <v>1</v>
      </c>
      <c r="H23" s="63">
        <v>2</v>
      </c>
      <c r="I23" s="63">
        <v>9</v>
      </c>
      <c r="J23" s="63"/>
    </row>
    <row r="24" spans="1:10" ht="15.6" thickBot="1" x14ac:dyDescent="0.35">
      <c r="A24" s="592" t="s">
        <v>393</v>
      </c>
      <c r="B24" s="63"/>
      <c r="C24" s="63"/>
      <c r="D24" s="63"/>
      <c r="E24" s="63"/>
      <c r="F24" s="63"/>
      <c r="G24" s="63"/>
      <c r="H24" s="63"/>
      <c r="I24" s="63"/>
      <c r="J24" s="63">
        <v>5</v>
      </c>
    </row>
    <row r="25" spans="1:10" ht="15.6" thickBot="1" x14ac:dyDescent="0.35">
      <c r="A25" s="153" t="s">
        <v>371</v>
      </c>
      <c r="B25" s="64">
        <v>72</v>
      </c>
      <c r="C25" s="64">
        <v>205</v>
      </c>
      <c r="D25" s="64">
        <v>223</v>
      </c>
      <c r="E25" s="64">
        <v>174</v>
      </c>
      <c r="F25" s="64">
        <v>171</v>
      </c>
      <c r="G25" s="64">
        <f>SUM(G6:G23)</f>
        <v>161</v>
      </c>
      <c r="H25" s="64">
        <f>SUM(H6:H23)</f>
        <v>159</v>
      </c>
      <c r="I25" s="64">
        <f>SUM(I6:I24)</f>
        <v>191</v>
      </c>
      <c r="J25" s="64">
        <f>SUM(J6:J24)</f>
        <v>220</v>
      </c>
    </row>
  </sheetData>
  <mergeCells count="1">
    <mergeCell ref="B4:F4"/>
  </mergeCells>
  <pageMargins left="0.7" right="0.7" top="0.75" bottom="0.75" header="0.3" footer="0.3"/>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8D2E4-A44B-4FDB-8402-D46A39890516}">
  <dimension ref="A1:B13"/>
  <sheetViews>
    <sheetView workbookViewId="0"/>
  </sheetViews>
  <sheetFormatPr baseColWidth="10" defaultColWidth="11.44140625" defaultRowHeight="14.4" x14ac:dyDescent="0.3"/>
  <cols>
    <col min="1" max="1" width="8.44140625" bestFit="1" customWidth="1"/>
    <col min="2" max="2" width="20.44140625" customWidth="1"/>
    <col min="3" max="7" width="4.44140625" bestFit="1" customWidth="1"/>
    <col min="8" max="8" width="6.44140625" bestFit="1" customWidth="1"/>
  </cols>
  <sheetData>
    <row r="1" spans="1:2" x14ac:dyDescent="0.3">
      <c r="A1" t="s">
        <v>355</v>
      </c>
      <c r="B1">
        <v>115</v>
      </c>
    </row>
    <row r="2" spans="1:2" x14ac:dyDescent="0.3">
      <c r="A2" t="s">
        <v>5</v>
      </c>
      <c r="B2" t="s">
        <v>152</v>
      </c>
    </row>
    <row r="3" spans="1:2" ht="15" thickBot="1" x14ac:dyDescent="0.35"/>
    <row r="4" spans="1:2" ht="58.5" customHeight="1" thickBot="1" x14ac:dyDescent="0.35">
      <c r="A4" s="51" t="s">
        <v>535</v>
      </c>
      <c r="B4" s="51" t="s">
        <v>1218</v>
      </c>
    </row>
    <row r="5" spans="1:2" ht="15.6" thickBot="1" x14ac:dyDescent="0.35">
      <c r="A5" s="48">
        <v>2019</v>
      </c>
      <c r="B5" s="48">
        <v>3</v>
      </c>
    </row>
    <row r="6" spans="1:2" ht="15.6" thickBot="1" x14ac:dyDescent="0.35">
      <c r="A6" s="48">
        <v>2020</v>
      </c>
      <c r="B6" s="48">
        <v>0</v>
      </c>
    </row>
    <row r="7" spans="1:2" ht="15.6" thickBot="1" x14ac:dyDescent="0.35">
      <c r="A7" s="48">
        <v>2021</v>
      </c>
      <c r="B7" s="48">
        <v>1</v>
      </c>
    </row>
    <row r="8" spans="1:2" ht="15.6" thickBot="1" x14ac:dyDescent="0.35">
      <c r="A8" s="48">
        <v>2022</v>
      </c>
      <c r="B8" s="48">
        <v>6</v>
      </c>
    </row>
    <row r="9" spans="1:2" ht="15.6" thickBot="1" x14ac:dyDescent="0.35">
      <c r="A9" s="48">
        <v>2023</v>
      </c>
      <c r="B9" s="48">
        <v>2</v>
      </c>
    </row>
    <row r="10" spans="1:2" ht="15.6" thickBot="1" x14ac:dyDescent="0.35">
      <c r="A10" s="48">
        <v>2024</v>
      </c>
      <c r="B10" s="48">
        <v>4</v>
      </c>
    </row>
    <row r="11" spans="1:2" ht="15.6" thickBot="1" x14ac:dyDescent="0.35">
      <c r="A11" s="48">
        <v>2025</v>
      </c>
      <c r="B11" s="545">
        <v>4</v>
      </c>
    </row>
    <row r="12" spans="1:2" ht="15.6" thickBot="1" x14ac:dyDescent="0.35">
      <c r="A12" s="48" t="s">
        <v>362</v>
      </c>
      <c r="B12" s="545"/>
    </row>
    <row r="13" spans="1:2" ht="15.6" thickBot="1" x14ac:dyDescent="0.35">
      <c r="A13" s="106" t="s">
        <v>466</v>
      </c>
      <c r="B13" s="106">
        <f>SUM(B5:B12)</f>
        <v>20</v>
      </c>
    </row>
  </sheetData>
  <pageMargins left="0.7" right="0.7" top="0.75" bottom="0.75" header="0.3" footer="0.3"/>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8A25B-128B-497D-AF33-D45EEE0AF08D}">
  <dimension ref="A1:J23"/>
  <sheetViews>
    <sheetView topLeftCell="A2" workbookViewId="0">
      <selection activeCell="H20" sqref="H20"/>
    </sheetView>
  </sheetViews>
  <sheetFormatPr baseColWidth="10" defaultColWidth="11.44140625" defaultRowHeight="14.4" x14ac:dyDescent="0.3"/>
  <cols>
    <col min="1" max="1" width="38.44140625" customWidth="1"/>
    <col min="2" max="2" width="8.44140625" customWidth="1"/>
    <col min="3" max="3" width="7.44140625" customWidth="1"/>
    <col min="4" max="5" width="5.44140625" bestFit="1" customWidth="1"/>
    <col min="6" max="6" width="6.33203125" customWidth="1"/>
    <col min="7" max="7" width="14.44140625" bestFit="1" customWidth="1"/>
    <col min="8" max="9" width="13.33203125" customWidth="1"/>
    <col min="10" max="10" width="6.44140625" bestFit="1" customWidth="1"/>
  </cols>
  <sheetData>
    <row r="1" spans="1:10" x14ac:dyDescent="0.3">
      <c r="A1" t="s">
        <v>355</v>
      </c>
      <c r="B1">
        <v>116</v>
      </c>
    </row>
    <row r="2" spans="1:10" x14ac:dyDescent="0.3">
      <c r="A2" t="s">
        <v>5</v>
      </c>
      <c r="B2" t="s">
        <v>1219</v>
      </c>
    </row>
    <row r="4" spans="1:10" ht="15.6" thickBot="1" x14ac:dyDescent="0.35">
      <c r="A4" s="46" t="s">
        <v>1220</v>
      </c>
      <c r="B4" s="46">
        <v>2019</v>
      </c>
      <c r="C4" s="46">
        <v>2020</v>
      </c>
      <c r="D4" s="46">
        <v>2021</v>
      </c>
      <c r="E4" s="46">
        <v>2022</v>
      </c>
      <c r="F4" s="46">
        <v>2023</v>
      </c>
      <c r="G4" s="46">
        <v>2024</v>
      </c>
      <c r="H4" s="594">
        <v>2025</v>
      </c>
      <c r="I4" s="594" t="s">
        <v>362</v>
      </c>
      <c r="J4" s="46" t="s">
        <v>466</v>
      </c>
    </row>
    <row r="5" spans="1:10" ht="30.6" thickBot="1" x14ac:dyDescent="0.35">
      <c r="A5" s="154" t="s">
        <v>1221</v>
      </c>
      <c r="B5" s="48">
        <v>56</v>
      </c>
      <c r="C5" s="48">
        <v>75</v>
      </c>
      <c r="D5" s="48">
        <v>77</v>
      </c>
      <c r="E5" s="48">
        <v>63</v>
      </c>
      <c r="F5" s="48">
        <v>30</v>
      </c>
      <c r="G5" s="48">
        <v>15</v>
      </c>
      <c r="H5" s="48">
        <v>15</v>
      </c>
      <c r="I5" s="48"/>
      <c r="J5" s="48">
        <f t="shared" ref="J5:J20" si="0">+SUM(B5:F5,G5:G5)</f>
        <v>316</v>
      </c>
    </row>
    <row r="6" spans="1:10" ht="22.5" customHeight="1" thickBot="1" x14ac:dyDescent="0.35">
      <c r="A6" s="154" t="s">
        <v>1222</v>
      </c>
      <c r="B6" s="48">
        <v>42</v>
      </c>
      <c r="C6" s="48">
        <v>97</v>
      </c>
      <c r="D6" s="48">
        <v>65</v>
      </c>
      <c r="E6" s="48">
        <v>27</v>
      </c>
      <c r="F6" s="48">
        <v>16</v>
      </c>
      <c r="G6" s="48">
        <v>4</v>
      </c>
      <c r="H6" s="48">
        <v>0</v>
      </c>
      <c r="I6" s="48"/>
      <c r="J6" s="48">
        <f t="shared" si="0"/>
        <v>251</v>
      </c>
    </row>
    <row r="7" spans="1:10" ht="21.75" customHeight="1" thickBot="1" x14ac:dyDescent="0.35">
      <c r="A7" s="154" t="s">
        <v>1223</v>
      </c>
      <c r="B7" s="48">
        <v>41</v>
      </c>
      <c r="C7" s="48">
        <v>151</v>
      </c>
      <c r="D7" s="48">
        <v>88</v>
      </c>
      <c r="E7" s="48">
        <v>72</v>
      </c>
      <c r="F7" s="48">
        <v>20</v>
      </c>
      <c r="G7" s="48">
        <v>19</v>
      </c>
      <c r="H7" s="48">
        <v>9</v>
      </c>
      <c r="I7" s="48"/>
      <c r="J7" s="48">
        <f t="shared" si="0"/>
        <v>391</v>
      </c>
    </row>
    <row r="8" spans="1:10" ht="15.6" thickBot="1" x14ac:dyDescent="0.35">
      <c r="A8" s="154" t="s">
        <v>1224</v>
      </c>
      <c r="B8" s="48">
        <v>31</v>
      </c>
      <c r="C8" s="48">
        <v>1</v>
      </c>
      <c r="D8" s="48">
        <v>8</v>
      </c>
      <c r="E8" s="48">
        <v>0</v>
      </c>
      <c r="F8" s="48">
        <v>0</v>
      </c>
      <c r="G8" s="48">
        <v>1</v>
      </c>
      <c r="H8" s="48">
        <v>0</v>
      </c>
      <c r="I8" s="48"/>
      <c r="J8" s="48">
        <f t="shared" si="0"/>
        <v>41</v>
      </c>
    </row>
    <row r="9" spans="1:10" ht="15.6" thickBot="1" x14ac:dyDescent="0.35">
      <c r="A9" s="154" t="s">
        <v>1225</v>
      </c>
      <c r="B9" s="48">
        <v>106</v>
      </c>
      <c r="C9" s="48">
        <v>127</v>
      </c>
      <c r="D9" s="48">
        <v>133</v>
      </c>
      <c r="E9" s="48">
        <v>124</v>
      </c>
      <c r="F9" s="48">
        <v>133</v>
      </c>
      <c r="G9" s="48">
        <v>132</v>
      </c>
      <c r="H9" s="48">
        <v>115</v>
      </c>
      <c r="I9" s="48"/>
      <c r="J9" s="48">
        <f t="shared" si="0"/>
        <v>755</v>
      </c>
    </row>
    <row r="10" spans="1:10" ht="30.6" thickBot="1" x14ac:dyDescent="0.35">
      <c r="A10" s="154" t="s">
        <v>1226</v>
      </c>
      <c r="B10" s="48">
        <v>76</v>
      </c>
      <c r="C10" s="48">
        <v>82</v>
      </c>
      <c r="D10" s="48">
        <v>24</v>
      </c>
      <c r="E10" s="48">
        <v>19</v>
      </c>
      <c r="F10" s="48">
        <v>37</v>
      </c>
      <c r="G10" s="48">
        <v>186</v>
      </c>
      <c r="H10" s="48">
        <v>10</v>
      </c>
      <c r="I10" s="48"/>
      <c r="J10" s="48">
        <f t="shared" si="0"/>
        <v>424</v>
      </c>
    </row>
    <row r="11" spans="1:10" ht="15.6" thickBot="1" x14ac:dyDescent="0.35">
      <c r="A11" s="154" t="s">
        <v>1227</v>
      </c>
      <c r="B11" s="48">
        <v>158</v>
      </c>
      <c r="C11" s="48">
        <v>222</v>
      </c>
      <c r="D11" s="48">
        <v>225</v>
      </c>
      <c r="E11" s="48">
        <v>248</v>
      </c>
      <c r="F11" s="48">
        <v>172</v>
      </c>
      <c r="G11" s="48">
        <v>274</v>
      </c>
      <c r="H11" s="48">
        <v>25</v>
      </c>
      <c r="I11" s="48"/>
      <c r="J11" s="48">
        <f t="shared" si="0"/>
        <v>1299</v>
      </c>
    </row>
    <row r="12" spans="1:10" ht="15.6" thickBot="1" x14ac:dyDescent="0.35">
      <c r="A12" s="154" t="s">
        <v>1228</v>
      </c>
      <c r="B12" s="48">
        <v>12</v>
      </c>
      <c r="C12" s="48">
        <v>23</v>
      </c>
      <c r="D12" s="48">
        <v>48</v>
      </c>
      <c r="E12" s="48">
        <v>30</v>
      </c>
      <c r="F12" s="48">
        <v>4</v>
      </c>
      <c r="G12" s="48">
        <v>3</v>
      </c>
      <c r="H12" s="48">
        <v>0</v>
      </c>
      <c r="I12" s="48"/>
      <c r="J12" s="48">
        <f t="shared" si="0"/>
        <v>120</v>
      </c>
    </row>
    <row r="13" spans="1:10" ht="15.6" thickBot="1" x14ac:dyDescent="0.35">
      <c r="A13" s="154" t="s">
        <v>1229</v>
      </c>
      <c r="B13" s="48"/>
      <c r="C13" s="48"/>
      <c r="D13" s="48">
        <v>2</v>
      </c>
      <c r="E13" s="48">
        <v>3</v>
      </c>
      <c r="F13" s="48">
        <v>0</v>
      </c>
      <c r="G13" s="106">
        <v>0</v>
      </c>
      <c r="H13" s="106">
        <v>0</v>
      </c>
      <c r="I13" s="106"/>
      <c r="J13" s="48">
        <f t="shared" si="0"/>
        <v>5</v>
      </c>
    </row>
    <row r="14" spans="1:10" ht="15.6" thickBot="1" x14ac:dyDescent="0.35">
      <c r="A14" s="154" t="s">
        <v>1230</v>
      </c>
      <c r="B14" s="48">
        <v>59</v>
      </c>
      <c r="C14" s="48">
        <v>35</v>
      </c>
      <c r="D14" s="48">
        <v>16</v>
      </c>
      <c r="E14" s="48">
        <v>4</v>
      </c>
      <c r="F14" s="48">
        <v>16</v>
      </c>
      <c r="G14" s="48">
        <v>113</v>
      </c>
      <c r="H14" s="48">
        <v>14</v>
      </c>
      <c r="I14" s="48"/>
      <c r="J14" s="48">
        <f t="shared" si="0"/>
        <v>243</v>
      </c>
    </row>
    <row r="15" spans="1:10" ht="15.6" thickBot="1" x14ac:dyDescent="0.35">
      <c r="A15" s="154" t="s">
        <v>1231</v>
      </c>
      <c r="B15" s="48">
        <v>210</v>
      </c>
      <c r="C15" s="48">
        <v>357</v>
      </c>
      <c r="D15" s="48">
        <v>169</v>
      </c>
      <c r="E15" s="48">
        <v>160</v>
      </c>
      <c r="F15" s="48">
        <v>109</v>
      </c>
      <c r="G15" s="48">
        <v>84</v>
      </c>
      <c r="H15" s="48">
        <v>3</v>
      </c>
      <c r="I15" s="48"/>
      <c r="J15" s="48">
        <f t="shared" si="0"/>
        <v>1089</v>
      </c>
    </row>
    <row r="16" spans="1:10" ht="15.6" thickBot="1" x14ac:dyDescent="0.35">
      <c r="A16" s="154" t="s">
        <v>1232</v>
      </c>
      <c r="B16" s="48">
        <v>2</v>
      </c>
      <c r="C16" s="48">
        <v>1</v>
      </c>
      <c r="D16" s="48">
        <v>0</v>
      </c>
      <c r="E16" s="48">
        <v>3</v>
      </c>
      <c r="F16" s="48">
        <v>0</v>
      </c>
      <c r="G16" s="48">
        <v>1</v>
      </c>
      <c r="H16" s="48">
        <v>0</v>
      </c>
      <c r="I16" s="48"/>
      <c r="J16" s="48">
        <f t="shared" si="0"/>
        <v>7</v>
      </c>
    </row>
    <row r="17" spans="1:10" ht="15.6" thickBot="1" x14ac:dyDescent="0.35">
      <c r="A17" s="154" t="s">
        <v>1233</v>
      </c>
      <c r="B17" s="48">
        <v>1</v>
      </c>
      <c r="C17" s="48">
        <v>0</v>
      </c>
      <c r="D17" s="48">
        <v>0</v>
      </c>
      <c r="E17" s="48">
        <v>1</v>
      </c>
      <c r="F17" s="154"/>
      <c r="G17" s="48">
        <v>0</v>
      </c>
      <c r="H17" s="48">
        <v>0</v>
      </c>
      <c r="I17" s="48"/>
      <c r="J17" s="48">
        <f t="shared" si="0"/>
        <v>2</v>
      </c>
    </row>
    <row r="18" spans="1:10" ht="15.6" thickBot="1" x14ac:dyDescent="0.35">
      <c r="A18" s="154" t="s">
        <v>1234</v>
      </c>
      <c r="B18" s="154"/>
      <c r="C18" s="48">
        <v>2</v>
      </c>
      <c r="D18" s="48">
        <v>0</v>
      </c>
      <c r="E18" s="48">
        <v>0</v>
      </c>
      <c r="F18" s="48">
        <v>4</v>
      </c>
      <c r="G18" s="48">
        <v>0</v>
      </c>
      <c r="H18" s="48">
        <v>0</v>
      </c>
      <c r="I18" s="48"/>
      <c r="J18" s="48">
        <f t="shared" si="0"/>
        <v>6</v>
      </c>
    </row>
    <row r="19" spans="1:10" ht="15.6" thickBot="1" x14ac:dyDescent="0.35">
      <c r="A19" s="154" t="s">
        <v>1235</v>
      </c>
      <c r="B19" s="48">
        <v>1</v>
      </c>
      <c r="C19" s="48">
        <v>0</v>
      </c>
      <c r="D19" s="48">
        <v>1</v>
      </c>
      <c r="E19" s="48">
        <v>0</v>
      </c>
      <c r="F19" s="48">
        <v>0</v>
      </c>
      <c r="G19" s="48">
        <v>0</v>
      </c>
      <c r="H19" s="48">
        <v>0</v>
      </c>
      <c r="I19" s="48"/>
      <c r="J19" s="48">
        <f t="shared" si="0"/>
        <v>2</v>
      </c>
    </row>
    <row r="20" spans="1:10" ht="15.6" thickBot="1" x14ac:dyDescent="0.35">
      <c r="A20" s="154" t="s">
        <v>1236</v>
      </c>
      <c r="B20" s="48">
        <v>72</v>
      </c>
      <c r="C20" s="48">
        <v>205</v>
      </c>
      <c r="D20" s="48">
        <v>223</v>
      </c>
      <c r="E20" s="48">
        <v>174</v>
      </c>
      <c r="F20" s="48">
        <v>171</v>
      </c>
      <c r="G20" s="48">
        <v>112</v>
      </c>
      <c r="H20" s="48">
        <v>159</v>
      </c>
      <c r="I20" s="48"/>
      <c r="J20" s="48">
        <f t="shared" si="0"/>
        <v>957</v>
      </c>
    </row>
    <row r="21" spans="1:10" ht="15.6" thickBot="1" x14ac:dyDescent="0.35">
      <c r="A21" s="106" t="s">
        <v>371</v>
      </c>
      <c r="B21" s="106">
        <v>878</v>
      </c>
      <c r="C21" s="106">
        <v>1402</v>
      </c>
      <c r="D21" s="106">
        <v>1079</v>
      </c>
      <c r="E21" s="106">
        <v>928</v>
      </c>
      <c r="F21" s="106">
        <v>712</v>
      </c>
      <c r="G21" s="106">
        <f>SUM(G5:G20)</f>
        <v>944</v>
      </c>
      <c r="H21" s="106">
        <f>SUM(H5:H20)</f>
        <v>350</v>
      </c>
      <c r="I21" s="106"/>
      <c r="J21" s="106">
        <f>+SUM(B21:F21,G21)</f>
        <v>5943</v>
      </c>
    </row>
    <row r="23" spans="1:10" ht="15" x14ac:dyDescent="0.3">
      <c r="A23" s="466" t="s">
        <v>1237</v>
      </c>
    </row>
  </sheetData>
  <pageMargins left="0.7" right="0.7" top="0.75" bottom="0.75" header="0.3" footer="0.3"/>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5B48C-8AB0-4D4D-A592-53604510024F}">
  <dimension ref="A1:D14"/>
  <sheetViews>
    <sheetView workbookViewId="0">
      <selection activeCell="H11" sqref="H11"/>
    </sheetView>
  </sheetViews>
  <sheetFormatPr baseColWidth="10" defaultColWidth="11.44140625" defaultRowHeight="14.4" x14ac:dyDescent="0.3"/>
  <cols>
    <col min="1" max="1" width="19.44140625" bestFit="1" customWidth="1"/>
    <col min="2" max="4" width="16.44140625" customWidth="1"/>
    <col min="5" max="6" width="6.44140625" customWidth="1"/>
    <col min="7" max="7" width="11.44140625" customWidth="1"/>
  </cols>
  <sheetData>
    <row r="1" spans="1:4" x14ac:dyDescent="0.3">
      <c r="A1" t="s">
        <v>355</v>
      </c>
      <c r="B1">
        <v>137</v>
      </c>
    </row>
    <row r="2" spans="1:4" x14ac:dyDescent="0.3">
      <c r="A2" t="s">
        <v>5</v>
      </c>
      <c r="B2" t="s">
        <v>338</v>
      </c>
    </row>
    <row r="3" spans="1:4" ht="15" thickBot="1" x14ac:dyDescent="0.35"/>
    <row r="4" spans="1:4" ht="55.5" customHeight="1" thickBot="1" x14ac:dyDescent="0.35">
      <c r="A4" s="51" t="s">
        <v>535</v>
      </c>
      <c r="B4" s="51" t="s">
        <v>1238</v>
      </c>
      <c r="C4" s="51" t="s">
        <v>1239</v>
      </c>
      <c r="D4" s="51" t="s">
        <v>1240</v>
      </c>
    </row>
    <row r="5" spans="1:4" ht="30.6" thickBot="1" x14ac:dyDescent="0.35">
      <c r="A5" s="48">
        <v>2020</v>
      </c>
      <c r="B5" s="48" t="s">
        <v>1241</v>
      </c>
      <c r="C5" s="48" t="s">
        <v>1242</v>
      </c>
      <c r="D5" s="48" t="s">
        <v>1243</v>
      </c>
    </row>
    <row r="6" spans="1:4" ht="15.6" thickBot="1" x14ac:dyDescent="0.35">
      <c r="A6" s="657">
        <v>2021</v>
      </c>
      <c r="B6" s="657" t="s">
        <v>1244</v>
      </c>
      <c r="C6" s="657" t="s">
        <v>1245</v>
      </c>
      <c r="D6" s="48" t="s">
        <v>1243</v>
      </c>
    </row>
    <row r="7" spans="1:4" ht="15.6" thickBot="1" x14ac:dyDescent="0.35">
      <c r="A7" s="658"/>
      <c r="B7" s="658"/>
      <c r="C7" s="658"/>
      <c r="D7" s="48" t="s">
        <v>1246</v>
      </c>
    </row>
    <row r="8" spans="1:4" ht="45.6" thickBot="1" x14ac:dyDescent="0.35">
      <c r="A8" s="48">
        <v>2022</v>
      </c>
      <c r="B8" s="48" t="s">
        <v>1247</v>
      </c>
      <c r="C8" s="48" t="s">
        <v>1248</v>
      </c>
      <c r="D8" s="48" t="s">
        <v>1249</v>
      </c>
    </row>
    <row r="9" spans="1:4" ht="15.6" thickBot="1" x14ac:dyDescent="0.35">
      <c r="A9" s="48">
        <v>2023</v>
      </c>
      <c r="B9" s="48" t="s">
        <v>1250</v>
      </c>
      <c r="C9" s="48" t="s">
        <v>1251</v>
      </c>
      <c r="D9" s="48" t="s">
        <v>1252</v>
      </c>
    </row>
    <row r="10" spans="1:4" ht="30" x14ac:dyDescent="0.3">
      <c r="A10" s="47">
        <v>2024</v>
      </c>
      <c r="B10" s="47" t="s">
        <v>1253</v>
      </c>
      <c r="C10" s="47" t="s">
        <v>1251</v>
      </c>
      <c r="D10" s="47" t="s">
        <v>1246</v>
      </c>
    </row>
    <row r="11" spans="1:4" ht="60" x14ac:dyDescent="0.3">
      <c r="A11" s="47">
        <v>2024</v>
      </c>
      <c r="B11" s="47" t="s">
        <v>1254</v>
      </c>
      <c r="C11" s="47" t="s">
        <v>1251</v>
      </c>
      <c r="D11" s="47" t="s">
        <v>1255</v>
      </c>
    </row>
    <row r="12" spans="1:4" ht="75" x14ac:dyDescent="0.3">
      <c r="A12" s="47">
        <v>2024</v>
      </c>
      <c r="B12" s="47" t="s">
        <v>1256</v>
      </c>
      <c r="C12" s="47" t="s">
        <v>1248</v>
      </c>
      <c r="D12" s="47" t="s">
        <v>1257</v>
      </c>
    </row>
    <row r="13" spans="1:4" ht="30" x14ac:dyDescent="0.35">
      <c r="A13" s="47">
        <v>2025</v>
      </c>
      <c r="B13" s="407" t="s">
        <v>1253</v>
      </c>
      <c r="C13" s="407" t="s">
        <v>1251</v>
      </c>
      <c r="D13" s="407" t="s">
        <v>1246</v>
      </c>
    </row>
    <row r="14" spans="1:4" ht="45" x14ac:dyDescent="0.35">
      <c r="A14" s="47">
        <v>2026</v>
      </c>
      <c r="B14" s="407" t="s">
        <v>1258</v>
      </c>
      <c r="C14" s="407" t="s">
        <v>1259</v>
      </c>
      <c r="D14" s="407" t="s">
        <v>1260</v>
      </c>
    </row>
  </sheetData>
  <mergeCells count="3">
    <mergeCell ref="A6:A7"/>
    <mergeCell ref="B6:B7"/>
    <mergeCell ref="C6:C7"/>
  </mergeCells>
  <pageMargins left="0.7" right="0.7" top="0.75" bottom="0.75" header="0.3" footer="0.3"/>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FEF90-1381-4691-A391-AA69B887F115}">
  <dimension ref="A1:I6"/>
  <sheetViews>
    <sheetView workbookViewId="0">
      <selection activeCell="I7" sqref="I7"/>
    </sheetView>
  </sheetViews>
  <sheetFormatPr baseColWidth="10" defaultColWidth="11.44140625" defaultRowHeight="14.4" x14ac:dyDescent="0.3"/>
  <cols>
    <col min="1" max="1" width="38.44140625" customWidth="1"/>
    <col min="2" max="2" width="19.6640625" customWidth="1"/>
    <col min="3" max="7" width="5" bestFit="1" customWidth="1"/>
    <col min="8" max="8" width="6.44140625" customWidth="1"/>
    <col min="9" max="9" width="10.88671875" customWidth="1"/>
    <col min="10" max="10" width="6.44140625" bestFit="1" customWidth="1"/>
  </cols>
  <sheetData>
    <row r="1" spans="1:9" x14ac:dyDescent="0.3">
      <c r="A1" t="s">
        <v>355</v>
      </c>
      <c r="B1">
        <v>121</v>
      </c>
    </row>
    <row r="2" spans="1:9" x14ac:dyDescent="0.3">
      <c r="A2" t="s">
        <v>5</v>
      </c>
      <c r="B2" t="s">
        <v>1261</v>
      </c>
    </row>
    <row r="3" spans="1:9" ht="15" thickBot="1" x14ac:dyDescent="0.35"/>
    <row r="4" spans="1:9" ht="15" thickBot="1" x14ac:dyDescent="0.35">
      <c r="A4" s="69" t="s">
        <v>1262</v>
      </c>
      <c r="B4" s="69">
        <v>2019</v>
      </c>
      <c r="C4" s="69">
        <v>2020</v>
      </c>
      <c r="D4" s="69">
        <v>2021</v>
      </c>
      <c r="E4" s="69">
        <v>2022</v>
      </c>
      <c r="F4" s="69">
        <v>2023</v>
      </c>
      <c r="G4" s="69">
        <v>2024</v>
      </c>
      <c r="H4" s="69">
        <v>2025</v>
      </c>
      <c r="I4" s="69" t="s">
        <v>362</v>
      </c>
    </row>
    <row r="5" spans="1:9" x14ac:dyDescent="0.3">
      <c r="A5" s="71" t="s">
        <v>1263</v>
      </c>
      <c r="B5" s="71">
        <v>4</v>
      </c>
      <c r="C5" s="71">
        <v>8</v>
      </c>
      <c r="D5" s="71">
        <v>10</v>
      </c>
      <c r="E5" s="71">
        <v>8</v>
      </c>
      <c r="F5" s="71">
        <v>1</v>
      </c>
      <c r="G5" s="71">
        <v>2</v>
      </c>
      <c r="H5" s="546">
        <v>5</v>
      </c>
      <c r="I5" s="546">
        <v>8</v>
      </c>
    </row>
    <row r="6" spans="1:9" x14ac:dyDescent="0.3">
      <c r="A6" s="71" t="s">
        <v>1264</v>
      </c>
      <c r="B6" s="71">
        <v>37</v>
      </c>
      <c r="C6" s="71">
        <v>20</v>
      </c>
      <c r="D6" s="71">
        <v>14</v>
      </c>
      <c r="E6" s="71">
        <v>15</v>
      </c>
      <c r="F6" s="71">
        <v>17</v>
      </c>
      <c r="G6" s="71">
        <v>16</v>
      </c>
      <c r="H6" s="546">
        <v>16</v>
      </c>
      <c r="I6" s="546">
        <v>8</v>
      </c>
    </row>
  </sheetData>
  <pageMargins left="0.7" right="0.7" top="0.75" bottom="0.75" header="0.3" footer="0.3"/>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07B4-1AE7-4116-B2D7-AF0BAEE60B83}">
  <dimension ref="A1:I10"/>
  <sheetViews>
    <sheetView workbookViewId="0">
      <selection activeCell="A4" sqref="A4:I10"/>
    </sheetView>
  </sheetViews>
  <sheetFormatPr baseColWidth="10" defaultColWidth="11.44140625" defaultRowHeight="14.4" x14ac:dyDescent="0.3"/>
  <cols>
    <col min="1" max="1" width="38.44140625" customWidth="1"/>
    <col min="2" max="2" width="8.44140625" customWidth="1"/>
    <col min="3" max="3" width="7" customWidth="1"/>
    <col min="4" max="4" width="10.44140625" customWidth="1"/>
    <col min="5" max="8" width="11.44140625" customWidth="1"/>
    <col min="9" max="9" width="7.44140625" bestFit="1" customWidth="1"/>
    <col min="10" max="10" width="6.44140625" bestFit="1" customWidth="1"/>
  </cols>
  <sheetData>
    <row r="1" spans="1:9" x14ac:dyDescent="0.3">
      <c r="A1" t="s">
        <v>355</v>
      </c>
      <c r="B1">
        <v>122</v>
      </c>
    </row>
    <row r="2" spans="1:9" x14ac:dyDescent="0.3">
      <c r="A2" t="s">
        <v>5</v>
      </c>
      <c r="B2" s="349" t="s">
        <v>325</v>
      </c>
      <c r="C2" s="332"/>
    </row>
    <row r="3" spans="1:9" ht="15" thickBot="1" x14ac:dyDescent="0.35"/>
    <row r="4" spans="1:9" ht="15" thickBot="1" x14ac:dyDescent="0.35">
      <c r="A4" s="69" t="s">
        <v>1265</v>
      </c>
      <c r="B4" s="69">
        <v>2019</v>
      </c>
      <c r="C4" s="69">
        <v>2020</v>
      </c>
      <c r="D4" s="69">
        <v>2021</v>
      </c>
      <c r="E4" s="69">
        <v>2022</v>
      </c>
      <c r="F4" s="69">
        <v>2023</v>
      </c>
      <c r="G4" s="155">
        <v>2024</v>
      </c>
      <c r="H4" s="155">
        <v>2025</v>
      </c>
      <c r="I4" s="155" t="s">
        <v>362</v>
      </c>
    </row>
    <row r="5" spans="1:9" ht="15" thickBot="1" x14ac:dyDescent="0.35">
      <c r="A5" s="71" t="s">
        <v>1263</v>
      </c>
      <c r="B5" s="71">
        <v>1119</v>
      </c>
      <c r="C5" s="156">
        <v>8970</v>
      </c>
      <c r="D5" s="156">
        <v>23269</v>
      </c>
      <c r="E5" s="156">
        <v>28783</v>
      </c>
      <c r="F5" s="156">
        <v>28639</v>
      </c>
      <c r="G5" s="331">
        <v>29431</v>
      </c>
      <c r="H5" s="547">
        <v>27001</v>
      </c>
      <c r="I5" s="547">
        <v>12952</v>
      </c>
    </row>
    <row r="6" spans="1:9" ht="15" thickBot="1" x14ac:dyDescent="0.35">
      <c r="A6" s="71" t="s">
        <v>781</v>
      </c>
      <c r="B6" s="71"/>
      <c r="C6" s="156"/>
      <c r="D6" s="156"/>
      <c r="E6" s="156"/>
      <c r="F6" s="156"/>
      <c r="G6" s="331"/>
      <c r="H6" s="547">
        <v>11598</v>
      </c>
      <c r="I6" s="547">
        <v>15531</v>
      </c>
    </row>
    <row r="7" spans="1:9" ht="15" thickBot="1" x14ac:dyDescent="0.35">
      <c r="A7" s="71" t="s">
        <v>1264</v>
      </c>
      <c r="B7" s="71"/>
      <c r="C7" s="71"/>
      <c r="D7" s="71"/>
      <c r="E7" s="156">
        <v>177000</v>
      </c>
      <c r="F7" s="156">
        <v>343331</v>
      </c>
      <c r="G7" s="331">
        <v>13000</v>
      </c>
      <c r="H7" s="547">
        <v>24936</v>
      </c>
      <c r="I7" s="547">
        <v>28503</v>
      </c>
    </row>
    <row r="8" spans="1:9" ht="15" thickBot="1" x14ac:dyDescent="0.35">
      <c r="A8" s="91" t="s">
        <v>1266</v>
      </c>
      <c r="B8" s="91">
        <v>2019</v>
      </c>
      <c r="C8" s="91">
        <v>2020</v>
      </c>
      <c r="D8" s="91">
        <v>2021</v>
      </c>
      <c r="E8" s="91">
        <v>2022</v>
      </c>
      <c r="F8" s="91">
        <v>2023</v>
      </c>
      <c r="G8" s="330">
        <v>2024</v>
      </c>
      <c r="H8" s="330">
        <v>2025</v>
      </c>
      <c r="I8" s="330" t="s">
        <v>362</v>
      </c>
    </row>
    <row r="9" spans="1:9" ht="15" thickBot="1" x14ac:dyDescent="0.35">
      <c r="A9" s="71" t="s">
        <v>781</v>
      </c>
      <c r="B9" s="71"/>
      <c r="C9" s="71"/>
      <c r="D9" s="71"/>
      <c r="E9" s="156"/>
      <c r="F9" s="156"/>
      <c r="G9" s="331">
        <v>302849</v>
      </c>
      <c r="H9" s="547">
        <v>46999</v>
      </c>
      <c r="I9" s="547">
        <v>75658</v>
      </c>
    </row>
    <row r="10" spans="1:9" ht="15" thickBot="1" x14ac:dyDescent="0.35">
      <c r="A10" s="71" t="s">
        <v>1264</v>
      </c>
      <c r="B10" s="71"/>
      <c r="C10" s="71"/>
      <c r="D10" s="71"/>
      <c r="E10" s="156">
        <v>328516</v>
      </c>
      <c r="F10" s="156">
        <v>520331</v>
      </c>
      <c r="G10" s="331">
        <v>541141</v>
      </c>
      <c r="H10" s="547">
        <v>783820</v>
      </c>
      <c r="I10" s="547">
        <v>529889</v>
      </c>
    </row>
  </sheetData>
  <pageMargins left="0.7" right="0.7" top="0.75" bottom="0.75" header="0.3" footer="0.3"/>
  <drawing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09297-68D3-415A-9469-7163FB66B945}">
  <dimension ref="A1:D70"/>
  <sheetViews>
    <sheetView topLeftCell="A2" workbookViewId="0">
      <selection activeCell="A2" sqref="A2"/>
    </sheetView>
  </sheetViews>
  <sheetFormatPr baseColWidth="10" defaultColWidth="11.44140625" defaultRowHeight="14.4" x14ac:dyDescent="0.3"/>
  <cols>
    <col min="1" max="1" width="8.44140625" style="328" bestFit="1" customWidth="1"/>
    <col min="2" max="2" width="15.44140625" style="328" customWidth="1"/>
    <col min="3" max="3" width="53.44140625" style="341" customWidth="1"/>
    <col min="4" max="4" width="34.44140625" customWidth="1"/>
    <col min="5" max="5" width="4.44140625" customWidth="1"/>
    <col min="6" max="6" width="6.44140625" bestFit="1" customWidth="1"/>
  </cols>
  <sheetData>
    <row r="1" spans="1:4" x14ac:dyDescent="0.3">
      <c r="A1" s="328" t="s">
        <v>355</v>
      </c>
      <c r="B1" s="341">
        <v>123</v>
      </c>
    </row>
    <row r="2" spans="1:4" x14ac:dyDescent="0.3">
      <c r="A2" s="328" t="s">
        <v>5</v>
      </c>
      <c r="B2" s="341" t="s">
        <v>157</v>
      </c>
    </row>
    <row r="3" spans="1:4" ht="15" thickBot="1" x14ac:dyDescent="0.35"/>
    <row r="4" spans="1:4" ht="15" thickBot="1" x14ac:dyDescent="0.35">
      <c r="A4" s="342" t="s">
        <v>535</v>
      </c>
      <c r="B4" s="342" t="s">
        <v>1267</v>
      </c>
      <c r="C4" s="343" t="s">
        <v>1268</v>
      </c>
      <c r="D4" s="342" t="s">
        <v>1269</v>
      </c>
    </row>
    <row r="5" spans="1:4" ht="15" thickBot="1" x14ac:dyDescent="0.35">
      <c r="A5" s="467">
        <v>2019</v>
      </c>
      <c r="B5" s="467" t="s">
        <v>1270</v>
      </c>
      <c r="C5" s="468" t="s">
        <v>1271</v>
      </c>
      <c r="D5" s="469" t="s">
        <v>1272</v>
      </c>
    </row>
    <row r="6" spans="1:4" ht="15" thickBot="1" x14ac:dyDescent="0.35">
      <c r="A6" s="467">
        <v>2019</v>
      </c>
      <c r="B6" s="470" t="s">
        <v>1273</v>
      </c>
      <c r="C6" s="468" t="s">
        <v>1274</v>
      </c>
      <c r="D6" s="471" t="s">
        <v>1275</v>
      </c>
    </row>
    <row r="7" spans="1:4" ht="15" thickBot="1" x14ac:dyDescent="0.35">
      <c r="A7" s="472">
        <v>2019</v>
      </c>
      <c r="B7" s="473" t="s">
        <v>1273</v>
      </c>
      <c r="C7" s="474" t="s">
        <v>1276</v>
      </c>
      <c r="D7" s="475" t="s">
        <v>1277</v>
      </c>
    </row>
    <row r="8" spans="1:4" ht="15" thickBot="1" x14ac:dyDescent="0.35">
      <c r="A8" s="472">
        <v>2019</v>
      </c>
      <c r="B8" s="473" t="s">
        <v>1273</v>
      </c>
      <c r="C8" s="474" t="s">
        <v>1278</v>
      </c>
      <c r="D8" s="475" t="s">
        <v>1279</v>
      </c>
    </row>
    <row r="9" spans="1:4" ht="15" thickBot="1" x14ac:dyDescent="0.35">
      <c r="A9" s="472">
        <v>2019</v>
      </c>
      <c r="B9" s="473" t="s">
        <v>1280</v>
      </c>
      <c r="C9" s="474" t="s">
        <v>1281</v>
      </c>
      <c r="D9" s="471" t="s">
        <v>1282</v>
      </c>
    </row>
    <row r="10" spans="1:4" ht="15" thickBot="1" x14ac:dyDescent="0.35">
      <c r="A10" s="467">
        <v>2020</v>
      </c>
      <c r="B10" s="470" t="s">
        <v>1283</v>
      </c>
      <c r="C10" s="468" t="s">
        <v>1284</v>
      </c>
      <c r="D10" s="471" t="s">
        <v>1285</v>
      </c>
    </row>
    <row r="11" spans="1:4" ht="15" thickBot="1" x14ac:dyDescent="0.35">
      <c r="A11" s="476">
        <v>2020</v>
      </c>
      <c r="B11" s="477" t="s">
        <v>1280</v>
      </c>
      <c r="C11" s="474" t="s">
        <v>1286</v>
      </c>
      <c r="D11" s="475" t="s">
        <v>1277</v>
      </c>
    </row>
    <row r="12" spans="1:4" ht="15" thickBot="1" x14ac:dyDescent="0.35">
      <c r="A12" s="476">
        <v>2020</v>
      </c>
      <c r="B12" s="477" t="s">
        <v>1280</v>
      </c>
      <c r="C12" s="474" t="s">
        <v>1287</v>
      </c>
      <c r="D12" s="475" t="s">
        <v>1288</v>
      </c>
    </row>
    <row r="13" spans="1:4" ht="15" thickBot="1" x14ac:dyDescent="0.35">
      <c r="A13" s="476">
        <v>2020</v>
      </c>
      <c r="B13" s="476" t="s">
        <v>1280</v>
      </c>
      <c r="C13" s="474" t="s">
        <v>1289</v>
      </c>
      <c r="D13" s="475" t="s">
        <v>1277</v>
      </c>
    </row>
    <row r="14" spans="1:4" ht="15" thickBot="1" x14ac:dyDescent="0.35">
      <c r="A14" s="476">
        <v>2020</v>
      </c>
      <c r="B14" s="476" t="s">
        <v>1290</v>
      </c>
      <c r="C14" s="474" t="s">
        <v>1291</v>
      </c>
      <c r="D14" s="478" t="s">
        <v>1292</v>
      </c>
    </row>
    <row r="15" spans="1:4" ht="15" thickBot="1" x14ac:dyDescent="0.35">
      <c r="A15" s="476">
        <v>2020</v>
      </c>
      <c r="B15" s="476" t="s">
        <v>1293</v>
      </c>
      <c r="C15" s="479" t="s">
        <v>1294</v>
      </c>
      <c r="D15" s="475" t="s">
        <v>1295</v>
      </c>
    </row>
    <row r="16" spans="1:4" ht="15" thickBot="1" x14ac:dyDescent="0.35">
      <c r="A16" s="476">
        <v>2020</v>
      </c>
      <c r="B16" s="476" t="s">
        <v>1296</v>
      </c>
      <c r="C16" s="479" t="s">
        <v>1297</v>
      </c>
      <c r="D16" s="475" t="s">
        <v>1298</v>
      </c>
    </row>
    <row r="17" spans="1:4" ht="15" thickBot="1" x14ac:dyDescent="0.35">
      <c r="A17" s="476">
        <v>2020</v>
      </c>
      <c r="B17" s="476" t="s">
        <v>1290</v>
      </c>
      <c r="C17" s="479" t="s">
        <v>1299</v>
      </c>
      <c r="D17" s="475" t="s">
        <v>1300</v>
      </c>
    </row>
    <row r="18" spans="1:4" ht="15" thickBot="1" x14ac:dyDescent="0.35">
      <c r="A18" s="476">
        <v>2020</v>
      </c>
      <c r="B18" s="476" t="s">
        <v>1301</v>
      </c>
      <c r="C18" s="479" t="s">
        <v>1302</v>
      </c>
      <c r="D18" s="475" t="s">
        <v>1303</v>
      </c>
    </row>
    <row r="19" spans="1:4" ht="15" thickBot="1" x14ac:dyDescent="0.35">
      <c r="A19" s="476">
        <v>2020</v>
      </c>
      <c r="B19" s="476" t="s">
        <v>1280</v>
      </c>
      <c r="C19" s="479" t="s">
        <v>1304</v>
      </c>
      <c r="D19" s="475" t="s">
        <v>1305</v>
      </c>
    </row>
    <row r="20" spans="1:4" ht="15" thickBot="1" x14ac:dyDescent="0.35">
      <c r="A20" s="476">
        <v>2020</v>
      </c>
      <c r="B20" s="476" t="s">
        <v>1290</v>
      </c>
      <c r="C20" s="479" t="s">
        <v>1306</v>
      </c>
      <c r="D20" s="475" t="s">
        <v>1307</v>
      </c>
    </row>
    <row r="21" spans="1:4" ht="15" thickBot="1" x14ac:dyDescent="0.35">
      <c r="A21" s="476">
        <v>2020</v>
      </c>
      <c r="B21" s="476" t="s">
        <v>1308</v>
      </c>
      <c r="C21" s="474" t="s">
        <v>1309</v>
      </c>
      <c r="D21" s="478" t="s">
        <v>1310</v>
      </c>
    </row>
    <row r="22" spans="1:4" ht="15" thickBot="1" x14ac:dyDescent="0.35">
      <c r="A22" s="476">
        <v>2020</v>
      </c>
      <c r="B22" s="476" t="s">
        <v>1280</v>
      </c>
      <c r="C22" s="474" t="s">
        <v>1311</v>
      </c>
      <c r="D22" s="478" t="s">
        <v>1310</v>
      </c>
    </row>
    <row r="23" spans="1:4" ht="15" thickBot="1" x14ac:dyDescent="0.35">
      <c r="A23" s="476">
        <v>2020</v>
      </c>
      <c r="B23" s="476" t="s">
        <v>1280</v>
      </c>
      <c r="C23" s="474" t="s">
        <v>1312</v>
      </c>
      <c r="D23" s="478" t="s">
        <v>1313</v>
      </c>
    </row>
    <row r="24" spans="1:4" ht="15" thickBot="1" x14ac:dyDescent="0.35">
      <c r="A24" s="476">
        <v>2020</v>
      </c>
      <c r="B24" s="476" t="s">
        <v>1290</v>
      </c>
      <c r="C24" s="474" t="s">
        <v>1314</v>
      </c>
      <c r="D24" s="478" t="s">
        <v>1315</v>
      </c>
    </row>
    <row r="25" spans="1:4" ht="15" thickBot="1" x14ac:dyDescent="0.35">
      <c r="A25" s="467">
        <v>2021</v>
      </c>
      <c r="B25" s="467" t="s">
        <v>1316</v>
      </c>
      <c r="C25" s="468" t="s">
        <v>1317</v>
      </c>
      <c r="D25" s="469" t="s">
        <v>1318</v>
      </c>
    </row>
    <row r="26" spans="1:4" ht="15" thickBot="1" x14ac:dyDescent="0.35">
      <c r="A26" s="467">
        <v>2021</v>
      </c>
      <c r="B26" s="477" t="s">
        <v>1319</v>
      </c>
      <c r="C26" s="480" t="s">
        <v>1320</v>
      </c>
      <c r="D26" s="475" t="s">
        <v>1321</v>
      </c>
    </row>
    <row r="27" spans="1:4" ht="15" thickBot="1" x14ac:dyDescent="0.35">
      <c r="A27" s="467">
        <v>2021</v>
      </c>
      <c r="B27" s="477" t="s">
        <v>1322</v>
      </c>
      <c r="C27" s="480" t="s">
        <v>1323</v>
      </c>
      <c r="D27" s="475" t="s">
        <v>1324</v>
      </c>
    </row>
    <row r="28" spans="1:4" x14ac:dyDescent="0.3">
      <c r="A28" s="481">
        <v>2021</v>
      </c>
      <c r="B28" s="477" t="s">
        <v>1325</v>
      </c>
      <c r="C28" s="480" t="s">
        <v>1326</v>
      </c>
      <c r="D28" s="475" t="s">
        <v>1327</v>
      </c>
    </row>
    <row r="29" spans="1:4" x14ac:dyDescent="0.3">
      <c r="A29" s="470">
        <v>2021</v>
      </c>
      <c r="B29" s="477" t="s">
        <v>1328</v>
      </c>
      <c r="C29" s="480" t="s">
        <v>1329</v>
      </c>
      <c r="D29" s="475" t="s">
        <v>1330</v>
      </c>
    </row>
    <row r="30" spans="1:4" x14ac:dyDescent="0.3">
      <c r="A30" s="470">
        <v>2021</v>
      </c>
      <c r="B30" s="477" t="s">
        <v>1293</v>
      </c>
      <c r="C30" s="480" t="s">
        <v>1331</v>
      </c>
      <c r="D30" s="475" t="s">
        <v>1332</v>
      </c>
    </row>
    <row r="31" spans="1:4" x14ac:dyDescent="0.3">
      <c r="A31" s="470">
        <v>2021</v>
      </c>
      <c r="B31" s="470" t="s">
        <v>1333</v>
      </c>
      <c r="C31" s="480" t="s">
        <v>1334</v>
      </c>
      <c r="D31" s="471" t="s">
        <v>1335</v>
      </c>
    </row>
    <row r="32" spans="1:4" x14ac:dyDescent="0.3">
      <c r="A32" s="470">
        <v>2021</v>
      </c>
      <c r="B32" s="470" t="s">
        <v>1336</v>
      </c>
      <c r="C32" s="480" t="s">
        <v>1337</v>
      </c>
      <c r="D32" s="471" t="s">
        <v>1282</v>
      </c>
    </row>
    <row r="33" spans="1:4" x14ac:dyDescent="0.3">
      <c r="A33" s="470">
        <v>2022</v>
      </c>
      <c r="B33" s="470" t="s">
        <v>1338</v>
      </c>
      <c r="C33" s="480" t="s">
        <v>1339</v>
      </c>
      <c r="D33" s="471" t="s">
        <v>1340</v>
      </c>
    </row>
    <row r="34" spans="1:4" x14ac:dyDescent="0.3">
      <c r="A34" s="470">
        <v>2022</v>
      </c>
      <c r="B34" s="470" t="s">
        <v>1319</v>
      </c>
      <c r="C34" s="479" t="s">
        <v>1341</v>
      </c>
      <c r="D34" s="475" t="s">
        <v>1298</v>
      </c>
    </row>
    <row r="35" spans="1:4" x14ac:dyDescent="0.3">
      <c r="A35" s="470">
        <v>2022</v>
      </c>
      <c r="B35" s="470" t="s">
        <v>384</v>
      </c>
      <c r="C35" s="479" t="s">
        <v>1342</v>
      </c>
      <c r="D35" s="475" t="s">
        <v>1330</v>
      </c>
    </row>
    <row r="36" spans="1:4" x14ac:dyDescent="0.3">
      <c r="A36" s="470">
        <v>2022</v>
      </c>
      <c r="B36" s="470" t="s">
        <v>1343</v>
      </c>
      <c r="C36" s="479" t="s">
        <v>1344</v>
      </c>
      <c r="D36" s="475" t="s">
        <v>1345</v>
      </c>
    </row>
    <row r="37" spans="1:4" x14ac:dyDescent="0.3">
      <c r="A37" s="470">
        <v>2022</v>
      </c>
      <c r="B37" s="470" t="s">
        <v>1346</v>
      </c>
      <c r="C37" s="479" t="s">
        <v>1347</v>
      </c>
      <c r="D37" s="475" t="s">
        <v>1348</v>
      </c>
    </row>
    <row r="38" spans="1:4" x14ac:dyDescent="0.3">
      <c r="A38" s="470">
        <v>2022</v>
      </c>
      <c r="B38" s="470" t="s">
        <v>1322</v>
      </c>
      <c r="C38" s="479" t="s">
        <v>1349</v>
      </c>
      <c r="D38" s="475" t="s">
        <v>1350</v>
      </c>
    </row>
    <row r="39" spans="1:4" x14ac:dyDescent="0.3">
      <c r="A39" s="470">
        <v>2022</v>
      </c>
      <c r="B39" s="470" t="s">
        <v>1273</v>
      </c>
      <c r="C39" s="479" t="s">
        <v>1351</v>
      </c>
      <c r="D39" s="475" t="s">
        <v>1352</v>
      </c>
    </row>
    <row r="40" spans="1:4" x14ac:dyDescent="0.3">
      <c r="A40" s="470">
        <v>2023</v>
      </c>
      <c r="B40" s="470" t="s">
        <v>1273</v>
      </c>
      <c r="C40" s="480" t="s">
        <v>1353</v>
      </c>
      <c r="D40" s="470" t="s">
        <v>1354</v>
      </c>
    </row>
    <row r="41" spans="1:4" x14ac:dyDescent="0.3">
      <c r="A41" s="470">
        <v>2023</v>
      </c>
      <c r="B41" s="477" t="s">
        <v>1355</v>
      </c>
      <c r="C41" s="479" t="s">
        <v>1356</v>
      </c>
      <c r="D41" s="471" t="s">
        <v>1282</v>
      </c>
    </row>
    <row r="42" spans="1:4" x14ac:dyDescent="0.3">
      <c r="A42" s="470">
        <v>2023</v>
      </c>
      <c r="B42" s="477" t="s">
        <v>1316</v>
      </c>
      <c r="C42" s="479" t="s">
        <v>1357</v>
      </c>
      <c r="D42" s="475" t="s">
        <v>1358</v>
      </c>
    </row>
    <row r="43" spans="1:4" x14ac:dyDescent="0.3">
      <c r="A43" s="470">
        <v>2023</v>
      </c>
      <c r="B43" s="477" t="s">
        <v>1316</v>
      </c>
      <c r="C43" s="479" t="s">
        <v>1359</v>
      </c>
      <c r="D43" s="475" t="s">
        <v>1360</v>
      </c>
    </row>
    <row r="44" spans="1:4" x14ac:dyDescent="0.3">
      <c r="A44" s="470">
        <v>2023</v>
      </c>
      <c r="B44" s="477" t="s">
        <v>1361</v>
      </c>
      <c r="C44" s="479" t="s">
        <v>1362</v>
      </c>
      <c r="D44" s="475" t="s">
        <v>1363</v>
      </c>
    </row>
    <row r="45" spans="1:4" x14ac:dyDescent="0.3">
      <c r="A45" s="470">
        <v>2023</v>
      </c>
      <c r="B45" s="477" t="s">
        <v>1364</v>
      </c>
      <c r="C45" s="479" t="s">
        <v>1365</v>
      </c>
      <c r="D45" s="475" t="s">
        <v>1366</v>
      </c>
    </row>
    <row r="46" spans="1:4" x14ac:dyDescent="0.3">
      <c r="A46" s="470">
        <v>2024</v>
      </c>
      <c r="B46" s="477" t="s">
        <v>1367</v>
      </c>
      <c r="C46" s="479" t="s">
        <v>1368</v>
      </c>
      <c r="D46" s="475" t="s">
        <v>1332</v>
      </c>
    </row>
    <row r="47" spans="1:4" x14ac:dyDescent="0.3">
      <c r="A47" s="470">
        <v>2024</v>
      </c>
      <c r="B47" s="477" t="s">
        <v>1369</v>
      </c>
      <c r="C47" s="479" t="s">
        <v>1370</v>
      </c>
      <c r="D47" s="475" t="s">
        <v>1371</v>
      </c>
    </row>
    <row r="48" spans="1:4" x14ac:dyDescent="0.3">
      <c r="A48" s="470">
        <v>2024</v>
      </c>
      <c r="B48" s="477" t="s">
        <v>1372</v>
      </c>
      <c r="C48" s="479" t="s">
        <v>1373</v>
      </c>
      <c r="D48" s="475" t="s">
        <v>1277</v>
      </c>
    </row>
    <row r="49" spans="1:4" x14ac:dyDescent="0.3">
      <c r="A49" s="470">
        <v>2024</v>
      </c>
      <c r="B49" s="477" t="s">
        <v>1374</v>
      </c>
      <c r="C49" s="479" t="s">
        <v>1375</v>
      </c>
      <c r="D49" s="471" t="s">
        <v>1282</v>
      </c>
    </row>
    <row r="50" spans="1:4" x14ac:dyDescent="0.3">
      <c r="A50" s="470">
        <v>2024</v>
      </c>
      <c r="B50" s="477" t="s">
        <v>1376</v>
      </c>
      <c r="C50" s="479" t="s">
        <v>1377</v>
      </c>
      <c r="D50" s="475" t="s">
        <v>1378</v>
      </c>
    </row>
    <row r="51" spans="1:4" x14ac:dyDescent="0.3">
      <c r="A51" s="470">
        <v>2024</v>
      </c>
      <c r="B51" s="477" t="s">
        <v>1379</v>
      </c>
      <c r="C51" s="479" t="s">
        <v>1380</v>
      </c>
      <c r="D51" s="475" t="s">
        <v>1381</v>
      </c>
    </row>
    <row r="52" spans="1:4" x14ac:dyDescent="0.3">
      <c r="A52" s="470">
        <v>2024</v>
      </c>
      <c r="B52" s="477" t="s">
        <v>1382</v>
      </c>
      <c r="C52" s="479" t="s">
        <v>1383</v>
      </c>
      <c r="D52" s="475" t="s">
        <v>1384</v>
      </c>
    </row>
    <row r="53" spans="1:4" x14ac:dyDescent="0.3">
      <c r="A53" s="470">
        <v>2024</v>
      </c>
      <c r="B53" s="477" t="s">
        <v>1385</v>
      </c>
      <c r="C53" s="479" t="s">
        <v>1386</v>
      </c>
      <c r="D53" s="475" t="s">
        <v>1345</v>
      </c>
    </row>
    <row r="54" spans="1:4" x14ac:dyDescent="0.3">
      <c r="A54" s="470">
        <v>2024</v>
      </c>
      <c r="B54" s="477" t="s">
        <v>1290</v>
      </c>
      <c r="C54" s="479" t="s">
        <v>1387</v>
      </c>
      <c r="D54" s="475" t="s">
        <v>1388</v>
      </c>
    </row>
    <row r="55" spans="1:4" x14ac:dyDescent="0.3">
      <c r="A55" s="470">
        <v>2024</v>
      </c>
      <c r="B55" s="477" t="s">
        <v>1316</v>
      </c>
      <c r="C55" s="479" t="s">
        <v>1389</v>
      </c>
      <c r="D55" s="475" t="s">
        <v>1390</v>
      </c>
    </row>
    <row r="56" spans="1:4" x14ac:dyDescent="0.3">
      <c r="A56" s="470">
        <v>2024</v>
      </c>
      <c r="B56" s="477" t="s">
        <v>1290</v>
      </c>
      <c r="C56" s="479" t="s">
        <v>1391</v>
      </c>
      <c r="D56" s="475" t="s">
        <v>1392</v>
      </c>
    </row>
    <row r="57" spans="1:4" x14ac:dyDescent="0.3">
      <c r="A57" s="470">
        <v>2024</v>
      </c>
      <c r="B57" s="477" t="s">
        <v>1393</v>
      </c>
      <c r="C57" s="479" t="s">
        <v>1394</v>
      </c>
      <c r="D57" s="475" t="s">
        <v>1395</v>
      </c>
    </row>
    <row r="58" spans="1:4" x14ac:dyDescent="0.3">
      <c r="A58" s="482">
        <v>2024</v>
      </c>
      <c r="B58" s="483" t="s">
        <v>1290</v>
      </c>
      <c r="C58" s="484" t="s">
        <v>1396</v>
      </c>
      <c r="D58" s="485" t="s">
        <v>1292</v>
      </c>
    </row>
    <row r="59" spans="1:4" x14ac:dyDescent="0.3">
      <c r="A59" s="470">
        <v>2024</v>
      </c>
      <c r="B59" s="477" t="s">
        <v>1376</v>
      </c>
      <c r="C59" s="479" t="s">
        <v>1397</v>
      </c>
      <c r="D59" s="475" t="s">
        <v>1398</v>
      </c>
    </row>
    <row r="60" spans="1:4" x14ac:dyDescent="0.3">
      <c r="A60" s="470">
        <v>2024</v>
      </c>
      <c r="B60" s="477" t="s">
        <v>1296</v>
      </c>
      <c r="C60" s="479" t="s">
        <v>1399</v>
      </c>
      <c r="D60" s="475" t="s">
        <v>1298</v>
      </c>
    </row>
    <row r="61" spans="1:4" x14ac:dyDescent="0.3">
      <c r="A61" s="473">
        <v>2025</v>
      </c>
      <c r="B61" s="486" t="s">
        <v>1400</v>
      </c>
      <c r="C61" s="486" t="s">
        <v>1401</v>
      </c>
      <c r="D61" s="486" t="s">
        <v>1402</v>
      </c>
    </row>
    <row r="62" spans="1:4" x14ac:dyDescent="0.3">
      <c r="A62" s="473">
        <v>2025</v>
      </c>
      <c r="B62" s="486" t="s">
        <v>1403</v>
      </c>
      <c r="C62" s="486" t="s">
        <v>1404</v>
      </c>
      <c r="D62" s="486" t="s">
        <v>1405</v>
      </c>
    </row>
    <row r="63" spans="1:4" x14ac:dyDescent="0.3">
      <c r="A63" s="473">
        <v>2025</v>
      </c>
      <c r="B63" s="486" t="s">
        <v>1406</v>
      </c>
      <c r="C63" s="486" t="s">
        <v>1407</v>
      </c>
      <c r="D63" s="486" t="s">
        <v>1408</v>
      </c>
    </row>
    <row r="64" spans="1:4" x14ac:dyDescent="0.3">
      <c r="A64" s="473">
        <v>2025</v>
      </c>
      <c r="B64" s="486" t="s">
        <v>1409</v>
      </c>
      <c r="C64" s="486" t="s">
        <v>1410</v>
      </c>
      <c r="D64" s="486" t="s">
        <v>1411</v>
      </c>
    </row>
    <row r="65" spans="1:4" x14ac:dyDescent="0.3">
      <c r="A65" s="473">
        <v>2025</v>
      </c>
      <c r="B65" s="486" t="s">
        <v>1412</v>
      </c>
      <c r="C65" s="486" t="s">
        <v>1413</v>
      </c>
      <c r="D65" s="486" t="s">
        <v>1414</v>
      </c>
    </row>
    <row r="66" spans="1:4" x14ac:dyDescent="0.3">
      <c r="A66" s="473">
        <v>2025</v>
      </c>
      <c r="B66" s="486" t="s">
        <v>1415</v>
      </c>
      <c r="C66" s="486" t="s">
        <v>1416</v>
      </c>
      <c r="D66" s="486" t="s">
        <v>1417</v>
      </c>
    </row>
    <row r="67" spans="1:4" x14ac:dyDescent="0.3">
      <c r="A67" s="473">
        <v>2025</v>
      </c>
      <c r="B67" s="486" t="s">
        <v>1418</v>
      </c>
      <c r="C67" s="486" t="s">
        <v>1419</v>
      </c>
      <c r="D67" s="486" t="s">
        <v>1420</v>
      </c>
    </row>
    <row r="68" spans="1:4" x14ac:dyDescent="0.3">
      <c r="A68" s="473">
        <v>2025</v>
      </c>
      <c r="B68" s="486" t="s">
        <v>1421</v>
      </c>
      <c r="C68" s="486" t="s">
        <v>1422</v>
      </c>
      <c r="D68" s="486" t="s">
        <v>1423</v>
      </c>
    </row>
    <row r="69" spans="1:4" x14ac:dyDescent="0.3">
      <c r="A69" s="473">
        <v>2025</v>
      </c>
      <c r="B69" s="486" t="s">
        <v>1424</v>
      </c>
      <c r="C69" s="486" t="s">
        <v>1425</v>
      </c>
      <c r="D69" s="486" t="s">
        <v>1426</v>
      </c>
    </row>
    <row r="70" spans="1:4" x14ac:dyDescent="0.3">
      <c r="A70" s="328">
        <v>2026</v>
      </c>
    </row>
  </sheetData>
  <sortState xmlns:xlrd2="http://schemas.microsoft.com/office/spreadsheetml/2017/richdata2" ref="A5:D26">
    <sortCondition ref="A5:A26"/>
  </sortState>
  <pageMargins left="0.7" right="0.7" top="0.75" bottom="0.75" header="0.3" footer="0.3"/>
  <drawing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F6085-FA38-418C-B38D-8A17A4348BFD}">
  <dimension ref="A1:O8"/>
  <sheetViews>
    <sheetView workbookViewId="0">
      <selection activeCell="M5" sqref="M5"/>
    </sheetView>
  </sheetViews>
  <sheetFormatPr baseColWidth="10" defaultColWidth="11.44140625" defaultRowHeight="14.4" x14ac:dyDescent="0.3"/>
  <cols>
    <col min="1" max="1" width="28.44140625" customWidth="1"/>
    <col min="2" max="2" width="8" customWidth="1"/>
    <col min="3" max="15" width="6.44140625" customWidth="1"/>
  </cols>
  <sheetData>
    <row r="1" spans="1:15" x14ac:dyDescent="0.3">
      <c r="A1" t="s">
        <v>355</v>
      </c>
      <c r="B1">
        <v>126</v>
      </c>
    </row>
    <row r="2" spans="1:15" x14ac:dyDescent="0.3">
      <c r="A2" t="s">
        <v>5</v>
      </c>
      <c r="B2" t="s">
        <v>326</v>
      </c>
    </row>
    <row r="3" spans="1:15" ht="15" thickBot="1" x14ac:dyDescent="0.35"/>
    <row r="4" spans="1:15" ht="15" thickBot="1" x14ac:dyDescent="0.35">
      <c r="A4" s="89"/>
      <c r="B4" s="58" t="s">
        <v>422</v>
      </c>
      <c r="C4" s="58" t="s">
        <v>423</v>
      </c>
      <c r="D4" s="58" t="s">
        <v>424</v>
      </c>
      <c r="E4" s="58" t="s">
        <v>425</v>
      </c>
      <c r="F4" s="58" t="s">
        <v>426</v>
      </c>
      <c r="G4" s="58" t="s">
        <v>427</v>
      </c>
      <c r="H4" s="58" t="s">
        <v>428</v>
      </c>
      <c r="I4" s="58" t="s">
        <v>429</v>
      </c>
      <c r="J4" s="58" t="s">
        <v>430</v>
      </c>
      <c r="K4" s="58" t="s">
        <v>358</v>
      </c>
      <c r="L4" s="116" t="s">
        <v>359</v>
      </c>
      <c r="M4" s="116" t="s">
        <v>360</v>
      </c>
      <c r="N4" s="116" t="s">
        <v>361</v>
      </c>
      <c r="O4" s="116" t="s">
        <v>362</v>
      </c>
    </row>
    <row r="5" spans="1:15" ht="15" thickBot="1" x14ac:dyDescent="0.35">
      <c r="A5" s="59" t="s">
        <v>1427</v>
      </c>
      <c r="B5" s="338">
        <v>15</v>
      </c>
      <c r="C5" s="338">
        <v>3</v>
      </c>
      <c r="D5" s="338">
        <v>5</v>
      </c>
      <c r="E5" s="338">
        <v>10</v>
      </c>
      <c r="F5" s="338">
        <v>15</v>
      </c>
      <c r="G5" s="338">
        <v>5</v>
      </c>
      <c r="H5" s="338">
        <v>8</v>
      </c>
      <c r="I5" s="338">
        <v>5</v>
      </c>
      <c r="J5" s="338">
        <v>7</v>
      </c>
      <c r="K5" s="338">
        <v>2</v>
      </c>
      <c r="L5" s="338">
        <v>4</v>
      </c>
      <c r="M5" s="338">
        <v>4</v>
      </c>
      <c r="N5" s="338"/>
      <c r="O5" s="338"/>
    </row>
    <row r="6" spans="1:15" ht="15" thickBot="1" x14ac:dyDescent="0.35">
      <c r="A6" s="59" t="s">
        <v>1428</v>
      </c>
      <c r="B6" s="338">
        <v>12</v>
      </c>
      <c r="C6" s="338">
        <v>8</v>
      </c>
      <c r="D6" s="338">
        <v>10</v>
      </c>
      <c r="E6" s="338">
        <v>6</v>
      </c>
      <c r="F6" s="338">
        <v>10</v>
      </c>
      <c r="G6" s="338">
        <v>10</v>
      </c>
      <c r="H6" s="338">
        <v>16</v>
      </c>
      <c r="I6" s="338">
        <v>9</v>
      </c>
      <c r="J6" s="338">
        <v>10</v>
      </c>
      <c r="K6" s="338">
        <v>25</v>
      </c>
      <c r="L6" s="338">
        <v>26</v>
      </c>
      <c r="M6" s="338">
        <v>36</v>
      </c>
      <c r="N6" s="338"/>
      <c r="O6" s="338"/>
    </row>
    <row r="7" spans="1:15" ht="15" thickBot="1" x14ac:dyDescent="0.35">
      <c r="A7" s="59" t="s">
        <v>1429</v>
      </c>
      <c r="B7" s="338">
        <v>6</v>
      </c>
      <c r="C7" s="338">
        <v>5</v>
      </c>
      <c r="D7" s="338">
        <v>4</v>
      </c>
      <c r="E7" s="338">
        <v>5</v>
      </c>
      <c r="F7" s="338">
        <v>3</v>
      </c>
      <c r="G7" s="338">
        <v>5</v>
      </c>
      <c r="H7" s="338">
        <v>4</v>
      </c>
      <c r="I7" s="338">
        <v>2</v>
      </c>
      <c r="J7" s="338">
        <v>10</v>
      </c>
      <c r="K7" s="338">
        <v>4</v>
      </c>
      <c r="L7" s="338">
        <v>4</v>
      </c>
      <c r="M7" s="338">
        <v>8</v>
      </c>
      <c r="N7" s="338"/>
      <c r="O7" s="338"/>
    </row>
    <row r="8" spans="1:15" ht="15" thickBot="1" x14ac:dyDescent="0.35">
      <c r="A8" s="59" t="s">
        <v>1430</v>
      </c>
      <c r="B8" s="338">
        <v>2</v>
      </c>
      <c r="C8" s="338">
        <v>0</v>
      </c>
      <c r="D8" s="338">
        <v>8</v>
      </c>
      <c r="E8" s="338">
        <v>3</v>
      </c>
      <c r="F8" s="338">
        <v>5</v>
      </c>
      <c r="G8" s="338">
        <v>0</v>
      </c>
      <c r="H8" s="338">
        <v>3</v>
      </c>
      <c r="I8" s="338">
        <v>0</v>
      </c>
      <c r="J8" s="338">
        <v>0</v>
      </c>
      <c r="K8" s="338">
        <v>0</v>
      </c>
      <c r="L8" s="338">
        <v>0</v>
      </c>
      <c r="M8" s="338">
        <v>0</v>
      </c>
      <c r="N8" s="338"/>
      <c r="O8" s="338"/>
    </row>
  </sheetData>
  <pageMargins left="0.7" right="0.7" top="0.75" bottom="0.75" header="0.3" footer="0.3"/>
  <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775B2-F42A-4F54-BBBB-7524A580A46D}">
  <dimension ref="A1:R10"/>
  <sheetViews>
    <sheetView zoomScaleNormal="100" workbookViewId="0"/>
  </sheetViews>
  <sheetFormatPr baseColWidth="10" defaultColWidth="11.44140625" defaultRowHeight="15" customHeight="1" x14ac:dyDescent="0.3"/>
  <cols>
    <col min="1" max="1" width="19.44140625" bestFit="1" customWidth="1"/>
    <col min="2" max="2" width="14" customWidth="1"/>
    <col min="3" max="13" width="6.44140625" customWidth="1"/>
  </cols>
  <sheetData>
    <row r="1" spans="1:18" ht="14.4" x14ac:dyDescent="0.3">
      <c r="A1" t="s">
        <v>355</v>
      </c>
      <c r="B1">
        <v>130</v>
      </c>
    </row>
    <row r="2" spans="1:18" ht="14.4" x14ac:dyDescent="0.3">
      <c r="A2" t="s">
        <v>5</v>
      </c>
      <c r="B2" t="s">
        <v>1431</v>
      </c>
    </row>
    <row r="4" spans="1:18" thickBot="1" x14ac:dyDescent="0.35">
      <c r="A4" s="158" t="s">
        <v>1432</v>
      </c>
      <c r="B4" s="159" t="s">
        <v>463</v>
      </c>
      <c r="C4" s="159" t="s">
        <v>422</v>
      </c>
      <c r="D4" s="159" t="s">
        <v>423</v>
      </c>
      <c r="E4" s="159" t="s">
        <v>424</v>
      </c>
      <c r="F4" s="159" t="s">
        <v>425</v>
      </c>
      <c r="G4" s="159" t="s">
        <v>426</v>
      </c>
      <c r="H4" s="159" t="s">
        <v>427</v>
      </c>
      <c r="I4" s="159" t="s">
        <v>428</v>
      </c>
      <c r="J4" s="159" t="s">
        <v>429</v>
      </c>
      <c r="K4" s="159" t="s">
        <v>430</v>
      </c>
      <c r="L4" s="159" t="s">
        <v>358</v>
      </c>
      <c r="M4" s="159" t="s">
        <v>359</v>
      </c>
      <c r="N4" s="159" t="s">
        <v>360</v>
      </c>
      <c r="O4" s="159" t="s">
        <v>361</v>
      </c>
      <c r="P4" s="159" t="s">
        <v>362</v>
      </c>
      <c r="Q4" s="160" t="s">
        <v>466</v>
      </c>
    </row>
    <row r="5" spans="1:18" ht="14.4" x14ac:dyDescent="0.3">
      <c r="A5" s="659" t="s">
        <v>1433</v>
      </c>
      <c r="B5" s="75" t="s">
        <v>363</v>
      </c>
      <c r="C5" s="75">
        <v>10</v>
      </c>
      <c r="D5" s="75">
        <v>13</v>
      </c>
      <c r="E5" s="75">
        <v>16</v>
      </c>
      <c r="F5" s="75">
        <v>13</v>
      </c>
      <c r="G5" s="75">
        <v>27</v>
      </c>
      <c r="H5" s="75">
        <v>24</v>
      </c>
      <c r="I5" s="75">
        <v>34</v>
      </c>
      <c r="J5" s="75">
        <v>32</v>
      </c>
      <c r="K5" s="75">
        <v>33</v>
      </c>
      <c r="L5" s="75">
        <v>43</v>
      </c>
      <c r="M5" s="75">
        <v>19</v>
      </c>
      <c r="N5" s="75">
        <v>15</v>
      </c>
      <c r="O5" s="75">
        <v>40</v>
      </c>
      <c r="P5" s="75">
        <v>25</v>
      </c>
      <c r="Q5" s="333">
        <f>SUM(C5:P5)</f>
        <v>344</v>
      </c>
    </row>
    <row r="6" spans="1:18" ht="14.4" x14ac:dyDescent="0.3">
      <c r="A6" s="660"/>
      <c r="B6" s="75" t="s">
        <v>368</v>
      </c>
      <c r="C6" s="74">
        <v>188</v>
      </c>
      <c r="D6" s="74">
        <v>262</v>
      </c>
      <c r="E6" s="74">
        <v>275</v>
      </c>
      <c r="F6" s="74">
        <v>301</v>
      </c>
      <c r="G6" s="74">
        <v>325</v>
      </c>
      <c r="H6" s="74">
        <v>273</v>
      </c>
      <c r="I6" s="74">
        <v>428</v>
      </c>
      <c r="J6" s="74">
        <v>471</v>
      </c>
      <c r="K6" s="74">
        <v>788</v>
      </c>
      <c r="L6" s="75">
        <v>784</v>
      </c>
      <c r="M6" s="75">
        <v>945</v>
      </c>
      <c r="N6" s="75">
        <v>904</v>
      </c>
      <c r="O6" s="75">
        <v>974</v>
      </c>
      <c r="P6" s="75">
        <v>970</v>
      </c>
      <c r="Q6" s="333">
        <f t="shared" ref="Q6:Q10" si="0">SUM(C6:P6)</f>
        <v>7888</v>
      </c>
    </row>
    <row r="7" spans="1:18" ht="14.4" x14ac:dyDescent="0.3">
      <c r="A7" s="661"/>
      <c r="B7" s="75" t="s">
        <v>466</v>
      </c>
      <c r="C7" s="76">
        <f t="shared" ref="C7:N7" si="1">SUM(C5:C6)</f>
        <v>198</v>
      </c>
      <c r="D7" s="76">
        <f t="shared" si="1"/>
        <v>275</v>
      </c>
      <c r="E7" s="76">
        <f t="shared" si="1"/>
        <v>291</v>
      </c>
      <c r="F7" s="76">
        <f t="shared" si="1"/>
        <v>314</v>
      </c>
      <c r="G7" s="76">
        <f t="shared" si="1"/>
        <v>352</v>
      </c>
      <c r="H7" s="76">
        <f t="shared" si="1"/>
        <v>297</v>
      </c>
      <c r="I7" s="76">
        <f t="shared" si="1"/>
        <v>462</v>
      </c>
      <c r="J7" s="76">
        <f t="shared" si="1"/>
        <v>503</v>
      </c>
      <c r="K7" s="76">
        <f t="shared" si="1"/>
        <v>821</v>
      </c>
      <c r="L7" s="76">
        <f t="shared" si="1"/>
        <v>827</v>
      </c>
      <c r="M7" s="76">
        <f t="shared" si="1"/>
        <v>964</v>
      </c>
      <c r="N7" s="76">
        <f t="shared" si="1"/>
        <v>919</v>
      </c>
      <c r="O7" s="76">
        <f>SUM(O5:O6)</f>
        <v>1014</v>
      </c>
      <c r="P7" s="76">
        <f>SUM(P5:P6)</f>
        <v>995</v>
      </c>
      <c r="Q7" s="333">
        <f t="shared" si="0"/>
        <v>8232</v>
      </c>
    </row>
    <row r="8" spans="1:18" ht="14.4" x14ac:dyDescent="0.3">
      <c r="A8" s="659" t="s">
        <v>1434</v>
      </c>
      <c r="B8" s="75" t="s">
        <v>363</v>
      </c>
      <c r="C8" s="75">
        <v>378</v>
      </c>
      <c r="D8" s="75">
        <v>309</v>
      </c>
      <c r="E8" s="75">
        <v>277</v>
      </c>
      <c r="F8" s="75">
        <v>352</v>
      </c>
      <c r="G8" s="75">
        <v>388</v>
      </c>
      <c r="H8" s="75">
        <v>344</v>
      </c>
      <c r="I8" s="75">
        <v>332</v>
      </c>
      <c r="J8" s="75">
        <v>262</v>
      </c>
      <c r="K8" s="75">
        <v>280</v>
      </c>
      <c r="L8" s="75">
        <v>202</v>
      </c>
      <c r="M8" s="75">
        <v>285</v>
      </c>
      <c r="N8" s="75">
        <v>234</v>
      </c>
      <c r="O8" s="75">
        <v>406</v>
      </c>
      <c r="P8" s="75">
        <v>381</v>
      </c>
      <c r="Q8" s="333">
        <f>SUM(C8:P8)</f>
        <v>4430</v>
      </c>
      <c r="R8" s="361"/>
    </row>
    <row r="9" spans="1:18" ht="14.4" x14ac:dyDescent="0.3">
      <c r="A9" s="660"/>
      <c r="B9" s="75" t="s">
        <v>368</v>
      </c>
      <c r="C9" s="75">
        <v>124</v>
      </c>
      <c r="D9" s="75">
        <v>158</v>
      </c>
      <c r="E9" s="75">
        <v>192</v>
      </c>
      <c r="F9" s="75">
        <v>231</v>
      </c>
      <c r="G9" s="75">
        <v>225</v>
      </c>
      <c r="H9" s="75">
        <v>297</v>
      </c>
      <c r="I9" s="75">
        <v>362</v>
      </c>
      <c r="J9" s="75">
        <v>405</v>
      </c>
      <c r="K9" s="75">
        <v>579</v>
      </c>
      <c r="L9" s="75">
        <v>676</v>
      </c>
      <c r="M9" s="75">
        <v>764</v>
      </c>
      <c r="N9" s="75">
        <v>797</v>
      </c>
      <c r="O9" s="75">
        <v>784</v>
      </c>
      <c r="P9" s="75">
        <v>967</v>
      </c>
      <c r="Q9" s="333">
        <f t="shared" si="0"/>
        <v>6561</v>
      </c>
    </row>
    <row r="10" spans="1:18" ht="14.4" x14ac:dyDescent="0.3">
      <c r="A10" s="662"/>
      <c r="B10" s="161" t="s">
        <v>466</v>
      </c>
      <c r="C10" s="76">
        <f t="shared" ref="C10:N10" si="2">SUM(C8:C9)</f>
        <v>502</v>
      </c>
      <c r="D10" s="76">
        <f t="shared" si="2"/>
        <v>467</v>
      </c>
      <c r="E10" s="76">
        <f t="shared" si="2"/>
        <v>469</v>
      </c>
      <c r="F10" s="76">
        <f t="shared" si="2"/>
        <v>583</v>
      </c>
      <c r="G10" s="76">
        <f t="shared" si="2"/>
        <v>613</v>
      </c>
      <c r="H10" s="76">
        <f t="shared" si="2"/>
        <v>641</v>
      </c>
      <c r="I10" s="76">
        <f t="shared" si="2"/>
        <v>694</v>
      </c>
      <c r="J10" s="76">
        <f t="shared" si="2"/>
        <v>667</v>
      </c>
      <c r="K10" s="76">
        <f t="shared" si="2"/>
        <v>859</v>
      </c>
      <c r="L10" s="76">
        <f t="shared" si="2"/>
        <v>878</v>
      </c>
      <c r="M10" s="76">
        <f t="shared" si="2"/>
        <v>1049</v>
      </c>
      <c r="N10" s="76">
        <f t="shared" si="2"/>
        <v>1031</v>
      </c>
      <c r="O10" s="76">
        <f t="shared" ref="O10:P10" si="3">SUM(O8:O9)</f>
        <v>1190</v>
      </c>
      <c r="P10" s="76">
        <f t="shared" si="3"/>
        <v>1348</v>
      </c>
      <c r="Q10" s="333">
        <f t="shared" si="0"/>
        <v>10991</v>
      </c>
    </row>
  </sheetData>
  <mergeCells count="2">
    <mergeCell ref="A5:A7"/>
    <mergeCell ref="A8:A10"/>
  </mergeCells>
  <pageMargins left="0.7" right="0.7" top="0.75" bottom="0.75" header="0.3" footer="0.3"/>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E1F4E-AEC4-4288-A289-EEECE66FB0A3}">
  <dimension ref="A1:J8"/>
  <sheetViews>
    <sheetView zoomScale="78" workbookViewId="0"/>
  </sheetViews>
  <sheetFormatPr baseColWidth="10" defaultColWidth="11.44140625" defaultRowHeight="14.4" x14ac:dyDescent="0.3"/>
  <cols>
    <col min="1" max="1" width="19.44140625" bestFit="1" customWidth="1"/>
    <col min="2" max="2" width="8" customWidth="1"/>
    <col min="3" max="7" width="6.44140625" customWidth="1"/>
  </cols>
  <sheetData>
    <row r="1" spans="1:10" x14ac:dyDescent="0.3">
      <c r="A1" t="s">
        <v>355</v>
      </c>
      <c r="B1">
        <v>13</v>
      </c>
    </row>
    <row r="2" spans="1:10" x14ac:dyDescent="0.3">
      <c r="A2" t="s">
        <v>5</v>
      </c>
      <c r="B2" t="s">
        <v>1435</v>
      </c>
    </row>
    <row r="4" spans="1:10" ht="15" thickBot="1" x14ac:dyDescent="0.35">
      <c r="A4" s="158"/>
      <c r="B4" s="159">
        <v>2019</v>
      </c>
      <c r="C4" s="159">
        <v>2020</v>
      </c>
      <c r="D4" s="159">
        <v>2021</v>
      </c>
      <c r="E4" s="159">
        <v>2022</v>
      </c>
      <c r="F4" s="159">
        <v>2023</v>
      </c>
      <c r="G4" s="159">
        <v>2024</v>
      </c>
      <c r="H4" s="159" t="s">
        <v>360</v>
      </c>
      <c r="I4" s="159" t="s">
        <v>361</v>
      </c>
      <c r="J4" s="159" t="s">
        <v>362</v>
      </c>
    </row>
    <row r="5" spans="1:10" ht="15" thickBot="1" x14ac:dyDescent="0.35">
      <c r="A5" s="162" t="s">
        <v>1433</v>
      </c>
      <c r="B5" s="75">
        <v>35</v>
      </c>
      <c r="C5" s="75">
        <v>99</v>
      </c>
      <c r="D5" s="75">
        <v>112</v>
      </c>
      <c r="E5" s="75">
        <v>323</v>
      </c>
      <c r="F5" s="75">
        <v>898</v>
      </c>
      <c r="G5" s="75">
        <v>1361</v>
      </c>
      <c r="H5" s="75">
        <v>709</v>
      </c>
      <c r="I5" s="75">
        <v>766</v>
      </c>
      <c r="J5" s="75">
        <v>725</v>
      </c>
    </row>
    <row r="6" spans="1:10" ht="24.6" thickBot="1" x14ac:dyDescent="0.35">
      <c r="A6" s="163" t="s">
        <v>1436</v>
      </c>
      <c r="B6" s="75">
        <v>17</v>
      </c>
      <c r="C6" s="74">
        <v>12</v>
      </c>
      <c r="D6" s="74">
        <v>16</v>
      </c>
      <c r="E6" s="74">
        <v>166</v>
      </c>
      <c r="F6" s="74">
        <v>649</v>
      </c>
      <c r="G6" s="74">
        <v>1218</v>
      </c>
      <c r="H6" s="74">
        <v>642</v>
      </c>
      <c r="I6" s="74">
        <v>593</v>
      </c>
      <c r="J6" s="74">
        <v>684</v>
      </c>
    </row>
    <row r="8" spans="1:10" x14ac:dyDescent="0.3">
      <c r="A8" s="487" t="s">
        <v>1437</v>
      </c>
    </row>
  </sheetData>
  <pageMargins left="0.7" right="0.7" top="0.75" bottom="0.75" header="0.3" footer="0.3"/>
  <drawing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17D87-7D6E-4084-AAF4-90AD45D46B00}">
  <dimension ref="A1:L5"/>
  <sheetViews>
    <sheetView workbookViewId="0"/>
  </sheetViews>
  <sheetFormatPr baseColWidth="10" defaultColWidth="11.44140625" defaultRowHeight="15" customHeight="1" x14ac:dyDescent="0.3"/>
  <cols>
    <col min="1" max="1" width="19.44140625" bestFit="1" customWidth="1"/>
    <col min="2" max="2" width="8" customWidth="1"/>
    <col min="3" max="17" width="6.44140625" customWidth="1"/>
  </cols>
  <sheetData>
    <row r="1" spans="1:12" ht="14.4" x14ac:dyDescent="0.3">
      <c r="A1" t="s">
        <v>355</v>
      </c>
      <c r="B1">
        <v>131</v>
      </c>
    </row>
    <row r="2" spans="1:12" ht="14.4" x14ac:dyDescent="0.3">
      <c r="A2" t="s">
        <v>5</v>
      </c>
      <c r="B2" t="s">
        <v>1438</v>
      </c>
    </row>
    <row r="3" spans="1:12" ht="14.4" x14ac:dyDescent="0.3"/>
    <row r="4" spans="1:12" ht="14.4" x14ac:dyDescent="0.3">
      <c r="A4" s="85" t="s">
        <v>1432</v>
      </c>
      <c r="B4" s="85">
        <v>2019</v>
      </c>
      <c r="C4" s="85">
        <v>2020</v>
      </c>
      <c r="D4" s="85">
        <v>2021</v>
      </c>
      <c r="E4" s="85">
        <v>2022</v>
      </c>
      <c r="F4" s="85">
        <v>2023</v>
      </c>
      <c r="G4" s="85" t="s">
        <v>358</v>
      </c>
      <c r="H4" s="85" t="s">
        <v>359</v>
      </c>
      <c r="I4" s="85" t="s">
        <v>360</v>
      </c>
      <c r="J4" s="85" t="s">
        <v>361</v>
      </c>
      <c r="K4" s="85" t="s">
        <v>362</v>
      </c>
      <c r="L4" s="164" t="s">
        <v>466</v>
      </c>
    </row>
    <row r="5" spans="1:12" ht="24" x14ac:dyDescent="0.3">
      <c r="A5" s="157" t="s">
        <v>1434</v>
      </c>
      <c r="B5" s="86" t="s">
        <v>1439</v>
      </c>
      <c r="C5" s="86">
        <v>50</v>
      </c>
      <c r="D5" s="86">
        <v>78</v>
      </c>
      <c r="E5" s="86">
        <v>76</v>
      </c>
      <c r="F5" s="86">
        <v>31</v>
      </c>
      <c r="G5" s="86">
        <v>7</v>
      </c>
      <c r="H5" s="86">
        <v>21</v>
      </c>
      <c r="I5" s="86">
        <v>33</v>
      </c>
      <c r="J5" s="86">
        <v>38</v>
      </c>
      <c r="K5" s="86">
        <v>49</v>
      </c>
      <c r="L5" s="165">
        <f>SUM(C5:K5)</f>
        <v>383</v>
      </c>
    </row>
  </sheetData>
  <pageMargins left="0.7" right="0.7" top="0.75" bottom="0.75" header="0.3" footer="0.3"/>
  <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669D2-B0C0-424E-9FAD-F9B0FD5EE41F}">
  <dimension ref="A1:L5"/>
  <sheetViews>
    <sheetView workbookViewId="0">
      <selection activeCell="N8" sqref="N8"/>
    </sheetView>
  </sheetViews>
  <sheetFormatPr baseColWidth="10" defaultColWidth="11.44140625" defaultRowHeight="14.4" x14ac:dyDescent="0.3"/>
  <cols>
    <col min="1" max="1" width="19.44140625" bestFit="1" customWidth="1"/>
    <col min="2" max="2" width="8" customWidth="1"/>
    <col min="3" max="16" width="6.44140625" customWidth="1"/>
  </cols>
  <sheetData>
    <row r="1" spans="1:12" x14ac:dyDescent="0.3">
      <c r="A1" t="s">
        <v>355</v>
      </c>
      <c r="B1">
        <v>132</v>
      </c>
    </row>
    <row r="2" spans="1:12" x14ac:dyDescent="0.3">
      <c r="A2" t="s">
        <v>5</v>
      </c>
      <c r="B2" t="s">
        <v>331</v>
      </c>
    </row>
    <row r="3" spans="1:12" ht="15" thickBot="1" x14ac:dyDescent="0.35"/>
    <row r="4" spans="1:12" ht="27" thickBot="1" x14ac:dyDescent="0.35">
      <c r="A4" s="166" t="s">
        <v>1432</v>
      </c>
      <c r="B4" s="166" t="s">
        <v>422</v>
      </c>
      <c r="C4" s="166">
        <v>2020</v>
      </c>
      <c r="D4" s="166">
        <v>2021</v>
      </c>
      <c r="E4" s="166">
        <v>2022</v>
      </c>
      <c r="F4" s="166">
        <v>2023</v>
      </c>
      <c r="G4" s="166" t="s">
        <v>358</v>
      </c>
      <c r="H4" s="166" t="s">
        <v>359</v>
      </c>
      <c r="I4" s="166" t="s">
        <v>360</v>
      </c>
      <c r="J4" s="166" t="s">
        <v>361</v>
      </c>
      <c r="K4" s="166" t="s">
        <v>362</v>
      </c>
      <c r="L4" s="167" t="s">
        <v>466</v>
      </c>
    </row>
    <row r="5" spans="1:12" ht="53.4" thickBot="1" x14ac:dyDescent="0.35">
      <c r="A5" s="168" t="s">
        <v>1434</v>
      </c>
      <c r="B5" s="61">
        <v>18</v>
      </c>
      <c r="C5" s="61">
        <v>10</v>
      </c>
      <c r="D5" s="61">
        <v>11</v>
      </c>
      <c r="E5" s="61">
        <v>11</v>
      </c>
      <c r="F5" s="61">
        <v>8</v>
      </c>
      <c r="G5" s="61">
        <v>10</v>
      </c>
      <c r="H5" s="61">
        <v>10</v>
      </c>
      <c r="I5" s="61">
        <v>17</v>
      </c>
      <c r="J5" s="61"/>
      <c r="K5" s="61"/>
      <c r="L5" s="169">
        <f>SUM(B5:K5)</f>
        <v>95</v>
      </c>
    </row>
  </sheetData>
  <pageMargins left="0.7" right="0.7" top="0.75" bottom="0.75" header="0.3" footer="0.3"/>
  <drawing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07496-062C-468F-B350-5A1BA78605B6}">
  <dimension ref="A1:M6"/>
  <sheetViews>
    <sheetView workbookViewId="0"/>
  </sheetViews>
  <sheetFormatPr baseColWidth="10" defaultColWidth="11.44140625" defaultRowHeight="14.4" x14ac:dyDescent="0.3"/>
  <cols>
    <col min="1" max="1" width="19.44140625" bestFit="1" customWidth="1"/>
    <col min="2" max="2" width="8" customWidth="1"/>
    <col min="3" max="17" width="6.44140625" customWidth="1"/>
  </cols>
  <sheetData>
    <row r="1" spans="1:13" x14ac:dyDescent="0.3">
      <c r="A1" t="s">
        <v>355</v>
      </c>
      <c r="B1">
        <v>133</v>
      </c>
    </row>
    <row r="2" spans="1:13" x14ac:dyDescent="0.3">
      <c r="A2" t="s">
        <v>5</v>
      </c>
      <c r="B2" t="s">
        <v>332</v>
      </c>
    </row>
    <row r="3" spans="1:13" ht="15" thickBot="1" x14ac:dyDescent="0.35"/>
    <row r="4" spans="1:13" ht="27" thickBot="1" x14ac:dyDescent="0.35">
      <c r="A4" s="166" t="s">
        <v>1432</v>
      </c>
      <c r="B4" s="166" t="s">
        <v>463</v>
      </c>
      <c r="C4" s="166" t="s">
        <v>422</v>
      </c>
      <c r="D4" s="166">
        <v>2020</v>
      </c>
      <c r="E4" s="166">
        <v>2021</v>
      </c>
      <c r="F4" s="166">
        <v>2022</v>
      </c>
      <c r="G4" s="166">
        <v>2023</v>
      </c>
      <c r="H4" s="166" t="s">
        <v>358</v>
      </c>
      <c r="I4" s="166" t="s">
        <v>359</v>
      </c>
      <c r="J4" s="166" t="s">
        <v>360</v>
      </c>
      <c r="K4" s="166" t="s">
        <v>361</v>
      </c>
      <c r="L4" s="166" t="s">
        <v>362</v>
      </c>
      <c r="M4" s="167" t="s">
        <v>466</v>
      </c>
    </row>
    <row r="5" spans="1:13" ht="53.4" thickBot="1" x14ac:dyDescent="0.35">
      <c r="A5" s="168" t="s">
        <v>1434</v>
      </c>
      <c r="B5" s="168" t="s">
        <v>448</v>
      </c>
      <c r="C5" s="61">
        <v>8</v>
      </c>
      <c r="D5" s="61">
        <v>15</v>
      </c>
      <c r="E5" s="61">
        <v>15</v>
      </c>
      <c r="F5" s="61">
        <v>14</v>
      </c>
      <c r="G5" s="61">
        <v>9</v>
      </c>
      <c r="H5" s="61">
        <v>4</v>
      </c>
      <c r="I5" s="61">
        <v>285</v>
      </c>
      <c r="J5" s="61">
        <v>234</v>
      </c>
      <c r="K5" s="61">
        <v>446</v>
      </c>
      <c r="L5" s="61">
        <v>406</v>
      </c>
      <c r="M5" s="169">
        <f>SUM(C5:L5)</f>
        <v>1436</v>
      </c>
    </row>
    <row r="6" spans="1:13" ht="15" thickBot="1" x14ac:dyDescent="0.35">
      <c r="C6" s="328">
        <v>378</v>
      </c>
      <c r="D6" s="328">
        <v>586</v>
      </c>
      <c r="E6" s="328">
        <v>740</v>
      </c>
      <c r="F6" s="328">
        <v>676</v>
      </c>
      <c r="G6" s="328">
        <v>542</v>
      </c>
      <c r="H6" s="328">
        <v>202</v>
      </c>
      <c r="I6" s="328">
        <v>285</v>
      </c>
      <c r="J6" s="328">
        <v>234</v>
      </c>
      <c r="K6" s="328">
        <v>446</v>
      </c>
      <c r="L6" s="328">
        <v>406</v>
      </c>
      <c r="M6" s="169">
        <f>SUM(C6:L6)</f>
        <v>4495</v>
      </c>
    </row>
  </sheetData>
  <pageMargins left="0.7" right="0.7" top="0.75" bottom="0.75" header="0.3" footer="0.3"/>
  <drawing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0F123-A9E8-4F37-8C2F-AC361C241F4A}">
  <dimension ref="A1:L5"/>
  <sheetViews>
    <sheetView workbookViewId="0"/>
  </sheetViews>
  <sheetFormatPr baseColWidth="10" defaultColWidth="11.44140625" defaultRowHeight="14.4" x14ac:dyDescent="0.3"/>
  <cols>
    <col min="1" max="1" width="19.44140625" bestFit="1" customWidth="1"/>
    <col min="2" max="2" width="8" customWidth="1"/>
    <col min="3" max="13" width="6.44140625" customWidth="1"/>
  </cols>
  <sheetData>
    <row r="1" spans="1:12" x14ac:dyDescent="0.3">
      <c r="A1" t="s">
        <v>355</v>
      </c>
      <c r="B1">
        <v>134</v>
      </c>
    </row>
    <row r="2" spans="1:12" x14ac:dyDescent="0.3">
      <c r="A2" t="s">
        <v>5</v>
      </c>
      <c r="B2" t="s">
        <v>334</v>
      </c>
    </row>
    <row r="3" spans="1:12" ht="15" thickBot="1" x14ac:dyDescent="0.35"/>
    <row r="4" spans="1:12" ht="27" thickBot="1" x14ac:dyDescent="0.35">
      <c r="A4" s="170" t="s">
        <v>1432</v>
      </c>
      <c r="B4" s="166" t="s">
        <v>422</v>
      </c>
      <c r="C4" s="166">
        <v>2020</v>
      </c>
      <c r="D4" s="166">
        <v>2021</v>
      </c>
      <c r="E4" s="166">
        <v>2022</v>
      </c>
      <c r="F4" s="166">
        <v>2023</v>
      </c>
      <c r="G4" s="166" t="s">
        <v>358</v>
      </c>
      <c r="H4" s="166" t="s">
        <v>359</v>
      </c>
      <c r="I4" s="166" t="s">
        <v>360</v>
      </c>
      <c r="J4" s="166" t="s">
        <v>361</v>
      </c>
      <c r="K4" s="166" t="s">
        <v>362</v>
      </c>
      <c r="L4" s="167" t="s">
        <v>466</v>
      </c>
    </row>
    <row r="5" spans="1:12" ht="53.4" thickBot="1" x14ac:dyDescent="0.35">
      <c r="A5" s="171" t="s">
        <v>1434</v>
      </c>
      <c r="B5" s="61">
        <v>5</v>
      </c>
      <c r="C5" s="61">
        <v>6</v>
      </c>
      <c r="D5" s="61">
        <v>6</v>
      </c>
      <c r="E5" s="61">
        <v>5</v>
      </c>
      <c r="F5" s="61">
        <v>7</v>
      </c>
      <c r="G5" s="61">
        <v>4</v>
      </c>
      <c r="H5" s="61">
        <v>7</v>
      </c>
      <c r="I5" s="61">
        <v>2</v>
      </c>
      <c r="J5" s="61">
        <v>5</v>
      </c>
      <c r="K5" s="61">
        <v>5</v>
      </c>
      <c r="L5" s="169">
        <f>SUM(B5:K5)</f>
        <v>52</v>
      </c>
    </row>
  </sheetData>
  <pageMargins left="0.7" right="0.7" top="0.75" bottom="0.75" header="0.3" footer="0.3"/>
  <drawing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15CA3-7B9F-43C2-B041-05125B6421F1}">
  <dimension ref="A1:P27"/>
  <sheetViews>
    <sheetView workbookViewId="0">
      <selection activeCell="P4" sqref="P4"/>
    </sheetView>
  </sheetViews>
  <sheetFormatPr baseColWidth="10" defaultColWidth="11.44140625" defaultRowHeight="14.4" x14ac:dyDescent="0.3"/>
  <cols>
    <col min="1" max="1" width="19.44140625" bestFit="1" customWidth="1"/>
    <col min="2" max="2" width="8" customWidth="1"/>
    <col min="3" max="10" width="8.109375" bestFit="1" customWidth="1"/>
    <col min="11" max="11" width="6.109375" bestFit="1" customWidth="1"/>
    <col min="12" max="13" width="8.109375" bestFit="1" customWidth="1"/>
    <col min="14" max="15" width="8.109375" customWidth="1"/>
    <col min="16" max="16" width="10.44140625" bestFit="1" customWidth="1"/>
    <col min="17" max="18" width="6.44140625" customWidth="1"/>
    <col min="19" max="19" width="11.44140625" customWidth="1"/>
  </cols>
  <sheetData>
    <row r="1" spans="1:16" x14ac:dyDescent="0.3">
      <c r="A1" t="s">
        <v>355</v>
      </c>
      <c r="B1">
        <v>135</v>
      </c>
    </row>
    <row r="2" spans="1:16" x14ac:dyDescent="0.3">
      <c r="A2" t="s">
        <v>5</v>
      </c>
      <c r="B2" t="s">
        <v>335</v>
      </c>
    </row>
    <row r="4" spans="1:16" x14ac:dyDescent="0.3">
      <c r="A4" s="172" t="s">
        <v>1440</v>
      </c>
      <c r="B4" s="173" t="s">
        <v>1441</v>
      </c>
      <c r="C4" s="173" t="s">
        <v>1442</v>
      </c>
      <c r="D4" s="173" t="s">
        <v>1443</v>
      </c>
      <c r="E4" s="173" t="s">
        <v>1444</v>
      </c>
      <c r="F4" s="173" t="s">
        <v>1445</v>
      </c>
      <c r="G4" s="173" t="s">
        <v>1446</v>
      </c>
      <c r="H4" s="173" t="s">
        <v>1447</v>
      </c>
      <c r="I4" s="173" t="s">
        <v>1448</v>
      </c>
      <c r="J4" s="173" t="s">
        <v>1449</v>
      </c>
      <c r="K4" s="173" t="s">
        <v>1450</v>
      </c>
      <c r="L4" s="173" t="s">
        <v>359</v>
      </c>
      <c r="M4" s="173" t="s">
        <v>360</v>
      </c>
      <c r="N4" s="173" t="s">
        <v>361</v>
      </c>
      <c r="O4" s="173" t="s">
        <v>362</v>
      </c>
      <c r="P4" s="173" t="s">
        <v>536</v>
      </c>
    </row>
    <row r="5" spans="1:16" x14ac:dyDescent="0.3">
      <c r="A5" s="174" t="s">
        <v>1451</v>
      </c>
      <c r="B5" s="175">
        <v>797</v>
      </c>
      <c r="C5" s="175">
        <v>670</v>
      </c>
      <c r="D5" s="175">
        <v>608</v>
      </c>
      <c r="E5" s="175">
        <v>553</v>
      </c>
      <c r="F5" s="175">
        <v>586</v>
      </c>
      <c r="G5" s="175">
        <v>620</v>
      </c>
      <c r="H5" s="175">
        <v>550</v>
      </c>
      <c r="I5" s="175">
        <v>546</v>
      </c>
      <c r="J5" s="175">
        <v>359</v>
      </c>
      <c r="K5" s="175">
        <v>337</v>
      </c>
      <c r="L5" s="175">
        <v>325</v>
      </c>
      <c r="M5" s="175">
        <f>+SUM(M6:M13)</f>
        <v>351</v>
      </c>
      <c r="N5" s="175">
        <v>303</v>
      </c>
      <c r="O5" s="175">
        <v>326</v>
      </c>
      <c r="P5" s="175">
        <f>+SUM(B5:O5)</f>
        <v>6931</v>
      </c>
    </row>
    <row r="6" spans="1:16" x14ac:dyDescent="0.3">
      <c r="A6" s="176" t="s">
        <v>1452</v>
      </c>
      <c r="B6" s="177">
        <v>35</v>
      </c>
      <c r="C6" s="177">
        <v>36</v>
      </c>
      <c r="D6" s="177">
        <v>27</v>
      </c>
      <c r="E6" s="177">
        <v>24</v>
      </c>
      <c r="F6" s="177">
        <v>21</v>
      </c>
      <c r="G6" s="177">
        <v>15</v>
      </c>
      <c r="H6" s="177">
        <v>16</v>
      </c>
      <c r="I6" s="177">
        <v>7</v>
      </c>
      <c r="J6" s="177">
        <v>13</v>
      </c>
      <c r="K6" s="177">
        <v>12</v>
      </c>
      <c r="L6" s="177">
        <v>16</v>
      </c>
      <c r="M6" s="177">
        <v>15</v>
      </c>
      <c r="N6" s="177">
        <v>7</v>
      </c>
      <c r="O6" s="177">
        <v>7</v>
      </c>
      <c r="P6" s="454">
        <f>+SUM(B6:O6)</f>
        <v>251</v>
      </c>
    </row>
    <row r="7" spans="1:16" x14ac:dyDescent="0.3">
      <c r="A7" s="176" t="s">
        <v>1453</v>
      </c>
      <c r="B7" s="177">
        <v>378</v>
      </c>
      <c r="C7" s="177">
        <v>329</v>
      </c>
      <c r="D7" s="177">
        <v>322</v>
      </c>
      <c r="E7" s="177">
        <v>311</v>
      </c>
      <c r="F7" s="177">
        <v>318</v>
      </c>
      <c r="G7" s="177">
        <v>258</v>
      </c>
      <c r="H7" s="177">
        <v>238</v>
      </c>
      <c r="I7" s="177">
        <v>203</v>
      </c>
      <c r="J7" s="177">
        <v>167</v>
      </c>
      <c r="K7" s="177">
        <v>188</v>
      </c>
      <c r="L7" s="177">
        <v>167</v>
      </c>
      <c r="M7" s="177">
        <v>173</v>
      </c>
      <c r="N7" s="177">
        <v>202</v>
      </c>
      <c r="O7" s="177">
        <v>180</v>
      </c>
      <c r="P7" s="454">
        <f t="shared" ref="P7:P14" si="0">+SUM(B7:O7)</f>
        <v>3434</v>
      </c>
    </row>
    <row r="8" spans="1:16" x14ac:dyDescent="0.3">
      <c r="A8" s="176" t="s">
        <v>1454</v>
      </c>
      <c r="B8" s="177">
        <v>15</v>
      </c>
      <c r="C8" s="177">
        <v>13</v>
      </c>
      <c r="D8" s="177">
        <v>20</v>
      </c>
      <c r="E8" s="177">
        <v>17</v>
      </c>
      <c r="F8" s="177">
        <v>22</v>
      </c>
      <c r="G8" s="177">
        <v>26</v>
      </c>
      <c r="H8" s="177">
        <v>21</v>
      </c>
      <c r="I8" s="177">
        <v>17</v>
      </c>
      <c r="J8" s="177">
        <v>23</v>
      </c>
      <c r="K8" s="177">
        <v>13</v>
      </c>
      <c r="L8" s="177">
        <v>20</v>
      </c>
      <c r="M8" s="177">
        <v>22</v>
      </c>
      <c r="N8" s="177">
        <v>13</v>
      </c>
      <c r="O8" s="177">
        <v>18</v>
      </c>
      <c r="P8" s="454">
        <f t="shared" si="0"/>
        <v>260</v>
      </c>
    </row>
    <row r="9" spans="1:16" ht="24" x14ac:dyDescent="0.3">
      <c r="A9" s="176" t="s">
        <v>1455</v>
      </c>
      <c r="B9" s="177">
        <v>48</v>
      </c>
      <c r="C9" s="177">
        <v>44</v>
      </c>
      <c r="D9" s="177">
        <v>41</v>
      </c>
      <c r="E9" s="177">
        <v>31</v>
      </c>
      <c r="F9" s="177">
        <v>22</v>
      </c>
      <c r="G9" s="177">
        <v>17</v>
      </c>
      <c r="H9" s="177">
        <v>12</v>
      </c>
      <c r="I9" s="177">
        <v>12</v>
      </c>
      <c r="J9" s="177">
        <v>8</v>
      </c>
      <c r="K9" s="177">
        <v>16</v>
      </c>
      <c r="L9" s="177">
        <v>12</v>
      </c>
      <c r="M9" s="177">
        <v>21</v>
      </c>
      <c r="N9" s="177">
        <v>20</v>
      </c>
      <c r="O9" s="177">
        <v>22</v>
      </c>
      <c r="P9" s="454">
        <f t="shared" si="0"/>
        <v>326</v>
      </c>
    </row>
    <row r="10" spans="1:16" ht="24" x14ac:dyDescent="0.3">
      <c r="A10" s="176" t="s">
        <v>1456</v>
      </c>
      <c r="B10" s="177">
        <v>216</v>
      </c>
      <c r="C10" s="177">
        <v>171</v>
      </c>
      <c r="D10" s="177">
        <v>127</v>
      </c>
      <c r="E10" s="177">
        <v>104</v>
      </c>
      <c r="F10" s="177">
        <v>139</v>
      </c>
      <c r="G10" s="177">
        <v>242</v>
      </c>
      <c r="H10" s="177">
        <v>200</v>
      </c>
      <c r="I10" s="177">
        <v>236</v>
      </c>
      <c r="J10" s="177">
        <v>93</v>
      </c>
      <c r="K10" s="177">
        <v>30</v>
      </c>
      <c r="L10" s="177">
        <v>27</v>
      </c>
      <c r="M10" s="177">
        <v>26</v>
      </c>
      <c r="N10" s="177">
        <v>26</v>
      </c>
      <c r="O10" s="177">
        <v>31</v>
      </c>
      <c r="P10" s="454">
        <f t="shared" si="0"/>
        <v>1668</v>
      </c>
    </row>
    <row r="11" spans="1:16" ht="24" x14ac:dyDescent="0.3">
      <c r="A11" s="176" t="s">
        <v>1457</v>
      </c>
      <c r="B11" s="177">
        <v>7</v>
      </c>
      <c r="C11" s="177">
        <v>5</v>
      </c>
      <c r="D11" s="177">
        <v>5</v>
      </c>
      <c r="E11" s="177">
        <v>3</v>
      </c>
      <c r="F11" s="177">
        <v>2</v>
      </c>
      <c r="G11" s="177">
        <v>9</v>
      </c>
      <c r="H11" s="177">
        <v>6</v>
      </c>
      <c r="I11" s="177">
        <v>21</v>
      </c>
      <c r="J11" s="177">
        <v>3</v>
      </c>
      <c r="K11" s="177">
        <v>13</v>
      </c>
      <c r="L11" s="177">
        <v>9</v>
      </c>
      <c r="M11" s="177">
        <v>11</v>
      </c>
      <c r="N11" s="177">
        <v>23</v>
      </c>
      <c r="O11" s="177">
        <v>52</v>
      </c>
      <c r="P11" s="454">
        <f t="shared" si="0"/>
        <v>169</v>
      </c>
    </row>
    <row r="12" spans="1:16" x14ac:dyDescent="0.3">
      <c r="A12" s="176" t="s">
        <v>1458</v>
      </c>
      <c r="B12" s="177">
        <v>26</v>
      </c>
      <c r="C12" s="177">
        <v>27</v>
      </c>
      <c r="D12" s="177">
        <v>24</v>
      </c>
      <c r="E12" s="177">
        <v>22</v>
      </c>
      <c r="F12" s="177">
        <v>18</v>
      </c>
      <c r="G12" s="177">
        <v>13</v>
      </c>
      <c r="H12" s="177">
        <v>11</v>
      </c>
      <c r="I12" s="177">
        <v>9</v>
      </c>
      <c r="J12" s="177">
        <v>9</v>
      </c>
      <c r="K12" s="177">
        <v>10</v>
      </c>
      <c r="L12" s="177">
        <v>8</v>
      </c>
      <c r="M12" s="177">
        <v>17</v>
      </c>
      <c r="N12" s="177">
        <v>12</v>
      </c>
      <c r="O12" s="177">
        <v>16</v>
      </c>
      <c r="P12" s="454">
        <f t="shared" si="0"/>
        <v>222</v>
      </c>
    </row>
    <row r="13" spans="1:16" x14ac:dyDescent="0.3">
      <c r="A13" s="176" t="s">
        <v>1459</v>
      </c>
      <c r="B13" s="177">
        <v>72</v>
      </c>
      <c r="C13" s="177">
        <v>45</v>
      </c>
      <c r="D13" s="177">
        <v>42</v>
      </c>
      <c r="E13" s="177">
        <v>41</v>
      </c>
      <c r="F13" s="177">
        <v>44</v>
      </c>
      <c r="G13" s="177">
        <v>40</v>
      </c>
      <c r="H13" s="177">
        <v>46</v>
      </c>
      <c r="I13" s="177">
        <v>41</v>
      </c>
      <c r="J13" s="177">
        <v>43</v>
      </c>
      <c r="K13" s="177">
        <v>55</v>
      </c>
      <c r="L13" s="177">
        <v>66</v>
      </c>
      <c r="M13" s="177">
        <v>66</v>
      </c>
      <c r="N13" s="177">
        <v>0</v>
      </c>
      <c r="O13" s="177"/>
      <c r="P13" s="454">
        <f t="shared" si="0"/>
        <v>601</v>
      </c>
    </row>
    <row r="14" spans="1:16" x14ac:dyDescent="0.3">
      <c r="A14" s="174" t="s">
        <v>368</v>
      </c>
      <c r="B14" s="175">
        <v>575</v>
      </c>
      <c r="C14" s="175">
        <v>529</v>
      </c>
      <c r="D14" s="175">
        <v>644</v>
      </c>
      <c r="E14" s="175">
        <v>703</v>
      </c>
      <c r="F14" s="175">
        <v>603</v>
      </c>
      <c r="G14" s="175">
        <v>968</v>
      </c>
      <c r="H14" s="175">
        <v>1018</v>
      </c>
      <c r="I14" s="175">
        <v>1121</v>
      </c>
      <c r="J14" s="175">
        <v>977</v>
      </c>
      <c r="K14" s="175">
        <v>705</v>
      </c>
      <c r="L14" s="175">
        <v>681</v>
      </c>
      <c r="M14" s="175">
        <f>+SUM(M15:M24)</f>
        <v>632</v>
      </c>
      <c r="N14" s="175">
        <v>705</v>
      </c>
      <c r="O14" s="175">
        <v>792</v>
      </c>
      <c r="P14" s="175">
        <f t="shared" si="0"/>
        <v>10653</v>
      </c>
    </row>
    <row r="15" spans="1:16" x14ac:dyDescent="0.3">
      <c r="A15" s="176" t="s">
        <v>1460</v>
      </c>
      <c r="B15" s="177">
        <v>0</v>
      </c>
      <c r="C15" s="177">
        <v>0</v>
      </c>
      <c r="D15" s="177">
        <v>0</v>
      </c>
      <c r="E15" s="177">
        <v>0</v>
      </c>
      <c r="F15" s="177">
        <v>0</v>
      </c>
      <c r="G15" s="177">
        <v>0</v>
      </c>
      <c r="H15" s="177">
        <v>0</v>
      </c>
      <c r="I15" s="177">
        <v>0</v>
      </c>
      <c r="J15" s="177">
        <v>0</v>
      </c>
      <c r="K15" s="177">
        <v>2</v>
      </c>
      <c r="L15" s="177">
        <v>6</v>
      </c>
      <c r="M15" s="177">
        <v>16</v>
      </c>
      <c r="N15" s="177">
        <v>16</v>
      </c>
      <c r="O15" s="177">
        <v>21</v>
      </c>
      <c r="P15" s="454">
        <f>+SUM(B15:O15)</f>
        <v>61</v>
      </c>
    </row>
    <row r="16" spans="1:16" x14ac:dyDescent="0.3">
      <c r="A16" s="176" t="s">
        <v>1452</v>
      </c>
      <c r="B16" s="177">
        <v>73</v>
      </c>
      <c r="C16" s="177">
        <v>56</v>
      </c>
      <c r="D16" s="177">
        <v>39</v>
      </c>
      <c r="E16" s="177">
        <v>48</v>
      </c>
      <c r="F16" s="177">
        <v>45</v>
      </c>
      <c r="G16" s="177">
        <v>42</v>
      </c>
      <c r="H16" s="177">
        <v>54</v>
      </c>
      <c r="I16" s="177">
        <v>62</v>
      </c>
      <c r="J16" s="177">
        <v>42</v>
      </c>
      <c r="K16" s="177">
        <v>46</v>
      </c>
      <c r="L16" s="177">
        <v>49</v>
      </c>
      <c r="M16" s="177">
        <v>43</v>
      </c>
      <c r="N16" s="177">
        <v>39</v>
      </c>
      <c r="O16" s="177">
        <v>48</v>
      </c>
      <c r="P16" s="454">
        <f>+SUM(B16:O16)</f>
        <v>686</v>
      </c>
    </row>
    <row r="17" spans="1:16" x14ac:dyDescent="0.3">
      <c r="A17" s="176" t="s">
        <v>1453</v>
      </c>
      <c r="B17" s="177">
        <v>237</v>
      </c>
      <c r="C17" s="177">
        <v>215</v>
      </c>
      <c r="D17" s="177">
        <v>360</v>
      </c>
      <c r="E17" s="177">
        <v>413</v>
      </c>
      <c r="F17" s="177">
        <v>250</v>
      </c>
      <c r="G17" s="177">
        <v>340</v>
      </c>
      <c r="H17" s="177">
        <v>465</v>
      </c>
      <c r="I17" s="177">
        <v>492</v>
      </c>
      <c r="J17" s="177">
        <v>625</v>
      </c>
      <c r="K17" s="177">
        <v>417</v>
      </c>
      <c r="L17" s="177">
        <v>346</v>
      </c>
      <c r="M17" s="177">
        <v>289</v>
      </c>
      <c r="N17" s="177">
        <v>322</v>
      </c>
      <c r="O17" s="177">
        <v>314</v>
      </c>
      <c r="P17" s="454">
        <f t="shared" ref="P17:P26" si="1">+SUM(B17:O17)</f>
        <v>5085</v>
      </c>
    </row>
    <row r="18" spans="1:16" x14ac:dyDescent="0.3">
      <c r="A18" s="176" t="s">
        <v>1454</v>
      </c>
      <c r="B18" s="177">
        <v>27</v>
      </c>
      <c r="C18" s="177">
        <v>34</v>
      </c>
      <c r="D18" s="177">
        <v>33</v>
      </c>
      <c r="E18" s="177">
        <v>31</v>
      </c>
      <c r="F18" s="177">
        <v>32</v>
      </c>
      <c r="G18" s="177">
        <v>40</v>
      </c>
      <c r="H18" s="177">
        <v>36</v>
      </c>
      <c r="I18" s="177">
        <v>35</v>
      </c>
      <c r="J18" s="177">
        <v>37</v>
      </c>
      <c r="K18" s="177">
        <v>29</v>
      </c>
      <c r="L18" s="177">
        <v>33</v>
      </c>
      <c r="M18" s="177">
        <v>34</v>
      </c>
      <c r="N18" s="177">
        <v>41</v>
      </c>
      <c r="O18" s="177">
        <v>52</v>
      </c>
      <c r="P18" s="454">
        <f t="shared" si="1"/>
        <v>494</v>
      </c>
    </row>
    <row r="19" spans="1:16" ht="24" x14ac:dyDescent="0.3">
      <c r="A19" s="176" t="s">
        <v>1455</v>
      </c>
      <c r="B19" s="177">
        <v>21</v>
      </c>
      <c r="C19" s="177">
        <v>23</v>
      </c>
      <c r="D19" s="177">
        <v>20</v>
      </c>
      <c r="E19" s="177">
        <v>24</v>
      </c>
      <c r="F19" s="177">
        <v>23</v>
      </c>
      <c r="G19" s="177">
        <v>21</v>
      </c>
      <c r="H19" s="177">
        <v>21</v>
      </c>
      <c r="I19" s="177">
        <v>18</v>
      </c>
      <c r="J19" s="177">
        <v>17</v>
      </c>
      <c r="K19" s="177">
        <v>15</v>
      </c>
      <c r="L19" s="177">
        <v>12</v>
      </c>
      <c r="M19" s="177">
        <v>17</v>
      </c>
      <c r="N19" s="177">
        <v>20</v>
      </c>
      <c r="O19" s="177">
        <v>22</v>
      </c>
      <c r="P19" s="454">
        <f t="shared" si="1"/>
        <v>274</v>
      </c>
    </row>
    <row r="20" spans="1:16" ht="24" x14ac:dyDescent="0.3">
      <c r="A20" s="176" t="s">
        <v>1456</v>
      </c>
      <c r="B20" s="177">
        <v>184</v>
      </c>
      <c r="C20" s="177">
        <v>157</v>
      </c>
      <c r="D20" s="177">
        <v>139</v>
      </c>
      <c r="E20" s="177">
        <v>134</v>
      </c>
      <c r="F20" s="177">
        <v>218</v>
      </c>
      <c r="G20" s="177">
        <v>479</v>
      </c>
      <c r="H20" s="177">
        <v>377</v>
      </c>
      <c r="I20" s="177">
        <v>426</v>
      </c>
      <c r="J20" s="177">
        <v>177</v>
      </c>
      <c r="K20" s="177">
        <v>86</v>
      </c>
      <c r="L20" s="177">
        <v>128</v>
      </c>
      <c r="M20" s="177">
        <v>123</v>
      </c>
      <c r="N20" s="177">
        <v>131</v>
      </c>
      <c r="O20" s="177">
        <v>162</v>
      </c>
      <c r="P20" s="454">
        <f t="shared" si="1"/>
        <v>2921</v>
      </c>
    </row>
    <row r="21" spans="1:16" ht="24" x14ac:dyDescent="0.3">
      <c r="A21" s="176" t="s">
        <v>1457</v>
      </c>
      <c r="B21" s="177">
        <v>4</v>
      </c>
      <c r="C21" s="177">
        <v>0</v>
      </c>
      <c r="D21" s="177">
        <v>2</v>
      </c>
      <c r="E21" s="177">
        <v>5</v>
      </c>
      <c r="F21" s="177">
        <v>1</v>
      </c>
      <c r="G21" s="177">
        <v>3</v>
      </c>
      <c r="H21" s="177">
        <v>3</v>
      </c>
      <c r="I21" s="177">
        <v>9</v>
      </c>
      <c r="J21" s="177">
        <v>5</v>
      </c>
      <c r="K21" s="177">
        <v>10</v>
      </c>
      <c r="L21" s="177">
        <v>8</v>
      </c>
      <c r="M21" s="177">
        <v>85</v>
      </c>
      <c r="N21" s="177">
        <v>11</v>
      </c>
      <c r="O21" s="177">
        <v>27</v>
      </c>
      <c r="P21" s="454">
        <f t="shared" si="1"/>
        <v>173</v>
      </c>
    </row>
    <row r="22" spans="1:16" x14ac:dyDescent="0.3">
      <c r="A22" s="176" t="s">
        <v>1458</v>
      </c>
      <c r="B22" s="177">
        <v>29</v>
      </c>
      <c r="C22" s="177">
        <v>44</v>
      </c>
      <c r="D22" s="177">
        <v>51</v>
      </c>
      <c r="E22" s="177">
        <v>47</v>
      </c>
      <c r="F22" s="177">
        <v>33</v>
      </c>
      <c r="G22" s="177">
        <v>41</v>
      </c>
      <c r="H22" s="177">
        <v>57</v>
      </c>
      <c r="I22" s="177">
        <v>75</v>
      </c>
      <c r="J22" s="177">
        <v>72</v>
      </c>
      <c r="K22" s="177">
        <v>97</v>
      </c>
      <c r="L22" s="177">
        <v>87</v>
      </c>
      <c r="M22" s="177">
        <v>10</v>
      </c>
      <c r="N22" s="177">
        <v>110</v>
      </c>
      <c r="O22" s="177">
        <v>132</v>
      </c>
      <c r="P22" s="454">
        <f t="shared" si="1"/>
        <v>885</v>
      </c>
    </row>
    <row r="23" spans="1:16" x14ac:dyDescent="0.3">
      <c r="A23" s="176" t="s">
        <v>1459</v>
      </c>
      <c r="B23" s="177">
        <v>0</v>
      </c>
      <c r="C23" s="177">
        <v>0</v>
      </c>
      <c r="D23" s="177">
        <v>0</v>
      </c>
      <c r="E23" s="177">
        <v>1</v>
      </c>
      <c r="F23" s="177">
        <v>1</v>
      </c>
      <c r="G23" s="177">
        <v>2</v>
      </c>
      <c r="H23" s="177">
        <v>5</v>
      </c>
      <c r="I23" s="177">
        <v>4</v>
      </c>
      <c r="J23" s="177">
        <v>2</v>
      </c>
      <c r="K23" s="177">
        <v>2</v>
      </c>
      <c r="L23" s="177">
        <v>4</v>
      </c>
      <c r="M23" s="177">
        <v>4</v>
      </c>
      <c r="N23" s="177">
        <v>0</v>
      </c>
      <c r="O23" s="177">
        <v>0</v>
      </c>
      <c r="P23" s="454">
        <f t="shared" si="1"/>
        <v>25</v>
      </c>
    </row>
    <row r="24" spans="1:16" x14ac:dyDescent="0.3">
      <c r="A24" s="176" t="s">
        <v>1461</v>
      </c>
      <c r="B24" s="177">
        <v>0</v>
      </c>
      <c r="C24" s="177">
        <v>0</v>
      </c>
      <c r="D24" s="177">
        <v>0</v>
      </c>
      <c r="E24" s="177">
        <v>0</v>
      </c>
      <c r="F24" s="177">
        <v>0</v>
      </c>
      <c r="G24" s="177">
        <v>0</v>
      </c>
      <c r="H24" s="177">
        <v>0</v>
      </c>
      <c r="I24" s="177">
        <v>0</v>
      </c>
      <c r="J24" s="177">
        <v>0</v>
      </c>
      <c r="K24" s="177">
        <v>1</v>
      </c>
      <c r="L24" s="177">
        <v>8</v>
      </c>
      <c r="M24" s="177">
        <v>11</v>
      </c>
      <c r="N24" s="177">
        <v>15</v>
      </c>
      <c r="O24" s="177">
        <v>14</v>
      </c>
      <c r="P24" s="454">
        <f t="shared" si="1"/>
        <v>49</v>
      </c>
    </row>
    <row r="25" spans="1:16" x14ac:dyDescent="0.3">
      <c r="A25" s="174" t="s">
        <v>371</v>
      </c>
      <c r="B25" s="175">
        <v>1372</v>
      </c>
      <c r="C25" s="175">
        <v>1199</v>
      </c>
      <c r="D25" s="175">
        <v>1252</v>
      </c>
      <c r="E25" s="175">
        <v>1256</v>
      </c>
      <c r="F25" s="175">
        <v>1189</v>
      </c>
      <c r="G25" s="175">
        <v>1588</v>
      </c>
      <c r="H25" s="175">
        <v>1568</v>
      </c>
      <c r="I25" s="175">
        <v>1667</v>
      </c>
      <c r="J25" s="175">
        <v>1336</v>
      </c>
      <c r="K25" s="175">
        <v>1042</v>
      </c>
      <c r="L25" s="175">
        <v>1006</v>
      </c>
      <c r="M25" s="175">
        <f>+M5+M14</f>
        <v>983</v>
      </c>
      <c r="N25" s="175">
        <v>1008</v>
      </c>
      <c r="O25" s="175">
        <v>1118</v>
      </c>
      <c r="P25" s="175">
        <f t="shared" si="1"/>
        <v>17584</v>
      </c>
    </row>
    <row r="26" spans="1:16" x14ac:dyDescent="0.3">
      <c r="B26">
        <f>+SUM(B5+B14)</f>
        <v>1372</v>
      </c>
      <c r="C26">
        <f t="shared" ref="C26:O26" si="2">+SUM(C5+C14)</f>
        <v>1199</v>
      </c>
      <c r="D26">
        <f t="shared" si="2"/>
        <v>1252</v>
      </c>
      <c r="E26">
        <f t="shared" si="2"/>
        <v>1256</v>
      </c>
      <c r="F26">
        <f t="shared" si="2"/>
        <v>1189</v>
      </c>
      <c r="G26">
        <f t="shared" si="2"/>
        <v>1588</v>
      </c>
      <c r="H26">
        <f t="shared" si="2"/>
        <v>1568</v>
      </c>
      <c r="I26">
        <f t="shared" si="2"/>
        <v>1667</v>
      </c>
      <c r="J26">
        <f t="shared" si="2"/>
        <v>1336</v>
      </c>
      <c r="K26">
        <f>+SUM(K5+K14)</f>
        <v>1042</v>
      </c>
      <c r="L26">
        <f t="shared" si="2"/>
        <v>1006</v>
      </c>
      <c r="M26">
        <f t="shared" si="2"/>
        <v>983</v>
      </c>
      <c r="N26">
        <f t="shared" si="2"/>
        <v>1008</v>
      </c>
      <c r="O26">
        <f t="shared" si="2"/>
        <v>1118</v>
      </c>
      <c r="P26" s="454">
        <f t="shared" si="1"/>
        <v>17584</v>
      </c>
    </row>
    <row r="27" spans="1:16" x14ac:dyDescent="0.3">
      <c r="B27" s="497" t="b">
        <f>+B26=B25</f>
        <v>1</v>
      </c>
      <c r="C27" s="497" t="b">
        <f t="shared" ref="C27:P27" si="3">+C26=C25</f>
        <v>1</v>
      </c>
      <c r="D27" s="497" t="b">
        <f t="shared" si="3"/>
        <v>1</v>
      </c>
      <c r="E27" s="497" t="b">
        <f t="shared" si="3"/>
        <v>1</v>
      </c>
      <c r="F27" s="497" t="b">
        <f t="shared" si="3"/>
        <v>1</v>
      </c>
      <c r="G27" s="497" t="b">
        <f t="shared" si="3"/>
        <v>1</v>
      </c>
      <c r="H27" s="497" t="b">
        <f t="shared" si="3"/>
        <v>1</v>
      </c>
      <c r="I27" s="497" t="b">
        <f t="shared" si="3"/>
        <v>1</v>
      </c>
      <c r="J27" s="497" t="b">
        <f t="shared" si="3"/>
        <v>1</v>
      </c>
      <c r="K27" s="497" t="b">
        <f t="shared" si="3"/>
        <v>1</v>
      </c>
      <c r="L27" s="497" t="b">
        <f t="shared" si="3"/>
        <v>1</v>
      </c>
      <c r="M27" s="497" t="b">
        <f>+M26=M25</f>
        <v>1</v>
      </c>
      <c r="N27" s="497" t="b">
        <f>+N26=N25</f>
        <v>1</v>
      </c>
      <c r="O27" s="497" t="b">
        <f>+O26=O25</f>
        <v>1</v>
      </c>
      <c r="P27" s="497" t="b">
        <f t="shared" si="3"/>
        <v>1</v>
      </c>
    </row>
  </sheetData>
  <pageMargins left="0.7" right="0.7" top="0.75" bottom="0.75" header="0.3" footer="0.3"/>
  <drawing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F7952-A0DA-4C38-9B4E-E6050B1B7FBB}">
  <dimension ref="A1:J5"/>
  <sheetViews>
    <sheetView workbookViewId="0">
      <selection activeCell="H11" sqref="H11"/>
    </sheetView>
  </sheetViews>
  <sheetFormatPr baseColWidth="10" defaultColWidth="11.44140625" defaultRowHeight="14.4" x14ac:dyDescent="0.3"/>
  <cols>
    <col min="1" max="1" width="19.44140625" bestFit="1" customWidth="1"/>
    <col min="2" max="2" width="8" customWidth="1"/>
    <col min="3" max="8" width="6.44140625" customWidth="1"/>
    <col min="9" max="9" width="11.44140625" customWidth="1"/>
  </cols>
  <sheetData>
    <row r="1" spans="1:10" x14ac:dyDescent="0.3">
      <c r="A1" t="s">
        <v>355</v>
      </c>
      <c r="B1">
        <v>15</v>
      </c>
    </row>
    <row r="2" spans="1:10" x14ac:dyDescent="0.3">
      <c r="A2" t="s">
        <v>5</v>
      </c>
      <c r="B2" t="s">
        <v>336</v>
      </c>
    </row>
    <row r="4" spans="1:10" ht="15" thickBot="1" x14ac:dyDescent="0.35">
      <c r="A4" s="172"/>
      <c r="B4" s="173">
        <v>2019</v>
      </c>
      <c r="C4" s="173">
        <v>2020</v>
      </c>
      <c r="D4" s="173">
        <v>2021</v>
      </c>
      <c r="E4" s="173">
        <v>2022</v>
      </c>
      <c r="F4" s="173">
        <v>2023</v>
      </c>
      <c r="G4" s="173">
        <v>2024</v>
      </c>
      <c r="H4" s="173" t="s">
        <v>360</v>
      </c>
      <c r="I4" s="173" t="s">
        <v>361</v>
      </c>
      <c r="J4" s="173" t="s">
        <v>362</v>
      </c>
    </row>
    <row r="5" spans="1:10" ht="48.6" thickBot="1" x14ac:dyDescent="0.35">
      <c r="A5" s="174" t="s">
        <v>174</v>
      </c>
      <c r="B5" s="175">
        <v>82579</v>
      </c>
      <c r="C5" s="175">
        <v>11244</v>
      </c>
      <c r="D5" s="175">
        <v>4137</v>
      </c>
      <c r="E5" s="175">
        <v>9852</v>
      </c>
      <c r="F5" s="175">
        <v>22774</v>
      </c>
      <c r="G5" s="175">
        <v>29900</v>
      </c>
      <c r="H5" s="175">
        <v>12000</v>
      </c>
      <c r="I5" s="175">
        <v>12901</v>
      </c>
      <c r="J5" s="175">
        <v>11488</v>
      </c>
    </row>
  </sheetData>
  <pageMargins left="0.7" right="0.7" top="0.75" bottom="0.75" header="0.3" footer="0.3"/>
  <drawing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C3588-8492-4B4F-AE30-381B23D5BB54}">
  <dimension ref="A1:E13"/>
  <sheetViews>
    <sheetView workbookViewId="0">
      <selection activeCell="B3" sqref="B3"/>
    </sheetView>
  </sheetViews>
  <sheetFormatPr baseColWidth="10" defaultColWidth="11.44140625" defaultRowHeight="14.4" x14ac:dyDescent="0.3"/>
  <cols>
    <col min="1" max="1" width="19.44140625" bestFit="1" customWidth="1"/>
    <col min="2" max="5" width="16.44140625" customWidth="1"/>
    <col min="6" max="7" width="6.44140625" customWidth="1"/>
    <col min="8" max="8" width="11.44140625" customWidth="1"/>
  </cols>
  <sheetData>
    <row r="1" spans="1:5" x14ac:dyDescent="0.3">
      <c r="A1" t="s">
        <v>355</v>
      </c>
      <c r="B1">
        <v>136</v>
      </c>
    </row>
    <row r="2" spans="1:5" x14ac:dyDescent="0.3">
      <c r="A2" t="s">
        <v>5</v>
      </c>
      <c r="B2" t="s">
        <v>1462</v>
      </c>
    </row>
    <row r="3" spans="1:5" ht="15" thickBot="1" x14ac:dyDescent="0.35"/>
    <row r="4" spans="1:5" ht="55.5" customHeight="1" thickBot="1" x14ac:dyDescent="0.35">
      <c r="A4" s="51" t="s">
        <v>535</v>
      </c>
      <c r="B4" s="51" t="s">
        <v>1463</v>
      </c>
      <c r="C4" s="51" t="s">
        <v>1464</v>
      </c>
      <c r="D4" s="51" t="s">
        <v>1465</v>
      </c>
      <c r="E4" s="51" t="s">
        <v>1466</v>
      </c>
    </row>
    <row r="5" spans="1:5" ht="15.6" thickBot="1" x14ac:dyDescent="0.35">
      <c r="A5" s="63">
        <v>2019</v>
      </c>
      <c r="B5" s="88"/>
      <c r="C5" s="88"/>
      <c r="D5" s="88"/>
      <c r="E5" s="63">
        <v>23</v>
      </c>
    </row>
    <row r="6" spans="1:5" ht="15.6" thickBot="1" x14ac:dyDescent="0.35">
      <c r="A6" s="63">
        <v>2020</v>
      </c>
      <c r="B6" s="88"/>
      <c r="C6" s="88"/>
      <c r="D6" s="63">
        <v>26</v>
      </c>
      <c r="E6" s="63">
        <v>44</v>
      </c>
    </row>
    <row r="7" spans="1:5" ht="15.6" thickBot="1" x14ac:dyDescent="0.35">
      <c r="A7" s="63">
        <v>2021</v>
      </c>
      <c r="B7" s="88"/>
      <c r="C7" s="63">
        <v>1</v>
      </c>
      <c r="D7" s="63">
        <v>21</v>
      </c>
      <c r="E7" s="63">
        <v>38</v>
      </c>
    </row>
    <row r="8" spans="1:5" ht="15.6" thickBot="1" x14ac:dyDescent="0.35">
      <c r="A8" s="63">
        <v>2022</v>
      </c>
      <c r="B8" s="63">
        <v>10</v>
      </c>
      <c r="C8" s="63">
        <v>2</v>
      </c>
      <c r="D8" s="63">
        <v>8</v>
      </c>
      <c r="E8" s="63">
        <v>36</v>
      </c>
    </row>
    <row r="9" spans="1:5" ht="15.6" thickBot="1" x14ac:dyDescent="0.35">
      <c r="A9" s="63">
        <v>2023</v>
      </c>
      <c r="B9" s="63">
        <v>8</v>
      </c>
      <c r="C9" s="63">
        <v>3</v>
      </c>
      <c r="D9" s="63">
        <v>9</v>
      </c>
      <c r="E9" s="63">
        <v>33</v>
      </c>
    </row>
    <row r="10" spans="1:5" ht="15.6" thickBot="1" x14ac:dyDescent="0.35">
      <c r="A10" s="63">
        <v>2024</v>
      </c>
      <c r="B10" s="63">
        <v>7</v>
      </c>
      <c r="C10" s="63">
        <v>3</v>
      </c>
      <c r="D10" s="63">
        <v>8</v>
      </c>
      <c r="E10" s="63">
        <v>24</v>
      </c>
    </row>
    <row r="11" spans="1:5" ht="15.6" thickBot="1" x14ac:dyDescent="0.35">
      <c r="A11" s="63">
        <v>2025</v>
      </c>
      <c r="B11" s="548">
        <v>2</v>
      </c>
      <c r="C11" s="548">
        <v>0</v>
      </c>
      <c r="D11" s="548">
        <v>1</v>
      </c>
      <c r="E11" s="548">
        <v>7</v>
      </c>
    </row>
    <row r="12" spans="1:5" ht="15.6" thickBot="1" x14ac:dyDescent="0.35">
      <c r="A12" s="63" t="s">
        <v>362</v>
      </c>
      <c r="B12" s="548"/>
      <c r="C12" s="548"/>
      <c r="D12" s="548"/>
      <c r="E12" s="548"/>
    </row>
    <row r="13" spans="1:5" ht="15.6" thickBot="1" x14ac:dyDescent="0.35">
      <c r="A13" s="64" t="s">
        <v>466</v>
      </c>
      <c r="B13" s="64">
        <f>SUM(B5:B11)</f>
        <v>27</v>
      </c>
      <c r="C13" s="64">
        <f>SUM(C5:C11)</f>
        <v>9</v>
      </c>
      <c r="D13" s="64">
        <f>SUM(D5:D11)</f>
        <v>73</v>
      </c>
      <c r="E13" s="64">
        <f>SUM(E5:E11)</f>
        <v>205</v>
      </c>
    </row>
  </sheetData>
  <pageMargins left="0.7" right="0.7" top="0.75" bottom="0.75" header="0.3" footer="0.3"/>
  <drawing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F33E3-9AAB-4E3A-987F-39E0A5737668}">
  <dimension ref="A1:I7"/>
  <sheetViews>
    <sheetView zoomScale="72" workbookViewId="0">
      <selection activeCell="I6" sqref="I6"/>
    </sheetView>
  </sheetViews>
  <sheetFormatPr baseColWidth="10" defaultColWidth="11.44140625" defaultRowHeight="14.4" x14ac:dyDescent="0.3"/>
  <cols>
    <col min="1" max="1" width="19.44140625" bestFit="1" customWidth="1"/>
    <col min="2" max="2" width="12.33203125" customWidth="1"/>
    <col min="3" max="8" width="7.44140625" bestFit="1" customWidth="1"/>
    <col min="9" max="9" width="10.33203125" customWidth="1"/>
  </cols>
  <sheetData>
    <row r="1" spans="1:9" x14ac:dyDescent="0.3">
      <c r="A1" t="s">
        <v>355</v>
      </c>
      <c r="B1">
        <v>138</v>
      </c>
    </row>
    <row r="2" spans="1:9" x14ac:dyDescent="0.3">
      <c r="A2" t="s">
        <v>5</v>
      </c>
      <c r="B2" t="s">
        <v>1467</v>
      </c>
    </row>
    <row r="3" spans="1:9" ht="15" thickBot="1" x14ac:dyDescent="0.35"/>
    <row r="4" spans="1:9" ht="55.5" customHeight="1" thickBot="1" x14ac:dyDescent="0.35">
      <c r="A4" s="51" t="s">
        <v>1225</v>
      </c>
      <c r="B4" s="51">
        <v>2019</v>
      </c>
      <c r="C4" s="51">
        <v>2020</v>
      </c>
      <c r="D4" s="51">
        <v>2021</v>
      </c>
      <c r="E4" s="51">
        <v>2022</v>
      </c>
      <c r="F4" s="51">
        <v>2023</v>
      </c>
      <c r="G4" s="51">
        <v>2024</v>
      </c>
      <c r="H4" s="51">
        <v>2025</v>
      </c>
      <c r="I4" s="51" t="s">
        <v>362</v>
      </c>
    </row>
    <row r="5" spans="1:9" ht="30.6" thickBot="1" x14ac:dyDescent="0.35">
      <c r="A5" s="48" t="s">
        <v>1468</v>
      </c>
      <c r="B5" s="63">
        <v>36</v>
      </c>
      <c r="C5" s="63">
        <v>52</v>
      </c>
      <c r="D5" s="63">
        <v>51</v>
      </c>
      <c r="E5" s="63">
        <v>44</v>
      </c>
      <c r="F5" s="63">
        <v>57</v>
      </c>
      <c r="G5" s="63">
        <v>52</v>
      </c>
      <c r="H5" s="548">
        <v>41</v>
      </c>
      <c r="I5" s="548">
        <v>40</v>
      </c>
    </row>
    <row r="6" spans="1:9" ht="27" customHeight="1" thickBot="1" x14ac:dyDescent="0.35">
      <c r="A6" s="106" t="s">
        <v>1469</v>
      </c>
      <c r="B6" s="64">
        <v>106</v>
      </c>
      <c r="C6" s="64">
        <v>127</v>
      </c>
      <c r="D6" s="64">
        <v>133</v>
      </c>
      <c r="E6" s="64">
        <v>124</v>
      </c>
      <c r="F6" s="64">
        <v>133</v>
      </c>
      <c r="G6" s="64">
        <v>124</v>
      </c>
      <c r="H6" s="549">
        <v>115</v>
      </c>
      <c r="I6" s="549">
        <v>122</v>
      </c>
    </row>
    <row r="7" spans="1:9" ht="45.6" thickBot="1" x14ac:dyDescent="0.35">
      <c r="A7" s="48" t="s">
        <v>1470</v>
      </c>
      <c r="B7" s="178">
        <v>0.34</v>
      </c>
      <c r="C7" s="178">
        <v>0.40899999999999997</v>
      </c>
      <c r="D7" s="178">
        <v>0.38300000000000001</v>
      </c>
      <c r="E7" s="178">
        <v>0.35499999999999998</v>
      </c>
      <c r="F7" s="178">
        <v>0.42899999999999999</v>
      </c>
      <c r="G7" s="178">
        <v>0.41299999999999998</v>
      </c>
      <c r="H7" s="550">
        <f>H5/H6</f>
        <v>0.35652173913043478</v>
      </c>
      <c r="I7" s="178">
        <f>I5/I6</f>
        <v>0.32786885245901637</v>
      </c>
    </row>
  </sheetData>
  <pageMargins left="0.7" right="0.7" top="0.75" bottom="0.75" header="0.3" footer="0.3"/>
  <drawing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AD6AF-AE57-4047-BF1F-D73DFF814657}">
  <dimension ref="A1:I5"/>
  <sheetViews>
    <sheetView workbookViewId="0">
      <selection activeCell="B2" sqref="B2"/>
    </sheetView>
  </sheetViews>
  <sheetFormatPr baseColWidth="10" defaultColWidth="11.44140625" defaultRowHeight="14.4" x14ac:dyDescent="0.3"/>
  <cols>
    <col min="1" max="1" width="19.44140625" bestFit="1" customWidth="1"/>
    <col min="2" max="2" width="13.109375" customWidth="1"/>
    <col min="3" max="7" width="5.44140625" bestFit="1" customWidth="1"/>
    <col min="8" max="8" width="7.109375" bestFit="1" customWidth="1"/>
    <col min="9" max="9" width="7.109375" customWidth="1"/>
  </cols>
  <sheetData>
    <row r="1" spans="1:9" x14ac:dyDescent="0.3">
      <c r="A1" t="s">
        <v>355</v>
      </c>
      <c r="B1">
        <v>139</v>
      </c>
    </row>
    <row r="2" spans="1:9" x14ac:dyDescent="0.3">
      <c r="A2" t="s">
        <v>5</v>
      </c>
      <c r="B2" t="s">
        <v>183</v>
      </c>
    </row>
    <row r="3" spans="1:9" ht="15" thickBot="1" x14ac:dyDescent="0.35"/>
    <row r="4" spans="1:9" ht="55.5" customHeight="1" thickBot="1" x14ac:dyDescent="0.35">
      <c r="A4" s="637" t="s">
        <v>1471</v>
      </c>
      <c r="B4" s="62">
        <v>2019</v>
      </c>
      <c r="C4" s="62">
        <v>2020</v>
      </c>
      <c r="D4" s="62">
        <v>2021</v>
      </c>
      <c r="E4" s="62">
        <v>2022</v>
      </c>
      <c r="F4" s="62">
        <v>2023</v>
      </c>
      <c r="G4" s="62">
        <v>2024</v>
      </c>
      <c r="H4" s="179">
        <v>2025</v>
      </c>
      <c r="I4" s="179" t="s">
        <v>362</v>
      </c>
    </row>
    <row r="5" spans="1:9" ht="15.6" thickBot="1" x14ac:dyDescent="0.35">
      <c r="A5" s="655"/>
      <c r="B5" s="63">
        <v>12</v>
      </c>
      <c r="C5" s="63">
        <v>20</v>
      </c>
      <c r="D5" s="63">
        <v>14</v>
      </c>
      <c r="E5" s="63">
        <v>31</v>
      </c>
      <c r="F5" s="63">
        <v>117</v>
      </c>
      <c r="G5" s="63">
        <v>30</v>
      </c>
      <c r="H5" s="548">
        <v>8</v>
      </c>
      <c r="I5" s="548"/>
    </row>
  </sheetData>
  <mergeCells count="1">
    <mergeCell ref="A4:A5"/>
  </mergeCells>
  <pageMargins left="0.7" right="0.7" top="0.75" bottom="0.75" header="0.3" footer="0.3"/>
  <drawing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06752-4CD8-4674-86E6-C2080ED050EF}">
  <dimension ref="A1:G38"/>
  <sheetViews>
    <sheetView workbookViewId="0">
      <selection activeCell="F23" sqref="F23"/>
    </sheetView>
  </sheetViews>
  <sheetFormatPr baseColWidth="10" defaultColWidth="11.44140625" defaultRowHeight="14.4" x14ac:dyDescent="0.3"/>
  <cols>
    <col min="1" max="1" width="19.44140625" bestFit="1" customWidth="1"/>
    <col min="2" max="3" width="16.44140625" customWidth="1"/>
    <col min="4" max="4" width="5.44140625" customWidth="1"/>
    <col min="5" max="5" width="23.44140625" customWidth="1"/>
    <col min="6" max="6" width="6.44140625" bestFit="1" customWidth="1"/>
    <col min="7" max="11" width="11.44140625" customWidth="1"/>
  </cols>
  <sheetData>
    <row r="1" spans="1:7" x14ac:dyDescent="0.3">
      <c r="A1" t="s">
        <v>355</v>
      </c>
      <c r="B1">
        <v>144</v>
      </c>
    </row>
    <row r="2" spans="1:7" x14ac:dyDescent="0.3">
      <c r="A2" t="s">
        <v>5</v>
      </c>
      <c r="B2" t="s">
        <v>1472</v>
      </c>
    </row>
    <row r="3" spans="1:7" ht="15" thickBot="1" x14ac:dyDescent="0.35"/>
    <row r="4" spans="1:7" ht="15" thickTop="1" x14ac:dyDescent="0.3">
      <c r="A4" s="414" t="s">
        <v>1473</v>
      </c>
      <c r="B4" s="414" t="s">
        <v>371</v>
      </c>
      <c r="C4" s="414" t="s">
        <v>1474</v>
      </c>
      <c r="D4" s="335" t="s">
        <v>1475</v>
      </c>
      <c r="E4" s="414" t="s">
        <v>1473</v>
      </c>
      <c r="F4" s="414" t="s">
        <v>371</v>
      </c>
      <c r="G4" s="414" t="s">
        <v>1474</v>
      </c>
    </row>
    <row r="5" spans="1:7" x14ac:dyDescent="0.3">
      <c r="A5" s="455" t="s">
        <v>1476</v>
      </c>
      <c r="B5" s="92">
        <v>9</v>
      </c>
      <c r="C5" s="92">
        <v>7</v>
      </c>
      <c r="D5" s="335" t="s">
        <v>1475</v>
      </c>
      <c r="E5" s="455" t="s">
        <v>1477</v>
      </c>
      <c r="F5" s="92">
        <v>1</v>
      </c>
      <c r="G5" s="92">
        <v>1</v>
      </c>
    </row>
    <row r="6" spans="1:7" x14ac:dyDescent="0.3">
      <c r="A6" s="455" t="s">
        <v>1478</v>
      </c>
      <c r="B6" s="92">
        <v>1</v>
      </c>
      <c r="C6" s="92">
        <v>1</v>
      </c>
      <c r="D6" s="335" t="s">
        <v>1475</v>
      </c>
      <c r="E6" s="455" t="s">
        <v>1479</v>
      </c>
      <c r="F6" s="92">
        <v>1</v>
      </c>
      <c r="G6" s="92">
        <v>1</v>
      </c>
    </row>
    <row r="7" spans="1:7" x14ac:dyDescent="0.3">
      <c r="A7" s="455" t="s">
        <v>1480</v>
      </c>
      <c r="B7" s="92">
        <v>6</v>
      </c>
      <c r="C7" s="92">
        <v>6</v>
      </c>
      <c r="D7" s="335" t="s">
        <v>1475</v>
      </c>
      <c r="E7" s="455" t="s">
        <v>1481</v>
      </c>
      <c r="F7" s="92">
        <v>1</v>
      </c>
      <c r="G7" s="92">
        <v>1</v>
      </c>
    </row>
    <row r="8" spans="1:7" x14ac:dyDescent="0.3">
      <c r="A8" s="455" t="s">
        <v>1482</v>
      </c>
      <c r="B8" s="92">
        <v>2</v>
      </c>
      <c r="C8" s="92">
        <v>2</v>
      </c>
      <c r="D8" s="335" t="s">
        <v>1475</v>
      </c>
      <c r="E8" s="455" t="s">
        <v>771</v>
      </c>
      <c r="F8" s="92">
        <v>28</v>
      </c>
      <c r="G8" s="92">
        <v>25</v>
      </c>
    </row>
    <row r="9" spans="1:7" x14ac:dyDescent="0.3">
      <c r="A9" s="455" t="s">
        <v>1483</v>
      </c>
      <c r="B9" s="92">
        <v>5</v>
      </c>
      <c r="C9" s="92">
        <v>5</v>
      </c>
      <c r="D9" s="335" t="s">
        <v>1475</v>
      </c>
      <c r="E9" s="455" t="s">
        <v>1484</v>
      </c>
      <c r="F9" s="92">
        <v>2</v>
      </c>
      <c r="G9" s="92">
        <v>2</v>
      </c>
    </row>
    <row r="10" spans="1:7" x14ac:dyDescent="0.3">
      <c r="A10" s="455" t="s">
        <v>769</v>
      </c>
      <c r="B10" s="92">
        <v>42</v>
      </c>
      <c r="C10" s="92">
        <v>38</v>
      </c>
      <c r="D10" s="335" t="s">
        <v>1475</v>
      </c>
      <c r="E10" s="455" t="s">
        <v>1485</v>
      </c>
      <c r="F10" s="92">
        <v>2</v>
      </c>
      <c r="G10" s="92">
        <v>2</v>
      </c>
    </row>
    <row r="11" spans="1:7" x14ac:dyDescent="0.3">
      <c r="A11" s="455" t="s">
        <v>775</v>
      </c>
      <c r="B11" s="92">
        <v>3</v>
      </c>
      <c r="C11" s="92">
        <v>3</v>
      </c>
      <c r="D11" s="335" t="s">
        <v>1475</v>
      </c>
      <c r="E11" s="455" t="s">
        <v>774</v>
      </c>
      <c r="F11" s="92">
        <v>4</v>
      </c>
      <c r="G11" s="92">
        <v>4</v>
      </c>
    </row>
    <row r="12" spans="1:7" x14ac:dyDescent="0.3">
      <c r="A12" s="455" t="s">
        <v>1486</v>
      </c>
      <c r="B12" s="92">
        <v>1</v>
      </c>
      <c r="C12" s="92">
        <v>1</v>
      </c>
      <c r="D12" s="335" t="s">
        <v>1475</v>
      </c>
      <c r="E12" s="455" t="s">
        <v>1487</v>
      </c>
      <c r="F12" s="92">
        <v>1</v>
      </c>
      <c r="G12" s="92">
        <v>1</v>
      </c>
    </row>
    <row r="13" spans="1:7" x14ac:dyDescent="0.3">
      <c r="A13" s="455" t="s">
        <v>1488</v>
      </c>
      <c r="B13" s="92">
        <v>3</v>
      </c>
      <c r="C13" s="92">
        <v>3</v>
      </c>
      <c r="D13" s="335" t="s">
        <v>1475</v>
      </c>
      <c r="E13" s="455" t="s">
        <v>1489</v>
      </c>
      <c r="F13" s="92">
        <v>1</v>
      </c>
      <c r="G13" s="92">
        <v>1</v>
      </c>
    </row>
    <row r="14" spans="1:7" x14ac:dyDescent="0.3">
      <c r="A14" s="455" t="s">
        <v>1490</v>
      </c>
      <c r="B14" s="92">
        <v>22</v>
      </c>
      <c r="C14" s="92">
        <v>20</v>
      </c>
      <c r="D14" s="335" t="s">
        <v>1475</v>
      </c>
      <c r="E14" s="455" t="s">
        <v>1491</v>
      </c>
      <c r="F14" s="92">
        <v>1</v>
      </c>
      <c r="G14" s="92">
        <v>1</v>
      </c>
    </row>
    <row r="15" spans="1:7" x14ac:dyDescent="0.3">
      <c r="A15" s="455" t="s">
        <v>1492</v>
      </c>
      <c r="B15" s="92">
        <v>5</v>
      </c>
      <c r="C15" s="92">
        <v>5</v>
      </c>
      <c r="D15" s="335" t="s">
        <v>1475</v>
      </c>
      <c r="E15" s="455" t="s">
        <v>1493</v>
      </c>
      <c r="F15" s="92">
        <v>1</v>
      </c>
      <c r="G15" s="92">
        <v>1</v>
      </c>
    </row>
    <row r="16" spans="1:7" x14ac:dyDescent="0.3">
      <c r="A16" s="455" t="s">
        <v>1494</v>
      </c>
      <c r="B16" s="92">
        <v>3</v>
      </c>
      <c r="C16" s="92">
        <v>3</v>
      </c>
      <c r="D16" s="335" t="s">
        <v>1475</v>
      </c>
      <c r="E16" s="455" t="s">
        <v>1495</v>
      </c>
      <c r="F16" s="92">
        <v>1</v>
      </c>
      <c r="G16" s="92">
        <v>1</v>
      </c>
    </row>
    <row r="17" spans="1:7" x14ac:dyDescent="0.3">
      <c r="A17" s="455" t="s">
        <v>1496</v>
      </c>
      <c r="B17" s="92">
        <v>1</v>
      </c>
      <c r="C17" s="92">
        <v>1</v>
      </c>
      <c r="D17" s="335" t="s">
        <v>1475</v>
      </c>
      <c r="E17" s="455" t="s">
        <v>1497</v>
      </c>
      <c r="F17" s="92">
        <v>1</v>
      </c>
      <c r="G17" s="92">
        <v>1</v>
      </c>
    </row>
    <row r="18" spans="1:7" x14ac:dyDescent="0.3">
      <c r="A18" s="455" t="s">
        <v>1498</v>
      </c>
      <c r="B18" s="92">
        <v>1</v>
      </c>
      <c r="C18" s="92">
        <v>1</v>
      </c>
      <c r="D18" s="335" t="s">
        <v>1475</v>
      </c>
      <c r="E18" s="455" t="s">
        <v>371</v>
      </c>
      <c r="F18" s="92">
        <v>149</v>
      </c>
      <c r="G18" s="92">
        <v>138</v>
      </c>
    </row>
    <row r="21" spans="1:7" x14ac:dyDescent="0.3">
      <c r="A21" t="s">
        <v>355</v>
      </c>
      <c r="B21">
        <v>144</v>
      </c>
    </row>
    <row r="22" spans="1:7" x14ac:dyDescent="0.3">
      <c r="A22" t="s">
        <v>5</v>
      </c>
      <c r="B22" t="s">
        <v>1499</v>
      </c>
    </row>
    <row r="23" spans="1:7" ht="15" thickBot="1" x14ac:dyDescent="0.35"/>
    <row r="24" spans="1:7" ht="15" thickTop="1" x14ac:dyDescent="0.3">
      <c r="A24" s="414" t="s">
        <v>1473</v>
      </c>
      <c r="B24" s="414" t="s">
        <v>371</v>
      </c>
      <c r="C24" s="414" t="s">
        <v>1474</v>
      </c>
      <c r="D24" s="335" t="s">
        <v>1475</v>
      </c>
      <c r="E24" s="414" t="s">
        <v>1473</v>
      </c>
      <c r="F24" s="414" t="s">
        <v>371</v>
      </c>
      <c r="G24" s="414" t="s">
        <v>1474</v>
      </c>
    </row>
    <row r="25" spans="1:7" x14ac:dyDescent="0.3">
      <c r="A25" s="455" t="s">
        <v>1476</v>
      </c>
      <c r="B25" s="92"/>
      <c r="C25" s="92"/>
      <c r="D25" s="335" t="s">
        <v>1475</v>
      </c>
      <c r="E25" s="455" t="s">
        <v>1477</v>
      </c>
      <c r="F25" s="92"/>
      <c r="G25" s="92"/>
    </row>
    <row r="26" spans="1:7" x14ac:dyDescent="0.3">
      <c r="A26" s="455" t="s">
        <v>1478</v>
      </c>
      <c r="B26" s="92"/>
      <c r="C26" s="92"/>
      <c r="D26" s="335" t="s">
        <v>1475</v>
      </c>
      <c r="E26" s="455" t="s">
        <v>1479</v>
      </c>
      <c r="F26" s="92"/>
      <c r="G26" s="92"/>
    </row>
    <row r="27" spans="1:7" x14ac:dyDescent="0.3">
      <c r="A27" s="455" t="s">
        <v>1480</v>
      </c>
      <c r="B27" s="92"/>
      <c r="C27" s="92"/>
      <c r="D27" s="335" t="s">
        <v>1475</v>
      </c>
      <c r="E27" s="455" t="s">
        <v>1481</v>
      </c>
      <c r="F27" s="92"/>
      <c r="G27" s="92"/>
    </row>
    <row r="28" spans="1:7" x14ac:dyDescent="0.3">
      <c r="A28" s="455" t="s">
        <v>1482</v>
      </c>
      <c r="B28" s="92"/>
      <c r="C28" s="92"/>
      <c r="D28" s="335" t="s">
        <v>1475</v>
      </c>
      <c r="E28" s="455" t="s">
        <v>771</v>
      </c>
      <c r="F28" s="92"/>
      <c r="G28" s="92"/>
    </row>
    <row r="29" spans="1:7" x14ac:dyDescent="0.3">
      <c r="A29" s="455" t="s">
        <v>1483</v>
      </c>
      <c r="B29" s="92"/>
      <c r="C29" s="92"/>
      <c r="D29" s="335" t="s">
        <v>1475</v>
      </c>
      <c r="E29" s="455" t="s">
        <v>1484</v>
      </c>
      <c r="F29" s="92"/>
      <c r="G29" s="92"/>
    </row>
    <row r="30" spans="1:7" x14ac:dyDescent="0.3">
      <c r="A30" s="455" t="s">
        <v>769</v>
      </c>
      <c r="B30" s="92"/>
      <c r="C30" s="92"/>
      <c r="D30" s="335" t="s">
        <v>1475</v>
      </c>
      <c r="E30" s="455" t="s">
        <v>1485</v>
      </c>
      <c r="F30" s="92"/>
      <c r="G30" s="92"/>
    </row>
    <row r="31" spans="1:7" x14ac:dyDescent="0.3">
      <c r="A31" s="455" t="s">
        <v>775</v>
      </c>
      <c r="B31" s="92"/>
      <c r="C31" s="92"/>
      <c r="D31" s="335" t="s">
        <v>1475</v>
      </c>
      <c r="E31" s="455" t="s">
        <v>774</v>
      </c>
      <c r="F31" s="92"/>
      <c r="G31" s="92"/>
    </row>
    <row r="32" spans="1:7" x14ac:dyDescent="0.3">
      <c r="A32" s="455" t="s">
        <v>1486</v>
      </c>
      <c r="B32" s="92"/>
      <c r="C32" s="92"/>
      <c r="D32" s="335" t="s">
        <v>1475</v>
      </c>
      <c r="E32" s="455" t="s">
        <v>1487</v>
      </c>
      <c r="F32" s="92"/>
      <c r="G32" s="92"/>
    </row>
    <row r="33" spans="1:7" x14ac:dyDescent="0.3">
      <c r="A33" s="455" t="s">
        <v>1488</v>
      </c>
      <c r="B33" s="92"/>
      <c r="C33" s="92"/>
      <c r="D33" s="335" t="s">
        <v>1475</v>
      </c>
      <c r="E33" s="455" t="s">
        <v>1489</v>
      </c>
      <c r="F33" s="92"/>
      <c r="G33" s="92"/>
    </row>
    <row r="34" spans="1:7" x14ac:dyDescent="0.3">
      <c r="A34" s="455" t="s">
        <v>1490</v>
      </c>
      <c r="B34" s="92"/>
      <c r="C34" s="92"/>
      <c r="D34" s="335" t="s">
        <v>1475</v>
      </c>
      <c r="E34" s="455" t="s">
        <v>1491</v>
      </c>
      <c r="F34" s="92"/>
      <c r="G34" s="92"/>
    </row>
    <row r="35" spans="1:7" x14ac:dyDescent="0.3">
      <c r="A35" s="455" t="s">
        <v>1492</v>
      </c>
      <c r="B35" s="92"/>
      <c r="C35" s="92"/>
      <c r="D35" s="335" t="s">
        <v>1475</v>
      </c>
      <c r="E35" s="455" t="s">
        <v>1493</v>
      </c>
      <c r="F35" s="92"/>
      <c r="G35" s="92"/>
    </row>
    <row r="36" spans="1:7" x14ac:dyDescent="0.3">
      <c r="A36" s="455" t="s">
        <v>1494</v>
      </c>
      <c r="B36" s="92"/>
      <c r="C36" s="92"/>
      <c r="D36" s="335" t="s">
        <v>1475</v>
      </c>
      <c r="E36" s="455" t="s">
        <v>1495</v>
      </c>
      <c r="F36" s="92"/>
      <c r="G36" s="92"/>
    </row>
    <row r="37" spans="1:7" x14ac:dyDescent="0.3">
      <c r="A37" s="455" t="s">
        <v>1496</v>
      </c>
      <c r="B37" s="92"/>
      <c r="C37" s="92"/>
      <c r="D37" s="335" t="s">
        <v>1475</v>
      </c>
      <c r="E37" s="455" t="s">
        <v>1497</v>
      </c>
      <c r="F37" s="92"/>
      <c r="G37" s="92"/>
    </row>
    <row r="38" spans="1:7" x14ac:dyDescent="0.3">
      <c r="A38" s="455" t="s">
        <v>1498</v>
      </c>
      <c r="B38" s="92"/>
      <c r="C38" s="92"/>
      <c r="D38" s="335" t="s">
        <v>1475</v>
      </c>
      <c r="E38" s="455" t="s">
        <v>371</v>
      </c>
      <c r="F38" s="92"/>
      <c r="G38" s="92"/>
    </row>
  </sheetData>
  <pageMargins left="0.7" right="0.7" top="0.75" bottom="0.75" header="0.3" footer="0.3"/>
  <drawing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4D5AB-7C29-40C0-B7FC-D6AC1DE0B97E}">
  <dimension ref="A1:P6"/>
  <sheetViews>
    <sheetView workbookViewId="0"/>
  </sheetViews>
  <sheetFormatPr baseColWidth="10" defaultColWidth="11.44140625" defaultRowHeight="14.4" x14ac:dyDescent="0.3"/>
  <cols>
    <col min="1" max="1" width="19.44140625" bestFit="1" customWidth="1"/>
    <col min="2" max="2" width="16.44140625" customWidth="1"/>
    <col min="3" max="3" width="5.44140625" bestFit="1" customWidth="1"/>
    <col min="4" max="4" width="6.44140625" customWidth="1"/>
    <col min="5" max="11" width="5.44140625" bestFit="1" customWidth="1"/>
    <col min="12" max="15" width="5.44140625" customWidth="1"/>
    <col min="16" max="16" width="9.44140625" customWidth="1"/>
  </cols>
  <sheetData>
    <row r="1" spans="1:16" x14ac:dyDescent="0.3">
      <c r="A1" t="s">
        <v>355</v>
      </c>
      <c r="B1">
        <v>145</v>
      </c>
    </row>
    <row r="2" spans="1:16" x14ac:dyDescent="0.3">
      <c r="A2" t="s">
        <v>5</v>
      </c>
      <c r="B2" t="s">
        <v>192</v>
      </c>
    </row>
    <row r="3" spans="1:16" ht="15" thickBot="1" x14ac:dyDescent="0.35"/>
    <row r="4" spans="1:16" ht="27" thickBot="1" x14ac:dyDescent="0.35">
      <c r="A4" s="69" t="s">
        <v>1500</v>
      </c>
      <c r="B4" s="69" t="s">
        <v>422</v>
      </c>
      <c r="C4" s="69" t="s">
        <v>423</v>
      </c>
      <c r="D4" s="69" t="s">
        <v>424</v>
      </c>
      <c r="E4" s="69" t="s">
        <v>425</v>
      </c>
      <c r="F4" s="69" t="s">
        <v>426</v>
      </c>
      <c r="G4" s="69" t="s">
        <v>427</v>
      </c>
      <c r="H4" s="69" t="s">
        <v>428</v>
      </c>
      <c r="I4" s="69" t="s">
        <v>429</v>
      </c>
      <c r="J4" s="69" t="s">
        <v>430</v>
      </c>
      <c r="K4" s="69" t="s">
        <v>358</v>
      </c>
      <c r="L4" s="69" t="s">
        <v>359</v>
      </c>
      <c r="M4" s="69" t="s">
        <v>360</v>
      </c>
      <c r="N4" s="69" t="s">
        <v>361</v>
      </c>
      <c r="O4" s="69" t="s">
        <v>362</v>
      </c>
      <c r="P4" s="69" t="s">
        <v>466</v>
      </c>
    </row>
    <row r="5" spans="1:16" ht="15" thickBot="1" x14ac:dyDescent="0.35">
      <c r="A5" s="71" t="s">
        <v>1501</v>
      </c>
      <c r="B5" s="71">
        <v>13</v>
      </c>
      <c r="C5" s="71">
        <v>100</v>
      </c>
      <c r="D5" s="71">
        <v>86</v>
      </c>
      <c r="E5" s="71">
        <v>112</v>
      </c>
      <c r="F5" s="71">
        <v>108</v>
      </c>
      <c r="G5" s="71">
        <v>93</v>
      </c>
      <c r="H5" s="71">
        <v>106</v>
      </c>
      <c r="I5" s="71">
        <v>88</v>
      </c>
      <c r="J5" s="71">
        <v>68</v>
      </c>
      <c r="K5" s="71">
        <v>97</v>
      </c>
      <c r="L5" s="71">
        <v>97</v>
      </c>
      <c r="M5" s="71">
        <v>101</v>
      </c>
      <c r="N5" s="71"/>
      <c r="O5" s="71"/>
      <c r="P5" s="71">
        <f>+SUM(B5:O5)</f>
        <v>1069</v>
      </c>
    </row>
    <row r="6" spans="1:16" ht="27" thickBot="1" x14ac:dyDescent="0.35">
      <c r="A6" s="71" t="s">
        <v>1502</v>
      </c>
      <c r="B6" s="71">
        <v>103</v>
      </c>
      <c r="C6" s="71">
        <v>3620</v>
      </c>
      <c r="D6" s="71">
        <v>2059</v>
      </c>
      <c r="E6" s="71">
        <v>4912</v>
      </c>
      <c r="F6" s="71">
        <v>4269</v>
      </c>
      <c r="G6" s="71">
        <v>2561</v>
      </c>
      <c r="H6" s="71">
        <v>2893</v>
      </c>
      <c r="I6" s="71">
        <v>2638</v>
      </c>
      <c r="J6" s="71">
        <v>1401</v>
      </c>
      <c r="K6" s="71">
        <v>3376</v>
      </c>
      <c r="L6" s="71">
        <v>3747</v>
      </c>
      <c r="M6" s="71">
        <v>2493</v>
      </c>
      <c r="N6" s="71"/>
      <c r="O6" s="71"/>
      <c r="P6" s="71">
        <f>+SUM(B6:O6)</f>
        <v>34072</v>
      </c>
    </row>
  </sheetData>
  <pageMargins left="0.7" right="0.7" top="0.75" bottom="0.75" header="0.3" footer="0.3"/>
  <drawing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7D91C-05BA-4302-B8D2-9E25D38AFE0A}">
  <dimension ref="A1:P8"/>
  <sheetViews>
    <sheetView workbookViewId="0">
      <selection activeCell="P8" sqref="P8"/>
    </sheetView>
  </sheetViews>
  <sheetFormatPr baseColWidth="10" defaultColWidth="11.44140625" defaultRowHeight="14.4" x14ac:dyDescent="0.3"/>
  <cols>
    <col min="1" max="1" width="19.44140625" bestFit="1" customWidth="1"/>
    <col min="2" max="2" width="16.44140625" customWidth="1"/>
    <col min="3" max="3" width="5.44140625" bestFit="1" customWidth="1"/>
    <col min="4" max="4" width="6.44140625" customWidth="1"/>
    <col min="5" max="11" width="5.44140625" bestFit="1" customWidth="1"/>
    <col min="12" max="16" width="5.44140625" customWidth="1"/>
  </cols>
  <sheetData>
    <row r="1" spans="1:16" x14ac:dyDescent="0.3">
      <c r="A1" t="s">
        <v>355</v>
      </c>
      <c r="B1">
        <v>147</v>
      </c>
    </row>
    <row r="2" spans="1:16" x14ac:dyDescent="0.3">
      <c r="A2" t="s">
        <v>5</v>
      </c>
      <c r="B2" t="s">
        <v>193</v>
      </c>
    </row>
    <row r="3" spans="1:16" ht="15" thickBot="1" x14ac:dyDescent="0.35"/>
    <row r="4" spans="1:16" ht="27" thickBot="1" x14ac:dyDescent="0.35">
      <c r="A4" s="69" t="s">
        <v>1238</v>
      </c>
      <c r="B4" s="69" t="s">
        <v>422</v>
      </c>
      <c r="C4" s="69" t="s">
        <v>423</v>
      </c>
      <c r="D4" s="69" t="s">
        <v>424</v>
      </c>
      <c r="E4" s="69" t="s">
        <v>425</v>
      </c>
      <c r="F4" s="69" t="s">
        <v>426</v>
      </c>
      <c r="G4" s="69" t="s">
        <v>427</v>
      </c>
      <c r="H4" s="69" t="s">
        <v>428</v>
      </c>
      <c r="I4" s="69" t="s">
        <v>429</v>
      </c>
      <c r="J4" s="69" t="s">
        <v>430</v>
      </c>
      <c r="K4" s="69" t="s">
        <v>358</v>
      </c>
      <c r="L4" s="69" t="s">
        <v>359</v>
      </c>
      <c r="M4" s="69" t="s">
        <v>360</v>
      </c>
      <c r="N4" s="69" t="s">
        <v>361</v>
      </c>
      <c r="O4" s="69" t="s">
        <v>362</v>
      </c>
      <c r="P4" s="69" t="s">
        <v>371</v>
      </c>
    </row>
    <row r="5" spans="1:16" ht="40.200000000000003" thickBot="1" x14ac:dyDescent="0.35">
      <c r="A5" s="415" t="s">
        <v>1503</v>
      </c>
      <c r="B5" s="344">
        <v>0</v>
      </c>
      <c r="C5" s="344">
        <v>29</v>
      </c>
      <c r="D5" s="344">
        <v>1305</v>
      </c>
      <c r="E5" s="344">
        <v>217</v>
      </c>
      <c r="F5" s="344">
        <v>321</v>
      </c>
      <c r="G5" s="344">
        <v>353</v>
      </c>
      <c r="H5" s="344">
        <v>176</v>
      </c>
      <c r="I5" s="344">
        <v>196</v>
      </c>
      <c r="J5" s="344">
        <v>104</v>
      </c>
      <c r="K5" s="344">
        <v>231</v>
      </c>
      <c r="L5" s="344">
        <v>136</v>
      </c>
      <c r="M5" s="344">
        <v>160</v>
      </c>
      <c r="N5" s="344"/>
      <c r="O5" s="344"/>
      <c r="P5" s="344">
        <f>+SUM(B5:O5)</f>
        <v>3228</v>
      </c>
    </row>
    <row r="6" spans="1:16" ht="27" thickBot="1" x14ac:dyDescent="0.35">
      <c r="A6" s="417" t="s">
        <v>1504</v>
      </c>
      <c r="B6" s="344">
        <v>7</v>
      </c>
      <c r="C6" s="344">
        <v>1</v>
      </c>
      <c r="D6" s="344">
        <v>0</v>
      </c>
      <c r="E6" s="344">
        <v>1</v>
      </c>
      <c r="F6" s="344">
        <v>38</v>
      </c>
      <c r="G6" s="344">
        <v>69</v>
      </c>
      <c r="H6" s="344">
        <v>20</v>
      </c>
      <c r="I6" s="344">
        <v>36</v>
      </c>
      <c r="J6" s="344">
        <v>99</v>
      </c>
      <c r="K6" s="344">
        <v>22</v>
      </c>
      <c r="L6" s="344">
        <v>61</v>
      </c>
      <c r="M6" s="344">
        <v>93</v>
      </c>
      <c r="N6" s="344"/>
      <c r="O6" s="344"/>
      <c r="P6" s="344">
        <f>+SUM(B6:O6)</f>
        <v>447</v>
      </c>
    </row>
    <row r="7" spans="1:16" ht="27" thickBot="1" x14ac:dyDescent="0.35">
      <c r="A7" s="416" t="s">
        <v>1505</v>
      </c>
      <c r="B7" s="417">
        <v>4</v>
      </c>
      <c r="C7" s="417">
        <v>0</v>
      </c>
      <c r="D7" s="417">
        <v>0</v>
      </c>
      <c r="E7" s="417">
        <v>88</v>
      </c>
      <c r="F7" s="417">
        <v>126</v>
      </c>
      <c r="G7" s="417">
        <v>60</v>
      </c>
      <c r="H7" s="417">
        <v>81</v>
      </c>
      <c r="I7" s="417">
        <v>173</v>
      </c>
      <c r="J7" s="417">
        <v>194</v>
      </c>
      <c r="K7" s="417">
        <v>199</v>
      </c>
      <c r="L7" s="417">
        <v>305</v>
      </c>
      <c r="M7" s="417">
        <v>309</v>
      </c>
      <c r="N7" s="417"/>
      <c r="O7" s="417"/>
      <c r="P7" s="344">
        <f>+SUM(B7:O7)</f>
        <v>1539</v>
      </c>
    </row>
    <row r="8" spans="1:16" ht="15" thickBot="1" x14ac:dyDescent="0.35">
      <c r="A8" s="102" t="s">
        <v>466</v>
      </c>
      <c r="B8" s="102">
        <v>11</v>
      </c>
      <c r="C8" s="102">
        <v>30</v>
      </c>
      <c r="D8" s="102">
        <v>1305</v>
      </c>
      <c r="E8" s="102">
        <v>306</v>
      </c>
      <c r="F8" s="102">
        <v>485</v>
      </c>
      <c r="G8" s="102">
        <v>482</v>
      </c>
      <c r="H8" s="102">
        <v>277</v>
      </c>
      <c r="I8" s="102">
        <v>405</v>
      </c>
      <c r="J8" s="102">
        <v>397</v>
      </c>
      <c r="K8" s="102">
        <v>452</v>
      </c>
      <c r="L8" s="102">
        <v>502</v>
      </c>
      <c r="M8" s="102">
        <v>562</v>
      </c>
      <c r="N8" s="102">
        <f>SUM(N5:N7)</f>
        <v>0</v>
      </c>
      <c r="O8" s="102">
        <f>SUM(O5:O7)</f>
        <v>0</v>
      </c>
      <c r="P8" s="344">
        <f>+SUM(B8:O8)</f>
        <v>5214</v>
      </c>
    </row>
  </sheetData>
  <pageMargins left="0.7" right="0.7" top="0.75" bottom="0.75" header="0.3" footer="0.3"/>
  <drawing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E5695-1BC8-47DE-A11F-93B13B5BE414}">
  <dimension ref="A1:P7"/>
  <sheetViews>
    <sheetView workbookViewId="0">
      <selection activeCell="P7" sqref="P7"/>
    </sheetView>
  </sheetViews>
  <sheetFormatPr baseColWidth="10" defaultColWidth="11.44140625" defaultRowHeight="14.4" x14ac:dyDescent="0.3"/>
  <cols>
    <col min="1" max="1" width="19.44140625" bestFit="1" customWidth="1"/>
    <col min="2" max="2" width="8.44140625" customWidth="1"/>
    <col min="3" max="3" width="5.44140625" bestFit="1" customWidth="1"/>
    <col min="4" max="4" width="6.44140625" customWidth="1"/>
    <col min="5" max="11" width="5.44140625" bestFit="1" customWidth="1"/>
    <col min="12" max="17" width="5.44140625" customWidth="1"/>
  </cols>
  <sheetData>
    <row r="1" spans="1:16" x14ac:dyDescent="0.3">
      <c r="A1" t="s">
        <v>355</v>
      </c>
      <c r="B1">
        <v>148</v>
      </c>
    </row>
    <row r="2" spans="1:16" x14ac:dyDescent="0.3">
      <c r="A2" t="s">
        <v>5</v>
      </c>
      <c r="B2" t="s">
        <v>194</v>
      </c>
    </row>
    <row r="3" spans="1:16" ht="15" thickBot="1" x14ac:dyDescent="0.35"/>
    <row r="4" spans="1:16" ht="27" thickBot="1" x14ac:dyDescent="0.35">
      <c r="A4" s="69" t="s">
        <v>1506</v>
      </c>
      <c r="B4" s="69" t="s">
        <v>422</v>
      </c>
      <c r="C4" s="69" t="s">
        <v>1507</v>
      </c>
      <c r="D4" s="69" t="s">
        <v>1508</v>
      </c>
      <c r="E4" s="69" t="s">
        <v>1509</v>
      </c>
      <c r="F4" s="69" t="s">
        <v>1510</v>
      </c>
      <c r="G4" s="69" t="s">
        <v>1511</v>
      </c>
      <c r="H4" s="69" t="s">
        <v>1512</v>
      </c>
      <c r="I4" s="69" t="s">
        <v>1513</v>
      </c>
      <c r="J4" s="69" t="s">
        <v>1514</v>
      </c>
      <c r="K4" s="69" t="s">
        <v>1515</v>
      </c>
      <c r="L4" s="69" t="s">
        <v>359</v>
      </c>
      <c r="M4" s="69" t="s">
        <v>360</v>
      </c>
      <c r="N4" s="69" t="s">
        <v>361</v>
      </c>
      <c r="O4" s="69" t="s">
        <v>362</v>
      </c>
      <c r="P4" s="69" t="s">
        <v>371</v>
      </c>
    </row>
    <row r="5" spans="1:16" ht="15" thickBot="1" x14ac:dyDescent="0.35">
      <c r="A5" s="71" t="s">
        <v>448</v>
      </c>
      <c r="B5" s="71">
        <v>38</v>
      </c>
      <c r="C5" s="71">
        <v>12</v>
      </c>
      <c r="D5" s="71">
        <v>0</v>
      </c>
      <c r="E5" s="71">
        <v>0</v>
      </c>
      <c r="F5" s="71">
        <v>0</v>
      </c>
      <c r="G5" s="71">
        <v>9</v>
      </c>
      <c r="H5" s="71">
        <v>36</v>
      </c>
      <c r="I5" s="71">
        <v>13</v>
      </c>
      <c r="J5" s="71">
        <v>44</v>
      </c>
      <c r="K5" s="71">
        <v>15</v>
      </c>
      <c r="L5" s="71">
        <v>41</v>
      </c>
      <c r="M5" s="71">
        <v>60</v>
      </c>
      <c r="N5" s="71"/>
      <c r="O5" s="71"/>
      <c r="P5" s="71">
        <f>+SUM(B5:O5)</f>
        <v>268</v>
      </c>
    </row>
    <row r="6" spans="1:16" ht="15" thickBot="1" x14ac:dyDescent="0.35">
      <c r="A6" s="71" t="s">
        <v>1516</v>
      </c>
      <c r="B6" s="71">
        <v>0</v>
      </c>
      <c r="C6" s="71">
        <v>12</v>
      </c>
      <c r="D6" s="71">
        <v>106</v>
      </c>
      <c r="E6" s="348">
        <v>213</v>
      </c>
      <c r="F6" s="71">
        <v>191</v>
      </c>
      <c r="G6" s="71">
        <v>179</v>
      </c>
      <c r="H6" s="71">
        <v>313</v>
      </c>
      <c r="I6" s="71">
        <v>50</v>
      </c>
      <c r="J6" s="71">
        <v>156</v>
      </c>
      <c r="K6" s="71">
        <v>37</v>
      </c>
      <c r="L6" s="71">
        <v>93</v>
      </c>
      <c r="M6" s="71">
        <v>88</v>
      </c>
      <c r="N6" s="71"/>
      <c r="O6" s="71"/>
      <c r="P6" s="71">
        <f>+SUM(B6:O6)</f>
        <v>1438</v>
      </c>
    </row>
    <row r="7" spans="1:16" ht="15" thickBot="1" x14ac:dyDescent="0.35">
      <c r="A7" s="102" t="s">
        <v>466</v>
      </c>
      <c r="B7" s="102">
        <v>38</v>
      </c>
      <c r="C7" s="102">
        <v>24</v>
      </c>
      <c r="D7" s="102">
        <v>106</v>
      </c>
      <c r="E7" s="102">
        <v>213</v>
      </c>
      <c r="F7" s="102">
        <v>191</v>
      </c>
      <c r="G7" s="102">
        <v>188</v>
      </c>
      <c r="H7" s="102">
        <v>349</v>
      </c>
      <c r="I7" s="102">
        <v>63</v>
      </c>
      <c r="J7" s="102">
        <v>200</v>
      </c>
      <c r="K7" s="102">
        <v>52</v>
      </c>
      <c r="L7" s="102">
        <v>134</v>
      </c>
      <c r="M7" s="102">
        <v>148</v>
      </c>
      <c r="N7" s="102"/>
      <c r="O7" s="102"/>
      <c r="P7" s="102">
        <f>+SUM(B7:O7)</f>
        <v>1706</v>
      </c>
    </row>
  </sheetData>
  <pageMargins left="0.7" right="0.7" top="0.75" bottom="0.75" header="0.3" footer="0.3"/>
  <drawing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A47EE-31CF-4FD0-8A68-5158DC7EC320}">
  <dimension ref="A1:G19"/>
  <sheetViews>
    <sheetView workbookViewId="0">
      <selection activeCell="G19" sqref="G19"/>
    </sheetView>
  </sheetViews>
  <sheetFormatPr baseColWidth="10" defaultColWidth="11.44140625" defaultRowHeight="14.4" x14ac:dyDescent="0.3"/>
  <cols>
    <col min="1" max="1" width="19.44140625" bestFit="1" customWidth="1"/>
    <col min="2" max="6" width="10.44140625" customWidth="1"/>
    <col min="7" max="7" width="9.6640625" bestFit="1" customWidth="1"/>
    <col min="8" max="15" width="5.44140625" customWidth="1"/>
  </cols>
  <sheetData>
    <row r="1" spans="1:7" x14ac:dyDescent="0.3">
      <c r="A1" t="s">
        <v>355</v>
      </c>
      <c r="B1">
        <v>149</v>
      </c>
    </row>
    <row r="2" spans="1:7" x14ac:dyDescent="0.3">
      <c r="A2" t="s">
        <v>5</v>
      </c>
      <c r="B2" t="s">
        <v>195</v>
      </c>
    </row>
    <row r="3" spans="1:7" ht="15" thickBot="1" x14ac:dyDescent="0.35"/>
    <row r="4" spans="1:7" ht="53.4" thickBot="1" x14ac:dyDescent="0.35">
      <c r="A4" s="69" t="s">
        <v>1517</v>
      </c>
      <c r="B4" s="69" t="s">
        <v>1518</v>
      </c>
      <c r="C4" s="69" t="s">
        <v>1519</v>
      </c>
      <c r="D4" s="69" t="s">
        <v>1520</v>
      </c>
      <c r="E4" s="69" t="s">
        <v>1521</v>
      </c>
      <c r="F4" s="69" t="s">
        <v>1522</v>
      </c>
      <c r="G4" s="69" t="s">
        <v>466</v>
      </c>
    </row>
    <row r="5" spans="1:7" ht="15" thickBot="1" x14ac:dyDescent="0.35">
      <c r="A5" s="71" t="s">
        <v>422</v>
      </c>
      <c r="B5" s="71">
        <v>44</v>
      </c>
      <c r="C5" s="71">
        <v>51</v>
      </c>
      <c r="D5" s="71">
        <v>0</v>
      </c>
      <c r="E5" s="71">
        <v>0</v>
      </c>
      <c r="F5" s="71"/>
      <c r="G5" s="551">
        <v>95</v>
      </c>
    </row>
    <row r="6" spans="1:7" ht="15" thickBot="1" x14ac:dyDescent="0.35">
      <c r="A6" s="71" t="s">
        <v>423</v>
      </c>
      <c r="B6" s="71">
        <v>0</v>
      </c>
      <c r="C6" s="71">
        <v>915</v>
      </c>
      <c r="D6" s="71">
        <v>0</v>
      </c>
      <c r="E6" s="71">
        <v>726</v>
      </c>
      <c r="F6" s="71"/>
      <c r="G6" s="551">
        <v>1641</v>
      </c>
    </row>
    <row r="7" spans="1:7" ht="15" thickBot="1" x14ac:dyDescent="0.35">
      <c r="A7" s="71" t="s">
        <v>424</v>
      </c>
      <c r="B7" s="71">
        <v>137</v>
      </c>
      <c r="C7" s="71">
        <v>0</v>
      </c>
      <c r="D7" s="71">
        <v>99</v>
      </c>
      <c r="E7" s="71">
        <v>0</v>
      </c>
      <c r="F7" s="71"/>
      <c r="G7" s="551">
        <v>236</v>
      </c>
    </row>
    <row r="8" spans="1:7" ht="15" thickBot="1" x14ac:dyDescent="0.35">
      <c r="A8" s="71" t="s">
        <v>425</v>
      </c>
      <c r="B8" s="71">
        <v>0</v>
      </c>
      <c r="C8" s="71">
        <v>360</v>
      </c>
      <c r="D8" s="71">
        <v>0</v>
      </c>
      <c r="E8" s="71">
        <v>661</v>
      </c>
      <c r="F8" s="71"/>
      <c r="G8" s="551">
        <v>1021</v>
      </c>
    </row>
    <row r="9" spans="1:7" ht="15" thickBot="1" x14ac:dyDescent="0.35">
      <c r="A9" s="71" t="s">
        <v>426</v>
      </c>
      <c r="B9" s="71">
        <v>84</v>
      </c>
      <c r="C9" s="71">
        <v>0</v>
      </c>
      <c r="D9" s="71">
        <v>113</v>
      </c>
      <c r="E9" s="71">
        <v>0</v>
      </c>
      <c r="F9" s="71"/>
      <c r="G9" s="551">
        <v>197</v>
      </c>
    </row>
    <row r="10" spans="1:7" ht="15" thickBot="1" x14ac:dyDescent="0.35">
      <c r="A10" s="71" t="s">
        <v>427</v>
      </c>
      <c r="B10" s="71">
        <v>0</v>
      </c>
      <c r="C10" s="71">
        <v>536</v>
      </c>
      <c r="D10" s="71">
        <v>0</v>
      </c>
      <c r="E10" s="71">
        <v>486</v>
      </c>
      <c r="F10" s="71"/>
      <c r="G10" s="551">
        <v>1022</v>
      </c>
    </row>
    <row r="11" spans="1:7" ht="15" thickBot="1" x14ac:dyDescent="0.35">
      <c r="A11" s="71" t="s">
        <v>428</v>
      </c>
      <c r="B11" s="71">
        <v>29</v>
      </c>
      <c r="C11" s="71">
        <v>0</v>
      </c>
      <c r="D11" s="71">
        <v>438</v>
      </c>
      <c r="E11" s="71">
        <v>0</v>
      </c>
      <c r="F11" s="71"/>
      <c r="G11" s="551">
        <v>467</v>
      </c>
    </row>
    <row r="12" spans="1:7" ht="15" thickBot="1" x14ac:dyDescent="0.35">
      <c r="A12" s="71" t="s">
        <v>429</v>
      </c>
      <c r="B12" s="71">
        <v>0</v>
      </c>
      <c r="C12" s="71">
        <v>115</v>
      </c>
      <c r="D12" s="71">
        <v>0</v>
      </c>
      <c r="E12" s="71">
        <v>0</v>
      </c>
      <c r="F12" s="71"/>
      <c r="G12" s="551">
        <v>115</v>
      </c>
    </row>
    <row r="13" spans="1:7" ht="15" thickBot="1" x14ac:dyDescent="0.35">
      <c r="A13" s="71" t="s">
        <v>430</v>
      </c>
      <c r="B13" s="71">
        <v>46</v>
      </c>
      <c r="C13" s="71">
        <v>0</v>
      </c>
      <c r="D13" s="71">
        <v>77</v>
      </c>
      <c r="E13" s="71">
        <v>0</v>
      </c>
      <c r="F13" s="71"/>
      <c r="G13" s="551">
        <v>123</v>
      </c>
    </row>
    <row r="14" spans="1:7" ht="15" thickBot="1" x14ac:dyDescent="0.35">
      <c r="A14" s="71" t="s">
        <v>358</v>
      </c>
      <c r="B14" s="71">
        <v>0</v>
      </c>
      <c r="C14" s="71">
        <v>87</v>
      </c>
      <c r="D14" s="71">
        <v>0</v>
      </c>
      <c r="E14" s="71">
        <v>0</v>
      </c>
      <c r="F14" s="71"/>
      <c r="G14" s="551">
        <v>87</v>
      </c>
    </row>
    <row r="15" spans="1:7" ht="15" thickBot="1" x14ac:dyDescent="0.35">
      <c r="A15" s="71" t="s">
        <v>359</v>
      </c>
      <c r="B15" s="71">
        <v>5</v>
      </c>
      <c r="C15" s="71">
        <v>0</v>
      </c>
      <c r="D15" s="71">
        <v>128</v>
      </c>
      <c r="E15" s="71">
        <v>0</v>
      </c>
      <c r="F15" s="71">
        <v>1769</v>
      </c>
      <c r="G15" s="551">
        <v>1902</v>
      </c>
    </row>
    <row r="16" spans="1:7" ht="15" thickBot="1" x14ac:dyDescent="0.35">
      <c r="A16" s="71" t="s">
        <v>360</v>
      </c>
      <c r="B16" s="71">
        <v>0</v>
      </c>
      <c r="C16" s="71">
        <v>98</v>
      </c>
      <c r="D16" s="71">
        <v>0</v>
      </c>
      <c r="E16" s="71">
        <v>637</v>
      </c>
      <c r="F16" s="71">
        <v>10780</v>
      </c>
      <c r="G16" s="551">
        <v>11515</v>
      </c>
    </row>
    <row r="17" spans="1:7" ht="15" thickBot="1" x14ac:dyDescent="0.35">
      <c r="A17" s="71" t="s">
        <v>361</v>
      </c>
      <c r="B17" s="71"/>
      <c r="C17" s="71"/>
      <c r="D17" s="71"/>
      <c r="E17" s="71"/>
      <c r="F17" s="71"/>
      <c r="G17" s="551"/>
    </row>
    <row r="18" spans="1:7" ht="15" thickBot="1" x14ac:dyDescent="0.35">
      <c r="A18" s="71" t="s">
        <v>362</v>
      </c>
      <c r="B18" s="71"/>
      <c r="C18" s="71"/>
      <c r="D18" s="71"/>
      <c r="E18" s="71"/>
      <c r="F18" s="71"/>
      <c r="G18" s="551"/>
    </row>
    <row r="19" spans="1:7" ht="15" thickBot="1" x14ac:dyDescent="0.35">
      <c r="A19" s="102" t="s">
        <v>466</v>
      </c>
      <c r="B19" s="102">
        <f>+SUM(B5:B18)</f>
        <v>345</v>
      </c>
      <c r="C19" s="102">
        <f t="shared" ref="C19:G19" si="0">+SUM(C5:C18)</f>
        <v>2162</v>
      </c>
      <c r="D19" s="102">
        <f t="shared" si="0"/>
        <v>855</v>
      </c>
      <c r="E19" s="102">
        <f t="shared" si="0"/>
        <v>2510</v>
      </c>
      <c r="F19" s="102">
        <f t="shared" si="0"/>
        <v>12549</v>
      </c>
      <c r="G19" s="552">
        <f t="shared" si="0"/>
        <v>18421</v>
      </c>
    </row>
  </sheetData>
  <pageMargins left="0.7" right="0.7" top="0.75" bottom="0.75" header="0.3" footer="0.3"/>
  <drawing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FDFE5-4E36-420E-BDF9-68D502B0BFCF}">
  <dimension ref="A1:P11"/>
  <sheetViews>
    <sheetView workbookViewId="0">
      <selection activeCell="P11" sqref="P11"/>
    </sheetView>
  </sheetViews>
  <sheetFormatPr baseColWidth="10" defaultColWidth="11.44140625" defaultRowHeight="14.4" x14ac:dyDescent="0.3"/>
  <cols>
    <col min="1" max="1" width="19.44140625" bestFit="1" customWidth="1"/>
    <col min="2" max="5" width="10.44140625" customWidth="1"/>
    <col min="6" max="6" width="5.44140625" bestFit="1" customWidth="1"/>
    <col min="7" max="15" width="5.44140625" customWidth="1"/>
    <col min="16" max="16" width="11.44140625" customWidth="1"/>
    <col min="17" max="18" width="5.44140625" customWidth="1"/>
  </cols>
  <sheetData>
    <row r="1" spans="1:16" x14ac:dyDescent="0.3">
      <c r="A1" t="s">
        <v>355</v>
      </c>
      <c r="B1">
        <v>150</v>
      </c>
    </row>
    <row r="2" spans="1:16" x14ac:dyDescent="0.3">
      <c r="A2" t="s">
        <v>5</v>
      </c>
      <c r="B2" t="s">
        <v>196</v>
      </c>
    </row>
    <row r="3" spans="1:16" ht="15" thickBot="1" x14ac:dyDescent="0.35"/>
    <row r="4" spans="1:16" ht="27" thickBot="1" x14ac:dyDescent="0.35">
      <c r="A4" s="69" t="s">
        <v>1523</v>
      </c>
      <c r="B4" s="69" t="s">
        <v>422</v>
      </c>
      <c r="C4" s="69" t="s">
        <v>423</v>
      </c>
      <c r="D4" s="69" t="s">
        <v>424</v>
      </c>
      <c r="E4" s="69" t="s">
        <v>425</v>
      </c>
      <c r="F4" s="69" t="s">
        <v>426</v>
      </c>
      <c r="G4" s="69" t="s">
        <v>427</v>
      </c>
      <c r="H4" s="69" t="s">
        <v>428</v>
      </c>
      <c r="I4" s="69" t="s">
        <v>429</v>
      </c>
      <c r="J4" s="69" t="s">
        <v>430</v>
      </c>
      <c r="K4" s="69" t="s">
        <v>358</v>
      </c>
      <c r="L4" s="69" t="s">
        <v>359</v>
      </c>
      <c r="M4" s="69" t="s">
        <v>360</v>
      </c>
      <c r="N4" s="69" t="s">
        <v>361</v>
      </c>
      <c r="O4" s="69" t="s">
        <v>362</v>
      </c>
      <c r="P4" s="69" t="s">
        <v>466</v>
      </c>
    </row>
    <row r="5" spans="1:16" ht="15" thickBot="1" x14ac:dyDescent="0.35">
      <c r="A5" s="71" t="s">
        <v>1524</v>
      </c>
      <c r="B5" s="71">
        <v>602</v>
      </c>
      <c r="C5" s="71">
        <v>1206</v>
      </c>
      <c r="D5" s="71">
        <v>1534</v>
      </c>
      <c r="E5" s="71">
        <v>780</v>
      </c>
      <c r="F5" s="71">
        <v>1199</v>
      </c>
      <c r="G5" s="71">
        <v>1008</v>
      </c>
      <c r="H5" s="71">
        <v>802</v>
      </c>
      <c r="I5" s="71">
        <v>666</v>
      </c>
      <c r="J5" s="71">
        <v>559</v>
      </c>
      <c r="K5" s="71">
        <v>581</v>
      </c>
      <c r="L5" s="71">
        <v>579</v>
      </c>
      <c r="M5" s="71">
        <v>771</v>
      </c>
      <c r="N5" s="71"/>
      <c r="O5" s="71"/>
      <c r="P5" s="71">
        <f>+SUM(B5:O5)</f>
        <v>10287</v>
      </c>
    </row>
    <row r="6" spans="1:16" ht="15" thickBot="1" x14ac:dyDescent="0.35">
      <c r="A6" s="71" t="s">
        <v>1525</v>
      </c>
      <c r="B6" s="71">
        <v>108</v>
      </c>
      <c r="C6" s="71">
        <v>83</v>
      </c>
      <c r="D6" s="71">
        <v>100</v>
      </c>
      <c r="E6" s="71">
        <v>100</v>
      </c>
      <c r="F6" s="71">
        <v>120</v>
      </c>
      <c r="G6" s="71">
        <v>63</v>
      </c>
      <c r="H6" s="71">
        <v>41</v>
      </c>
      <c r="I6" s="71">
        <v>44</v>
      </c>
      <c r="J6" s="71">
        <v>26</v>
      </c>
      <c r="K6" s="71">
        <v>40</v>
      </c>
      <c r="L6" s="71">
        <v>278</v>
      </c>
      <c r="M6" s="71">
        <v>73</v>
      </c>
      <c r="N6" s="71"/>
      <c r="O6" s="71"/>
      <c r="P6" s="71">
        <f t="shared" ref="P6:P11" si="0">+SUM(B6:O6)</f>
        <v>1076</v>
      </c>
    </row>
    <row r="7" spans="1:16" ht="15" thickBot="1" x14ac:dyDescent="0.35">
      <c r="A7" s="71" t="s">
        <v>1526</v>
      </c>
      <c r="B7" s="71">
        <v>90</v>
      </c>
      <c r="C7" s="71">
        <v>65</v>
      </c>
      <c r="D7" s="71">
        <v>63</v>
      </c>
      <c r="E7" s="71">
        <v>48</v>
      </c>
      <c r="F7" s="71">
        <v>43</v>
      </c>
      <c r="G7" s="71">
        <v>25</v>
      </c>
      <c r="H7" s="71">
        <v>18</v>
      </c>
      <c r="I7" s="71">
        <v>11</v>
      </c>
      <c r="J7" s="71">
        <v>25</v>
      </c>
      <c r="K7" s="71">
        <v>30</v>
      </c>
      <c r="L7" s="71">
        <v>30</v>
      </c>
      <c r="M7" s="71">
        <v>104</v>
      </c>
      <c r="N7" s="71"/>
      <c r="O7" s="71"/>
      <c r="P7" s="71">
        <f t="shared" si="0"/>
        <v>552</v>
      </c>
    </row>
    <row r="8" spans="1:16" ht="15" thickBot="1" x14ac:dyDescent="0.35">
      <c r="A8" s="71" t="s">
        <v>1527</v>
      </c>
      <c r="B8" s="71">
        <v>16</v>
      </c>
      <c r="C8" s="71">
        <v>25</v>
      </c>
      <c r="D8" s="71">
        <v>25</v>
      </c>
      <c r="E8" s="71">
        <v>0</v>
      </c>
      <c r="F8" s="71">
        <v>0</v>
      </c>
      <c r="G8" s="71">
        <v>0</v>
      </c>
      <c r="H8" s="71">
        <v>31</v>
      </c>
      <c r="I8" s="71">
        <v>50</v>
      </c>
      <c r="J8" s="71">
        <v>42</v>
      </c>
      <c r="K8" s="71">
        <v>36</v>
      </c>
      <c r="L8" s="71">
        <v>30</v>
      </c>
      <c r="M8" s="71">
        <v>38</v>
      </c>
      <c r="N8" s="71"/>
      <c r="O8" s="71"/>
      <c r="P8" s="71">
        <f t="shared" si="0"/>
        <v>293</v>
      </c>
    </row>
    <row r="9" spans="1:16" ht="15" thickBot="1" x14ac:dyDescent="0.35">
      <c r="A9" s="71" t="s">
        <v>1528</v>
      </c>
      <c r="B9" s="71">
        <v>713</v>
      </c>
      <c r="C9" s="71">
        <v>702</v>
      </c>
      <c r="D9" s="71">
        <v>678</v>
      </c>
      <c r="E9" s="71">
        <v>1978</v>
      </c>
      <c r="F9" s="71">
        <v>1507</v>
      </c>
      <c r="G9" s="71">
        <v>1357</v>
      </c>
      <c r="H9" s="71">
        <v>1250</v>
      </c>
      <c r="I9" s="71">
        <v>1292</v>
      </c>
      <c r="J9" s="71">
        <v>749</v>
      </c>
      <c r="K9" s="71">
        <v>851</v>
      </c>
      <c r="L9" s="71">
        <v>492</v>
      </c>
      <c r="M9" s="71">
        <v>530</v>
      </c>
      <c r="N9" s="71"/>
      <c r="O9" s="71"/>
      <c r="P9" s="71">
        <f t="shared" si="0"/>
        <v>12099</v>
      </c>
    </row>
    <row r="10" spans="1:16" ht="15" thickBot="1" x14ac:dyDescent="0.35">
      <c r="A10" s="71" t="s">
        <v>1529</v>
      </c>
      <c r="B10" s="71">
        <v>0</v>
      </c>
      <c r="C10" s="71">
        <v>0</v>
      </c>
      <c r="D10" s="71">
        <v>0</v>
      </c>
      <c r="E10" s="71">
        <v>0</v>
      </c>
      <c r="F10" s="71">
        <v>0</v>
      </c>
      <c r="G10" s="71">
        <v>0</v>
      </c>
      <c r="H10" s="71">
        <v>0</v>
      </c>
      <c r="I10" s="71">
        <v>0</v>
      </c>
      <c r="J10" s="71">
        <v>0</v>
      </c>
      <c r="K10" s="71">
        <v>0</v>
      </c>
      <c r="L10" s="71">
        <v>0</v>
      </c>
      <c r="M10" s="71">
        <v>67</v>
      </c>
      <c r="N10" s="71"/>
      <c r="O10" s="71"/>
      <c r="P10" s="71">
        <f t="shared" si="0"/>
        <v>67</v>
      </c>
    </row>
    <row r="11" spans="1:16" ht="15" thickBot="1" x14ac:dyDescent="0.35">
      <c r="A11" s="182" t="s">
        <v>466</v>
      </c>
      <c r="B11" s="182">
        <v>1529</v>
      </c>
      <c r="C11" s="182">
        <v>2081</v>
      </c>
      <c r="D11" s="182">
        <v>2400</v>
      </c>
      <c r="E11" s="182">
        <v>2906</v>
      </c>
      <c r="F11" s="182">
        <v>2869</v>
      </c>
      <c r="G11" s="182">
        <v>2453</v>
      </c>
      <c r="H11" s="182">
        <v>2142</v>
      </c>
      <c r="I11" s="182">
        <v>2063</v>
      </c>
      <c r="J11" s="182">
        <v>1401</v>
      </c>
      <c r="K11" s="182">
        <v>1538</v>
      </c>
      <c r="L11" s="182">
        <v>1409</v>
      </c>
      <c r="M11" s="182">
        <v>1583</v>
      </c>
      <c r="N11" s="182">
        <f>SUM(N5:N10)</f>
        <v>0</v>
      </c>
      <c r="O11" s="182">
        <f>SUM(O5:O10)</f>
        <v>0</v>
      </c>
      <c r="P11" s="102">
        <f t="shared" si="0"/>
        <v>24374</v>
      </c>
    </row>
  </sheetData>
  <pageMargins left="0.7" right="0.7" top="0.75" bottom="0.75" header="0.3" footer="0.3"/>
  <drawing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5B882-D32B-41DD-9D45-1E29DD4D3528}">
  <dimension ref="A1:D23"/>
  <sheetViews>
    <sheetView workbookViewId="0">
      <selection activeCell="A22" sqref="A22"/>
    </sheetView>
  </sheetViews>
  <sheetFormatPr baseColWidth="10" defaultColWidth="11.44140625" defaultRowHeight="14.4" x14ac:dyDescent="0.3"/>
  <cols>
    <col min="1" max="1" width="19.44140625" bestFit="1" customWidth="1"/>
    <col min="2" max="5" width="10.44140625" customWidth="1"/>
    <col min="6" max="6" width="5.44140625" bestFit="1" customWidth="1"/>
    <col min="7" max="15" width="5.44140625" customWidth="1"/>
  </cols>
  <sheetData>
    <row r="1" spans="1:4" x14ac:dyDescent="0.3">
      <c r="A1" t="s">
        <v>355</v>
      </c>
      <c r="B1">
        <v>151</v>
      </c>
    </row>
    <row r="2" spans="1:4" x14ac:dyDescent="0.3">
      <c r="A2" t="s">
        <v>5</v>
      </c>
      <c r="B2" t="s">
        <v>197</v>
      </c>
    </row>
    <row r="3" spans="1:4" ht="15" thickBot="1" x14ac:dyDescent="0.35"/>
    <row r="4" spans="1:4" ht="27" thickBot="1" x14ac:dyDescent="0.35">
      <c r="A4" s="69" t="s">
        <v>1530</v>
      </c>
      <c r="B4" s="69" t="s">
        <v>1531</v>
      </c>
      <c r="C4" s="69" t="s">
        <v>1532</v>
      </c>
      <c r="D4" s="69" t="s">
        <v>1533</v>
      </c>
    </row>
    <row r="5" spans="1:4" ht="15" thickBot="1" x14ac:dyDescent="0.35">
      <c r="A5" s="627" t="s">
        <v>1534</v>
      </c>
      <c r="B5" s="627">
        <v>3</v>
      </c>
      <c r="C5" s="71" t="s">
        <v>1494</v>
      </c>
      <c r="D5" s="71" t="s">
        <v>1525</v>
      </c>
    </row>
    <row r="6" spans="1:4" ht="15" thickBot="1" x14ac:dyDescent="0.35">
      <c r="A6" s="630"/>
      <c r="B6" s="630"/>
      <c r="C6" s="71" t="s">
        <v>1479</v>
      </c>
      <c r="D6" s="71" t="s">
        <v>1535</v>
      </c>
    </row>
    <row r="7" spans="1:4" ht="15" thickBot="1" x14ac:dyDescent="0.35">
      <c r="A7" s="628"/>
      <c r="B7" s="628"/>
      <c r="C7" s="71" t="s">
        <v>1536</v>
      </c>
      <c r="D7" s="71" t="s">
        <v>1527</v>
      </c>
    </row>
    <row r="8" spans="1:4" ht="15" thickBot="1" x14ac:dyDescent="0.35">
      <c r="A8" s="627" t="s">
        <v>1537</v>
      </c>
      <c r="B8" s="627">
        <v>3</v>
      </c>
      <c r="C8" s="71" t="s">
        <v>1494</v>
      </c>
      <c r="D8" s="71" t="s">
        <v>1525</v>
      </c>
    </row>
    <row r="9" spans="1:4" ht="15" thickBot="1" x14ac:dyDescent="0.35">
      <c r="A9" s="630"/>
      <c r="B9" s="630"/>
      <c r="C9" s="71" t="s">
        <v>1479</v>
      </c>
      <c r="D9" s="71" t="s">
        <v>1535</v>
      </c>
    </row>
    <row r="10" spans="1:4" ht="15" thickBot="1" x14ac:dyDescent="0.35">
      <c r="A10" s="628"/>
      <c r="B10" s="628"/>
      <c r="C10" s="71" t="s">
        <v>1536</v>
      </c>
      <c r="D10" s="71" t="s">
        <v>1527</v>
      </c>
    </row>
    <row r="11" spans="1:4" ht="15" thickBot="1" x14ac:dyDescent="0.35">
      <c r="A11" s="627" t="s">
        <v>1538</v>
      </c>
      <c r="B11" s="627">
        <v>3</v>
      </c>
      <c r="C11" s="71" t="s">
        <v>1539</v>
      </c>
      <c r="D11" s="71" t="s">
        <v>1535</v>
      </c>
    </row>
    <row r="12" spans="1:4" ht="15" thickBot="1" x14ac:dyDescent="0.35">
      <c r="A12" s="630"/>
      <c r="B12" s="630"/>
      <c r="C12" s="71" t="s">
        <v>1536</v>
      </c>
      <c r="D12" s="71" t="s">
        <v>1527</v>
      </c>
    </row>
    <row r="13" spans="1:4" ht="15" thickBot="1" x14ac:dyDescent="0.35">
      <c r="A13" s="628"/>
      <c r="B13" s="628"/>
      <c r="C13" s="71" t="s">
        <v>1494</v>
      </c>
      <c r="D13" s="71" t="s">
        <v>1525</v>
      </c>
    </row>
    <row r="14" spans="1:4" ht="15" thickBot="1" x14ac:dyDescent="0.35">
      <c r="A14" s="627" t="s">
        <v>1540</v>
      </c>
      <c r="B14" s="627">
        <v>3</v>
      </c>
      <c r="C14" s="71" t="s">
        <v>1494</v>
      </c>
      <c r="D14" s="71" t="s">
        <v>1525</v>
      </c>
    </row>
    <row r="15" spans="1:4" ht="15" thickBot="1" x14ac:dyDescent="0.35">
      <c r="A15" s="630"/>
      <c r="B15" s="630"/>
      <c r="C15" s="71" t="s">
        <v>1539</v>
      </c>
      <c r="D15" s="71" t="s">
        <v>1535</v>
      </c>
    </row>
    <row r="16" spans="1:4" ht="15" thickBot="1" x14ac:dyDescent="0.35">
      <c r="A16" s="628"/>
      <c r="B16" s="628"/>
      <c r="C16" s="71" t="s">
        <v>1536</v>
      </c>
      <c r="D16" s="71" t="s">
        <v>1527</v>
      </c>
    </row>
    <row r="17" spans="1:4" ht="15" thickBot="1" x14ac:dyDescent="0.35">
      <c r="A17" s="663" t="s">
        <v>1541</v>
      </c>
      <c r="B17" s="663">
        <v>2</v>
      </c>
      <c r="C17" s="348" t="s">
        <v>1539</v>
      </c>
      <c r="D17" s="348" t="s">
        <v>1535</v>
      </c>
    </row>
    <row r="18" spans="1:4" ht="15" thickBot="1" x14ac:dyDescent="0.35">
      <c r="A18" s="664"/>
      <c r="B18" s="664"/>
      <c r="C18" s="348" t="s">
        <v>1536</v>
      </c>
      <c r="D18" s="348" t="s">
        <v>1527</v>
      </c>
    </row>
    <row r="19" spans="1:4" ht="15" thickBot="1" x14ac:dyDescent="0.35">
      <c r="A19" s="663" t="s">
        <v>1542</v>
      </c>
      <c r="B19" s="663">
        <v>2</v>
      </c>
      <c r="C19" s="348" t="s">
        <v>1539</v>
      </c>
      <c r="D19" s="348" t="s">
        <v>1535</v>
      </c>
    </row>
    <row r="20" spans="1:4" ht="15" thickBot="1" x14ac:dyDescent="0.35">
      <c r="A20" s="664"/>
      <c r="B20" s="664"/>
      <c r="C20" s="348" t="s">
        <v>1536</v>
      </c>
      <c r="D20" s="348" t="s">
        <v>1527</v>
      </c>
    </row>
    <row r="21" spans="1:4" ht="15" thickBot="1" x14ac:dyDescent="0.35">
      <c r="A21" s="348" t="s">
        <v>1543</v>
      </c>
      <c r="B21" s="348"/>
      <c r="C21" s="348"/>
      <c r="D21" s="348"/>
    </row>
    <row r="22" spans="1:4" ht="15" thickBot="1" x14ac:dyDescent="0.35">
      <c r="A22" s="348"/>
      <c r="B22" s="348"/>
      <c r="C22" s="348"/>
      <c r="D22" s="348"/>
    </row>
    <row r="23" spans="1:4" ht="15" thickBot="1" x14ac:dyDescent="0.35">
      <c r="A23" s="102" t="s">
        <v>466</v>
      </c>
      <c r="B23" s="102">
        <v>16</v>
      </c>
      <c r="C23" s="71"/>
      <c r="D23" s="71"/>
    </row>
  </sheetData>
  <mergeCells count="12">
    <mergeCell ref="A5:A7"/>
    <mergeCell ref="B5:B7"/>
    <mergeCell ref="A8:A10"/>
    <mergeCell ref="B8:B10"/>
    <mergeCell ref="A11:A13"/>
    <mergeCell ref="B11:B13"/>
    <mergeCell ref="A19:A20"/>
    <mergeCell ref="B19:B20"/>
    <mergeCell ref="A14:A16"/>
    <mergeCell ref="B14:B16"/>
    <mergeCell ref="A17:A18"/>
    <mergeCell ref="B17:B18"/>
  </mergeCells>
  <pageMargins left="0.7" right="0.7" top="0.75" bottom="0.75" header="0.3" footer="0.3"/>
  <drawing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C862E-9EE5-4539-B5FA-B19F7D7312D8}">
  <dimension ref="A1:G12"/>
  <sheetViews>
    <sheetView workbookViewId="0">
      <selection activeCell="B12" sqref="B12:G12"/>
    </sheetView>
  </sheetViews>
  <sheetFormatPr baseColWidth="10" defaultColWidth="11.44140625" defaultRowHeight="14.4" x14ac:dyDescent="0.3"/>
  <cols>
    <col min="1" max="1" width="19.44140625" bestFit="1" customWidth="1"/>
    <col min="2" max="5" width="10.44140625" customWidth="1"/>
    <col min="6" max="6" width="5.44140625" bestFit="1" customWidth="1"/>
    <col min="7" max="15" width="5.44140625" customWidth="1"/>
  </cols>
  <sheetData>
    <row r="1" spans="1:7" x14ac:dyDescent="0.3">
      <c r="A1" t="s">
        <v>355</v>
      </c>
      <c r="B1">
        <v>16</v>
      </c>
    </row>
    <row r="2" spans="1:7" x14ac:dyDescent="0.3">
      <c r="A2" t="s">
        <v>5</v>
      </c>
      <c r="B2" t="s">
        <v>198</v>
      </c>
    </row>
    <row r="4" spans="1:7" ht="16.8" x14ac:dyDescent="0.3">
      <c r="A4" s="66"/>
      <c r="B4" s="66" t="s">
        <v>483</v>
      </c>
      <c r="C4" s="66" t="s">
        <v>1544</v>
      </c>
      <c r="D4" s="66" t="s">
        <v>1545</v>
      </c>
      <c r="E4" s="66" t="s">
        <v>1546</v>
      </c>
      <c r="F4" s="66" t="s">
        <v>1547</v>
      </c>
      <c r="G4" s="66" t="s">
        <v>1548</v>
      </c>
    </row>
    <row r="5" spans="1:7" ht="16.8" x14ac:dyDescent="0.3">
      <c r="A5" s="183">
        <v>2019</v>
      </c>
      <c r="B5" s="183">
        <v>30</v>
      </c>
      <c r="C5" s="183">
        <v>31</v>
      </c>
      <c r="D5" s="183">
        <v>19</v>
      </c>
      <c r="E5" s="183">
        <v>40</v>
      </c>
      <c r="F5" s="183">
        <v>32</v>
      </c>
      <c r="G5" s="183">
        <v>8</v>
      </c>
    </row>
    <row r="6" spans="1:7" ht="16.8" x14ac:dyDescent="0.3">
      <c r="A6" s="183">
        <v>2020</v>
      </c>
      <c r="B6" s="183">
        <v>55</v>
      </c>
      <c r="C6" s="183">
        <v>56</v>
      </c>
      <c r="D6" s="183">
        <v>30</v>
      </c>
      <c r="E6" s="183">
        <v>36</v>
      </c>
      <c r="F6" s="183">
        <v>53</v>
      </c>
      <c r="G6" s="183">
        <v>13</v>
      </c>
    </row>
    <row r="7" spans="1:7" ht="16.8" x14ac:dyDescent="0.3">
      <c r="A7" s="183">
        <v>2021</v>
      </c>
      <c r="B7" s="183">
        <v>70</v>
      </c>
      <c r="C7" s="183">
        <v>65</v>
      </c>
      <c r="D7" s="183">
        <v>26</v>
      </c>
      <c r="E7" s="183">
        <v>34</v>
      </c>
      <c r="F7" s="183">
        <v>78</v>
      </c>
      <c r="G7" s="183">
        <v>22</v>
      </c>
    </row>
    <row r="8" spans="1:7" ht="16.8" x14ac:dyDescent="0.3">
      <c r="A8" s="183">
        <v>2022</v>
      </c>
      <c r="B8" s="183">
        <v>81</v>
      </c>
      <c r="C8" s="183">
        <v>52</v>
      </c>
      <c r="D8" s="183">
        <v>23</v>
      </c>
      <c r="E8" s="183">
        <v>30</v>
      </c>
      <c r="F8" s="183">
        <v>87</v>
      </c>
      <c r="G8" s="183">
        <v>20</v>
      </c>
    </row>
    <row r="9" spans="1:7" ht="16.8" x14ac:dyDescent="0.3">
      <c r="A9" s="183">
        <v>2023</v>
      </c>
      <c r="B9" s="183">
        <v>71</v>
      </c>
      <c r="C9" s="183">
        <v>63</v>
      </c>
      <c r="D9" s="183">
        <v>23</v>
      </c>
      <c r="E9" s="183">
        <v>39</v>
      </c>
      <c r="F9" s="183">
        <v>78</v>
      </c>
      <c r="G9" s="183">
        <v>19</v>
      </c>
    </row>
    <row r="10" spans="1:7" ht="16.8" x14ac:dyDescent="0.4">
      <c r="A10" s="183">
        <v>2024</v>
      </c>
      <c r="B10" s="347">
        <v>52</v>
      </c>
      <c r="C10" s="347">
        <v>57</v>
      </c>
      <c r="D10" s="347">
        <v>64</v>
      </c>
      <c r="E10" s="347">
        <v>91</v>
      </c>
      <c r="F10" s="347">
        <v>76</v>
      </c>
      <c r="G10" s="347">
        <v>18</v>
      </c>
    </row>
    <row r="11" spans="1:7" ht="16.8" x14ac:dyDescent="0.4">
      <c r="A11" s="183">
        <v>2025</v>
      </c>
      <c r="B11" s="553">
        <v>26</v>
      </c>
      <c r="C11" s="553">
        <v>28</v>
      </c>
      <c r="D11" s="553">
        <v>37</v>
      </c>
      <c r="E11" s="553">
        <v>60</v>
      </c>
      <c r="F11" s="553">
        <v>40</v>
      </c>
      <c r="G11" s="553">
        <v>14</v>
      </c>
    </row>
    <row r="12" spans="1:7" ht="16.8" x14ac:dyDescent="0.4">
      <c r="A12" s="183">
        <v>2026</v>
      </c>
      <c r="B12" s="553"/>
      <c r="C12" s="553"/>
      <c r="D12" s="553"/>
      <c r="E12" s="553"/>
      <c r="F12" s="553"/>
      <c r="G12" s="553"/>
    </row>
  </sheetData>
  <pageMargins left="0.7" right="0.7" top="0.75" bottom="0.75" header="0.3" footer="0.3"/>
  <drawing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350E2-B8E0-4A45-9E57-6C3C551A49F2}">
  <dimension ref="A1:P7"/>
  <sheetViews>
    <sheetView workbookViewId="0">
      <selection activeCell="P7" sqref="P7"/>
    </sheetView>
  </sheetViews>
  <sheetFormatPr baseColWidth="10" defaultColWidth="11.44140625" defaultRowHeight="14.4" x14ac:dyDescent="0.3"/>
  <cols>
    <col min="1" max="1" width="19.44140625" bestFit="1" customWidth="1"/>
    <col min="2" max="2" width="10.44140625" customWidth="1"/>
    <col min="3" max="11" width="6.44140625" bestFit="1" customWidth="1"/>
    <col min="12" max="19" width="5.44140625" customWidth="1"/>
  </cols>
  <sheetData>
    <row r="1" spans="1:16" x14ac:dyDescent="0.3">
      <c r="A1" t="s">
        <v>355</v>
      </c>
      <c r="B1">
        <v>152</v>
      </c>
    </row>
    <row r="2" spans="1:16" x14ac:dyDescent="0.3">
      <c r="A2" t="s">
        <v>5</v>
      </c>
      <c r="B2" t="s">
        <v>199</v>
      </c>
    </row>
    <row r="3" spans="1:16" ht="15" thickBot="1" x14ac:dyDescent="0.35"/>
    <row r="4" spans="1:16" ht="27" thickBot="1" x14ac:dyDescent="0.35">
      <c r="A4" s="69" t="s">
        <v>1549</v>
      </c>
      <c r="B4" s="69" t="s">
        <v>422</v>
      </c>
      <c r="C4" s="69" t="s">
        <v>1507</v>
      </c>
      <c r="D4" s="69" t="s">
        <v>1508</v>
      </c>
      <c r="E4" s="69" t="s">
        <v>1509</v>
      </c>
      <c r="F4" s="69" t="s">
        <v>1510</v>
      </c>
      <c r="G4" s="69" t="s">
        <v>1511</v>
      </c>
      <c r="H4" s="69" t="s">
        <v>1512</v>
      </c>
      <c r="I4" s="69" t="s">
        <v>1513</v>
      </c>
      <c r="J4" s="69" t="s">
        <v>1514</v>
      </c>
      <c r="K4" s="69" t="s">
        <v>1515</v>
      </c>
      <c r="L4" s="69" t="s">
        <v>359</v>
      </c>
      <c r="M4" s="69" t="s">
        <v>360</v>
      </c>
      <c r="N4" s="69" t="s">
        <v>361</v>
      </c>
      <c r="O4" s="69" t="s">
        <v>362</v>
      </c>
      <c r="P4" s="69" t="s">
        <v>371</v>
      </c>
    </row>
    <row r="5" spans="1:16" ht="15" thickBot="1" x14ac:dyDescent="0.35">
      <c r="A5" s="71" t="s">
        <v>448</v>
      </c>
      <c r="B5" s="71">
        <v>10</v>
      </c>
      <c r="C5" s="71">
        <v>3</v>
      </c>
      <c r="D5" s="71">
        <v>4</v>
      </c>
      <c r="E5" s="71">
        <v>2</v>
      </c>
      <c r="F5" s="71">
        <v>3</v>
      </c>
      <c r="G5" s="71">
        <v>3</v>
      </c>
      <c r="H5" s="71">
        <v>21</v>
      </c>
      <c r="I5" s="71">
        <v>8</v>
      </c>
      <c r="J5" s="71">
        <v>24</v>
      </c>
      <c r="K5" s="71">
        <v>16</v>
      </c>
      <c r="L5" s="71">
        <v>69</v>
      </c>
      <c r="M5" s="71">
        <v>32</v>
      </c>
      <c r="N5" s="71"/>
      <c r="O5" s="71"/>
      <c r="P5" s="71">
        <f>+SUM(B5:O5)</f>
        <v>195</v>
      </c>
    </row>
    <row r="6" spans="1:16" ht="15" thickBot="1" x14ac:dyDescent="0.35">
      <c r="A6" s="71" t="s">
        <v>1516</v>
      </c>
      <c r="B6" s="71">
        <v>1</v>
      </c>
      <c r="C6" s="71">
        <v>7</v>
      </c>
      <c r="D6" s="71">
        <v>19</v>
      </c>
      <c r="E6" s="71">
        <v>26</v>
      </c>
      <c r="F6" s="71">
        <v>22</v>
      </c>
      <c r="G6" s="71">
        <v>8</v>
      </c>
      <c r="H6" s="71">
        <v>22</v>
      </c>
      <c r="I6" s="71">
        <v>21</v>
      </c>
      <c r="J6" s="71">
        <v>58</v>
      </c>
      <c r="K6" s="71">
        <v>17</v>
      </c>
      <c r="L6" s="71">
        <v>26</v>
      </c>
      <c r="M6" s="71">
        <v>13</v>
      </c>
      <c r="N6" s="71"/>
      <c r="O6" s="71"/>
      <c r="P6" s="71">
        <f>+SUM(B6:O6)</f>
        <v>240</v>
      </c>
    </row>
    <row r="7" spans="1:16" ht="15" thickBot="1" x14ac:dyDescent="0.35">
      <c r="A7" s="102" t="s">
        <v>466</v>
      </c>
      <c r="B7" s="102">
        <v>11</v>
      </c>
      <c r="C7" s="102">
        <v>10</v>
      </c>
      <c r="D7" s="102">
        <v>23</v>
      </c>
      <c r="E7" s="102">
        <v>28</v>
      </c>
      <c r="F7" s="102">
        <v>25</v>
      </c>
      <c r="G7" s="102">
        <v>11</v>
      </c>
      <c r="H7" s="102">
        <v>43</v>
      </c>
      <c r="I7" s="102">
        <v>29</v>
      </c>
      <c r="J7" s="102">
        <v>82</v>
      </c>
      <c r="K7" s="102">
        <v>33</v>
      </c>
      <c r="L7" s="102">
        <v>95</v>
      </c>
      <c r="M7" s="102">
        <v>45</v>
      </c>
      <c r="N7" s="102">
        <f>SUM(N5:N6)</f>
        <v>0</v>
      </c>
      <c r="O7" s="102">
        <f>SUM(O5:O6)</f>
        <v>0</v>
      </c>
      <c r="P7" s="102">
        <f>+SUM(B7:O7)</f>
        <v>435</v>
      </c>
    </row>
  </sheetData>
  <pageMargins left="0.7" right="0.7" top="0.75" bottom="0.75" header="0.3" footer="0.3"/>
  <drawing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A8019-9731-4B62-AE86-E5B9B125AA10}">
  <dimension ref="A1:M6"/>
  <sheetViews>
    <sheetView workbookViewId="0">
      <selection activeCell="M6" sqref="M6"/>
    </sheetView>
  </sheetViews>
  <sheetFormatPr baseColWidth="10" defaultColWidth="11.44140625" defaultRowHeight="14.4" x14ac:dyDescent="0.3"/>
  <cols>
    <col min="1" max="1" width="19.44140625" bestFit="1" customWidth="1"/>
    <col min="2" max="2" width="10.44140625" customWidth="1"/>
    <col min="3" max="8" width="6.44140625" bestFit="1" customWidth="1"/>
    <col min="9" max="12" width="6.44140625" customWidth="1"/>
    <col min="13" max="15" width="6.44140625" bestFit="1" customWidth="1"/>
    <col min="16" max="20" width="5.44140625" customWidth="1"/>
  </cols>
  <sheetData>
    <row r="1" spans="1:13" x14ac:dyDescent="0.3">
      <c r="A1" t="s">
        <v>355</v>
      </c>
      <c r="B1">
        <v>153</v>
      </c>
    </row>
    <row r="2" spans="1:13" x14ac:dyDescent="0.3">
      <c r="A2" t="s">
        <v>5</v>
      </c>
      <c r="B2" t="s">
        <v>200</v>
      </c>
    </row>
    <row r="3" spans="1:13" ht="15" thickBot="1" x14ac:dyDescent="0.35"/>
    <row r="4" spans="1:13" ht="30.6" thickBot="1" x14ac:dyDescent="0.35">
      <c r="A4" s="51" t="s">
        <v>1550</v>
      </c>
      <c r="B4" s="51" t="s">
        <v>1509</v>
      </c>
      <c r="C4" s="51" t="s">
        <v>1510</v>
      </c>
      <c r="D4" s="51" t="s">
        <v>1511</v>
      </c>
      <c r="E4" s="51" t="s">
        <v>1512</v>
      </c>
      <c r="F4" s="51" t="s">
        <v>1513</v>
      </c>
      <c r="G4" s="51" t="s">
        <v>1514</v>
      </c>
      <c r="H4" s="51" t="s">
        <v>1515</v>
      </c>
      <c r="I4" s="51" t="s">
        <v>359</v>
      </c>
      <c r="J4" s="51" t="s">
        <v>360</v>
      </c>
      <c r="K4" s="51" t="s">
        <v>361</v>
      </c>
      <c r="L4" s="51" t="s">
        <v>362</v>
      </c>
      <c r="M4" s="51" t="s">
        <v>371</v>
      </c>
    </row>
    <row r="5" spans="1:13" ht="15.6" thickBot="1" x14ac:dyDescent="0.35">
      <c r="A5" s="48" t="s">
        <v>1551</v>
      </c>
      <c r="B5" s="48">
        <v>7</v>
      </c>
      <c r="C5" s="48">
        <v>13</v>
      </c>
      <c r="D5" s="48">
        <v>6</v>
      </c>
      <c r="E5" s="48">
        <v>8</v>
      </c>
      <c r="F5" s="48">
        <v>10</v>
      </c>
      <c r="G5" s="48">
        <v>10</v>
      </c>
      <c r="H5" s="48">
        <v>11</v>
      </c>
      <c r="I5" s="48">
        <v>7</v>
      </c>
      <c r="J5" s="48">
        <v>13</v>
      </c>
      <c r="K5" s="48"/>
      <c r="L5" s="48"/>
      <c r="M5" s="48">
        <f>+SUM(B5:L5)</f>
        <v>85</v>
      </c>
    </row>
    <row r="6" spans="1:13" ht="15.6" thickBot="1" x14ac:dyDescent="0.35">
      <c r="A6" s="48" t="s">
        <v>1552</v>
      </c>
      <c r="B6" s="48">
        <v>345</v>
      </c>
      <c r="C6" s="48">
        <v>1097</v>
      </c>
      <c r="D6" s="48">
        <v>219</v>
      </c>
      <c r="E6" s="48">
        <v>1017</v>
      </c>
      <c r="F6" s="48">
        <v>1322</v>
      </c>
      <c r="G6" s="48">
        <v>494</v>
      </c>
      <c r="H6" s="48">
        <v>525</v>
      </c>
      <c r="I6" s="48">
        <v>248</v>
      </c>
      <c r="J6" s="48">
        <v>707</v>
      </c>
      <c r="K6" s="48"/>
      <c r="L6" s="48"/>
      <c r="M6" s="48">
        <f>+SUM(B6:L6)</f>
        <v>5974</v>
      </c>
    </row>
  </sheetData>
  <pageMargins left="0.7" right="0.7" top="0.75" bottom="0.75" header="0.3" footer="0.3"/>
  <drawing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0997B-F801-4C2B-A20B-E6BB9492F788}">
  <dimension ref="A1:D24"/>
  <sheetViews>
    <sheetView workbookViewId="0">
      <selection activeCell="A7" sqref="A7"/>
    </sheetView>
  </sheetViews>
  <sheetFormatPr baseColWidth="10" defaultColWidth="28.44140625" defaultRowHeight="14.4" x14ac:dyDescent="0.3"/>
  <cols>
    <col min="1" max="1" width="11.44140625" customWidth="1"/>
    <col min="3" max="3" width="28.44140625" customWidth="1"/>
    <col min="4" max="4" width="37.44140625" customWidth="1"/>
  </cols>
  <sheetData>
    <row r="1" spans="1:4" x14ac:dyDescent="0.3">
      <c r="A1" t="s">
        <v>355</v>
      </c>
      <c r="B1">
        <v>154</v>
      </c>
    </row>
    <row r="2" spans="1:4" x14ac:dyDescent="0.3">
      <c r="A2" t="s">
        <v>5</v>
      </c>
      <c r="B2" t="s">
        <v>201</v>
      </c>
    </row>
    <row r="4" spans="1:4" ht="15" thickBot="1" x14ac:dyDescent="0.35"/>
    <row r="5" spans="1:4" ht="15" thickBot="1" x14ac:dyDescent="0.35">
      <c r="A5" s="69" t="s">
        <v>1553</v>
      </c>
      <c r="B5" s="69" t="s">
        <v>715</v>
      </c>
      <c r="C5" s="69" t="s">
        <v>1554</v>
      </c>
      <c r="D5" s="69" t="s">
        <v>1555</v>
      </c>
    </row>
    <row r="6" spans="1:4" ht="26.4" x14ac:dyDescent="0.3">
      <c r="A6" s="71">
        <v>2019</v>
      </c>
      <c r="B6" s="71" t="s">
        <v>1556</v>
      </c>
      <c r="C6" s="71" t="s">
        <v>1557</v>
      </c>
      <c r="D6" s="71" t="s">
        <v>1558</v>
      </c>
    </row>
    <row r="7" spans="1:4" ht="39.6" x14ac:dyDescent="0.3">
      <c r="A7" s="71">
        <v>2020</v>
      </c>
      <c r="B7" s="71" t="s">
        <v>1559</v>
      </c>
      <c r="C7" s="71" t="s">
        <v>440</v>
      </c>
      <c r="D7" s="71" t="s">
        <v>1560</v>
      </c>
    </row>
    <row r="8" spans="1:4" ht="26.4" x14ac:dyDescent="0.3">
      <c r="A8" s="71">
        <v>2021</v>
      </c>
      <c r="B8" s="71" t="s">
        <v>1561</v>
      </c>
      <c r="C8" s="71" t="s">
        <v>1562</v>
      </c>
      <c r="D8" s="71" t="s">
        <v>1563</v>
      </c>
    </row>
    <row r="9" spans="1:4" ht="52.8" x14ac:dyDescent="0.3">
      <c r="A9" s="71">
        <v>2022</v>
      </c>
      <c r="B9" s="71" t="s">
        <v>1564</v>
      </c>
      <c r="C9" s="71" t="s">
        <v>1565</v>
      </c>
      <c r="D9" s="71" t="s">
        <v>1566</v>
      </c>
    </row>
    <row r="10" spans="1:4" ht="52.8" x14ac:dyDescent="0.3">
      <c r="A10" s="71">
        <v>2023</v>
      </c>
      <c r="B10" s="71" t="s">
        <v>1567</v>
      </c>
      <c r="C10" s="71" t="s">
        <v>1568</v>
      </c>
      <c r="D10" s="71" t="s">
        <v>1569</v>
      </c>
    </row>
    <row r="11" spans="1:4" ht="52.8" x14ac:dyDescent="0.3">
      <c r="A11" s="71">
        <v>2023</v>
      </c>
      <c r="B11" s="71" t="s">
        <v>1570</v>
      </c>
      <c r="C11" s="71" t="s">
        <v>1571</v>
      </c>
      <c r="D11" s="71" t="s">
        <v>1572</v>
      </c>
    </row>
    <row r="12" spans="1:4" ht="39.6" x14ac:dyDescent="0.3">
      <c r="A12" s="71">
        <v>2023</v>
      </c>
      <c r="B12" s="71" t="s">
        <v>1564</v>
      </c>
      <c r="C12" s="71" t="s">
        <v>1573</v>
      </c>
      <c r="D12" s="71" t="s">
        <v>1574</v>
      </c>
    </row>
    <row r="13" spans="1:4" ht="79.2" x14ac:dyDescent="0.3">
      <c r="A13" s="71">
        <v>2023</v>
      </c>
      <c r="B13" s="71" t="s">
        <v>1575</v>
      </c>
      <c r="C13" s="71" t="s">
        <v>1576</v>
      </c>
      <c r="D13" s="71" t="s">
        <v>1577</v>
      </c>
    </row>
    <row r="14" spans="1:4" ht="92.4" x14ac:dyDescent="0.3">
      <c r="A14" s="71">
        <v>2024</v>
      </c>
      <c r="B14" s="71" t="s">
        <v>1578</v>
      </c>
      <c r="C14" s="71" t="s">
        <v>1579</v>
      </c>
      <c r="D14" s="71" t="s">
        <v>1580</v>
      </c>
    </row>
    <row r="15" spans="1:4" ht="105.6" x14ac:dyDescent="0.3">
      <c r="A15" s="71">
        <v>2024</v>
      </c>
      <c r="B15" s="71" t="s">
        <v>1581</v>
      </c>
      <c r="C15" s="71" t="s">
        <v>1582</v>
      </c>
      <c r="D15" s="71" t="s">
        <v>1583</v>
      </c>
    </row>
    <row r="16" spans="1:4" ht="37.5" customHeight="1" x14ac:dyDescent="0.3">
      <c r="A16" s="71">
        <v>2024</v>
      </c>
      <c r="B16" s="431" t="s">
        <v>1578</v>
      </c>
      <c r="C16" s="431" t="s">
        <v>1565</v>
      </c>
      <c r="D16" s="431" t="s">
        <v>1584</v>
      </c>
    </row>
    <row r="17" spans="1:4" ht="52.8" x14ac:dyDescent="0.3">
      <c r="A17" s="71">
        <v>2024</v>
      </c>
      <c r="B17" s="431" t="s">
        <v>1585</v>
      </c>
      <c r="C17" s="431" t="s">
        <v>1586</v>
      </c>
      <c r="D17" s="431" t="s">
        <v>1587</v>
      </c>
    </row>
    <row r="18" spans="1:4" ht="26.4" x14ac:dyDescent="0.3">
      <c r="A18" s="71">
        <v>2024</v>
      </c>
      <c r="B18" s="431" t="s">
        <v>1588</v>
      </c>
      <c r="C18" s="431" t="s">
        <v>1589</v>
      </c>
      <c r="D18" s="431" t="s">
        <v>1590</v>
      </c>
    </row>
    <row r="19" spans="1:4" ht="79.2" x14ac:dyDescent="0.3">
      <c r="A19" s="71">
        <v>2024</v>
      </c>
      <c r="B19" s="431" t="s">
        <v>1591</v>
      </c>
      <c r="C19" s="431" t="s">
        <v>1592</v>
      </c>
      <c r="D19" s="431" t="s">
        <v>1593</v>
      </c>
    </row>
    <row r="20" spans="1:4" ht="111.75" customHeight="1" x14ac:dyDescent="0.3">
      <c r="A20" s="432" t="s">
        <v>360</v>
      </c>
      <c r="B20" s="433" t="s">
        <v>1594</v>
      </c>
      <c r="C20" s="433" t="s">
        <v>1595</v>
      </c>
      <c r="D20" s="434" t="s">
        <v>1596</v>
      </c>
    </row>
    <row r="21" spans="1:4" ht="26.4" x14ac:dyDescent="0.3">
      <c r="A21" s="435" t="s">
        <v>360</v>
      </c>
      <c r="B21" s="436" t="s">
        <v>1597</v>
      </c>
      <c r="C21" s="436" t="s">
        <v>1598</v>
      </c>
      <c r="D21" s="437" t="s">
        <v>1599</v>
      </c>
    </row>
    <row r="22" spans="1:4" ht="66" x14ac:dyDescent="0.3">
      <c r="A22" s="432" t="s">
        <v>360</v>
      </c>
      <c r="B22" s="433" t="s">
        <v>1600</v>
      </c>
      <c r="C22" s="433" t="s">
        <v>1601</v>
      </c>
      <c r="D22" s="434" t="s">
        <v>1602</v>
      </c>
    </row>
    <row r="23" spans="1:4" x14ac:dyDescent="0.3">
      <c r="A23" s="436" t="s">
        <v>361</v>
      </c>
    </row>
    <row r="24" spans="1:4" x14ac:dyDescent="0.3">
      <c r="A24" s="436" t="s">
        <v>362</v>
      </c>
    </row>
  </sheetData>
  <pageMargins left="0.7" right="0.7" top="0.75" bottom="0.75" header="0.3" footer="0.3"/>
  <drawing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8F1E-7904-44D1-9C93-DFFC22A4F615}">
  <dimension ref="A1:P9"/>
  <sheetViews>
    <sheetView workbookViewId="0">
      <selection activeCell="P5" sqref="P5"/>
    </sheetView>
  </sheetViews>
  <sheetFormatPr baseColWidth="10" defaultColWidth="28.44140625" defaultRowHeight="14.4" x14ac:dyDescent="0.3"/>
  <cols>
    <col min="1" max="1" width="11.44140625" customWidth="1"/>
    <col min="2" max="2" width="9.44140625" customWidth="1"/>
    <col min="3" max="11" width="5.44140625" bestFit="1" customWidth="1"/>
    <col min="12" max="16" width="5.44140625" customWidth="1"/>
    <col min="17" max="17" width="8.44140625" customWidth="1"/>
    <col min="18" max="18" width="10.44140625" customWidth="1"/>
  </cols>
  <sheetData>
    <row r="1" spans="1:16" x14ac:dyDescent="0.3">
      <c r="A1" t="s">
        <v>355</v>
      </c>
      <c r="B1">
        <v>156</v>
      </c>
    </row>
    <row r="2" spans="1:16" x14ac:dyDescent="0.3">
      <c r="A2" t="s">
        <v>5</v>
      </c>
      <c r="B2" t="s">
        <v>203</v>
      </c>
    </row>
    <row r="4" spans="1:16" ht="15" thickBot="1" x14ac:dyDescent="0.35"/>
    <row r="5" spans="1:16" ht="27.6" thickTop="1" thickBot="1" x14ac:dyDescent="0.35">
      <c r="A5" s="184" t="s">
        <v>1603</v>
      </c>
      <c r="B5" s="184" t="s">
        <v>422</v>
      </c>
      <c r="C5" s="184" t="s">
        <v>423</v>
      </c>
      <c r="D5" s="184" t="s">
        <v>424</v>
      </c>
      <c r="E5" s="184" t="s">
        <v>425</v>
      </c>
      <c r="F5" s="184" t="s">
        <v>426</v>
      </c>
      <c r="G5" s="184" t="s">
        <v>427</v>
      </c>
      <c r="H5" s="184" t="s">
        <v>428</v>
      </c>
      <c r="I5" s="184" t="s">
        <v>429</v>
      </c>
      <c r="J5" s="184" t="s">
        <v>430</v>
      </c>
      <c r="K5" s="184" t="s">
        <v>358</v>
      </c>
      <c r="L5" s="184" t="s">
        <v>359</v>
      </c>
      <c r="M5" s="184" t="s">
        <v>360</v>
      </c>
      <c r="N5" s="184" t="s">
        <v>361</v>
      </c>
      <c r="O5" s="184" t="s">
        <v>362</v>
      </c>
      <c r="P5" s="184" t="s">
        <v>371</v>
      </c>
    </row>
    <row r="6" spans="1:16" ht="26.4" x14ac:dyDescent="0.3">
      <c r="A6" s="142" t="s">
        <v>1604</v>
      </c>
      <c r="B6" s="92">
        <v>243</v>
      </c>
      <c r="C6" s="92">
        <v>94</v>
      </c>
      <c r="D6" s="92">
        <v>1438</v>
      </c>
      <c r="E6" s="92">
        <v>323</v>
      </c>
      <c r="F6" s="92">
        <v>644</v>
      </c>
      <c r="G6" s="92">
        <v>1118</v>
      </c>
      <c r="H6" s="92">
        <v>533</v>
      </c>
      <c r="I6" s="92">
        <v>661</v>
      </c>
      <c r="J6" s="92">
        <v>1302</v>
      </c>
      <c r="K6" s="92">
        <v>1139</v>
      </c>
      <c r="L6" s="92">
        <v>1138</v>
      </c>
      <c r="M6" s="92">
        <v>1220</v>
      </c>
      <c r="N6" s="92"/>
      <c r="O6" s="92"/>
      <c r="P6" s="92">
        <f>+SUM(B6:O6)</f>
        <v>9853</v>
      </c>
    </row>
    <row r="7" spans="1:16" ht="26.4" x14ac:dyDescent="0.3">
      <c r="A7" s="142" t="s">
        <v>1605</v>
      </c>
      <c r="B7" s="92">
        <v>53</v>
      </c>
      <c r="C7" s="92">
        <v>33</v>
      </c>
      <c r="D7" s="92">
        <v>196</v>
      </c>
      <c r="E7" s="92">
        <v>181</v>
      </c>
      <c r="F7" s="92">
        <v>108</v>
      </c>
      <c r="G7" s="92">
        <v>175</v>
      </c>
      <c r="H7" s="92">
        <v>78</v>
      </c>
      <c r="I7" s="92">
        <v>55</v>
      </c>
      <c r="J7" s="92">
        <v>189</v>
      </c>
      <c r="K7" s="92">
        <v>82</v>
      </c>
      <c r="L7" s="92">
        <v>153</v>
      </c>
      <c r="M7" s="92">
        <v>131</v>
      </c>
      <c r="N7" s="92"/>
      <c r="O7" s="92"/>
      <c r="P7" s="92">
        <f t="shared" ref="P7:P9" si="0">+SUM(B7:O7)</f>
        <v>1434</v>
      </c>
    </row>
    <row r="8" spans="1:16" ht="26.4" x14ac:dyDescent="0.3">
      <c r="A8" s="142" t="s">
        <v>1606</v>
      </c>
      <c r="B8" s="92">
        <v>85</v>
      </c>
      <c r="C8" s="92">
        <v>26</v>
      </c>
      <c r="D8" s="92">
        <v>6</v>
      </c>
      <c r="E8" s="92">
        <v>585</v>
      </c>
      <c r="F8" s="92">
        <v>313</v>
      </c>
      <c r="G8" s="92">
        <v>456</v>
      </c>
      <c r="H8" s="92">
        <v>599</v>
      </c>
      <c r="I8" s="92">
        <v>406</v>
      </c>
      <c r="J8" s="92">
        <v>955</v>
      </c>
      <c r="K8" s="92">
        <v>876</v>
      </c>
      <c r="L8" s="92">
        <v>592</v>
      </c>
      <c r="M8" s="92">
        <v>902</v>
      </c>
      <c r="N8" s="92"/>
      <c r="O8" s="92"/>
      <c r="P8" s="92">
        <f t="shared" si="0"/>
        <v>5801</v>
      </c>
    </row>
    <row r="9" spans="1:16" ht="27" thickBot="1" x14ac:dyDescent="0.35">
      <c r="A9" s="102" t="s">
        <v>1607</v>
      </c>
      <c r="B9" s="71">
        <v>38</v>
      </c>
      <c r="C9" s="71">
        <v>24</v>
      </c>
      <c r="D9" s="71">
        <v>106</v>
      </c>
      <c r="E9" s="71">
        <v>213</v>
      </c>
      <c r="F9" s="71">
        <v>191</v>
      </c>
      <c r="G9" s="71">
        <v>188</v>
      </c>
      <c r="H9" s="71">
        <v>349</v>
      </c>
      <c r="I9" s="71">
        <v>63</v>
      </c>
      <c r="J9" s="71">
        <v>200</v>
      </c>
      <c r="K9" s="71">
        <v>52</v>
      </c>
      <c r="L9" s="71">
        <v>134</v>
      </c>
      <c r="M9" s="71">
        <v>148</v>
      </c>
      <c r="N9" s="71"/>
      <c r="O9" s="71"/>
      <c r="P9" s="92">
        <f t="shared" si="0"/>
        <v>1706</v>
      </c>
    </row>
  </sheetData>
  <pageMargins left="0.7" right="0.7" top="0.75" bottom="0.75" header="0.3" footer="0.3"/>
  <drawing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CB6C6-77CB-482B-B266-9487998E7117}">
  <dimension ref="A1:Q36"/>
  <sheetViews>
    <sheetView workbookViewId="0">
      <selection activeCell="A7" sqref="A7"/>
    </sheetView>
  </sheetViews>
  <sheetFormatPr baseColWidth="10" defaultColWidth="28.44140625" defaultRowHeight="14.4" x14ac:dyDescent="0.3"/>
  <cols>
    <col min="1" max="1" width="16.44140625" customWidth="1"/>
    <col min="2" max="2" width="9.44140625" customWidth="1"/>
    <col min="3" max="3" width="10.44140625" customWidth="1"/>
    <col min="4" max="4" width="5.44140625" bestFit="1" customWidth="1"/>
    <col min="5" max="5" width="17.44140625" customWidth="1"/>
    <col min="6" max="6" width="8.44140625" customWidth="1"/>
    <col min="7" max="7" width="10.44140625" customWidth="1"/>
    <col min="8" max="10" width="5.44140625" bestFit="1" customWidth="1"/>
    <col min="11" max="11" width="12.44140625" customWidth="1"/>
    <col min="12" max="12" width="11.88671875" customWidth="1"/>
    <col min="13" max="13" width="8.109375" customWidth="1"/>
    <col min="14" max="14" width="8.44140625" customWidth="1"/>
    <col min="15" max="15" width="13.6640625" customWidth="1"/>
    <col min="16" max="16" width="8" customWidth="1"/>
  </cols>
  <sheetData>
    <row r="1" spans="1:17" x14ac:dyDescent="0.3">
      <c r="A1" t="s">
        <v>355</v>
      </c>
      <c r="B1">
        <v>157</v>
      </c>
      <c r="K1" t="s">
        <v>355</v>
      </c>
      <c r="L1">
        <v>157</v>
      </c>
    </row>
    <row r="2" spans="1:17" x14ac:dyDescent="0.3">
      <c r="A2" t="s">
        <v>5</v>
      </c>
      <c r="B2" t="s">
        <v>1608</v>
      </c>
      <c r="K2" t="s">
        <v>5</v>
      </c>
      <c r="L2" t="s">
        <v>1609</v>
      </c>
    </row>
    <row r="5" spans="1:17" ht="15" thickBot="1" x14ac:dyDescent="0.35"/>
    <row r="6" spans="1:17" ht="27.6" thickTop="1" thickBot="1" x14ac:dyDescent="0.35">
      <c r="A6" s="184" t="s">
        <v>1473</v>
      </c>
      <c r="B6" s="184" t="s">
        <v>1610</v>
      </c>
      <c r="C6" s="184" t="s">
        <v>1611</v>
      </c>
      <c r="D6" s="181"/>
      <c r="E6" s="184" t="s">
        <v>1473</v>
      </c>
      <c r="F6" s="184" t="s">
        <v>1610</v>
      </c>
      <c r="G6" s="184" t="s">
        <v>1611</v>
      </c>
      <c r="K6" s="184" t="s">
        <v>1473</v>
      </c>
      <c r="L6" s="184" t="s">
        <v>1610</v>
      </c>
      <c r="M6" s="184" t="s">
        <v>1611</v>
      </c>
      <c r="N6" s="181"/>
      <c r="O6" s="184" t="s">
        <v>1473</v>
      </c>
      <c r="P6" s="184" t="s">
        <v>1610</v>
      </c>
      <c r="Q6" s="184" t="s">
        <v>1611</v>
      </c>
    </row>
    <row r="7" spans="1:17" x14ac:dyDescent="0.3">
      <c r="A7" s="92" t="s">
        <v>1612</v>
      </c>
      <c r="B7" s="92">
        <v>2</v>
      </c>
      <c r="C7" s="92">
        <v>0</v>
      </c>
      <c r="D7" s="92"/>
      <c r="E7" s="92" t="s">
        <v>1613</v>
      </c>
      <c r="F7" s="92">
        <v>0</v>
      </c>
      <c r="G7" s="92">
        <v>1</v>
      </c>
      <c r="K7" s="92" t="s">
        <v>1612</v>
      </c>
      <c r="L7" s="92"/>
      <c r="M7" s="92"/>
      <c r="N7" s="92"/>
      <c r="O7" s="92" t="s">
        <v>1613</v>
      </c>
      <c r="P7" s="92"/>
      <c r="Q7" s="92"/>
    </row>
    <row r="8" spans="1:17" x14ac:dyDescent="0.3">
      <c r="A8" s="92" t="s">
        <v>777</v>
      </c>
      <c r="B8" s="92">
        <v>7</v>
      </c>
      <c r="C8" s="92">
        <v>6</v>
      </c>
      <c r="D8" s="92"/>
      <c r="E8" s="92" t="s">
        <v>1614</v>
      </c>
      <c r="F8" s="92">
        <v>0</v>
      </c>
      <c r="G8" s="92">
        <v>1</v>
      </c>
      <c r="K8" s="92" t="s">
        <v>777</v>
      </c>
      <c r="L8" s="92"/>
      <c r="M8" s="92"/>
      <c r="N8" s="92"/>
      <c r="O8" s="92" t="s">
        <v>1614</v>
      </c>
      <c r="P8" s="92"/>
      <c r="Q8" s="92"/>
    </row>
    <row r="9" spans="1:17" x14ac:dyDescent="0.3">
      <c r="A9" s="92" t="s">
        <v>1476</v>
      </c>
      <c r="B9" s="92">
        <v>303</v>
      </c>
      <c r="C9" s="92">
        <v>195</v>
      </c>
      <c r="D9" s="92"/>
      <c r="E9" s="92" t="s">
        <v>1481</v>
      </c>
      <c r="F9" s="92">
        <v>0</v>
      </c>
      <c r="G9" s="92">
        <v>3</v>
      </c>
      <c r="K9" s="92" t="s">
        <v>1476</v>
      </c>
      <c r="L9" s="92"/>
      <c r="M9" s="92"/>
      <c r="N9" s="92"/>
      <c r="O9" s="92" t="s">
        <v>1481</v>
      </c>
      <c r="P9" s="92"/>
      <c r="Q9" s="92"/>
    </row>
    <row r="10" spans="1:17" x14ac:dyDescent="0.3">
      <c r="A10" s="92" t="s">
        <v>1615</v>
      </c>
      <c r="B10" s="92">
        <v>144</v>
      </c>
      <c r="C10" s="92">
        <v>0</v>
      </c>
      <c r="D10" s="92"/>
      <c r="E10" s="92" t="s">
        <v>1616</v>
      </c>
      <c r="F10" s="92">
        <v>1</v>
      </c>
      <c r="G10" s="92">
        <v>0</v>
      </c>
      <c r="K10" s="92" t="s">
        <v>1615</v>
      </c>
      <c r="L10" s="92"/>
      <c r="M10" s="92"/>
      <c r="N10" s="92"/>
      <c r="O10" s="92" t="s">
        <v>1616</v>
      </c>
      <c r="P10" s="92"/>
      <c r="Q10" s="92"/>
    </row>
    <row r="11" spans="1:17" x14ac:dyDescent="0.3">
      <c r="A11" s="92" t="s">
        <v>1478</v>
      </c>
      <c r="B11" s="92">
        <v>0</v>
      </c>
      <c r="C11" s="92">
        <v>3</v>
      </c>
      <c r="D11" s="92"/>
      <c r="E11" s="92" t="s">
        <v>1617</v>
      </c>
      <c r="F11" s="92">
        <v>12</v>
      </c>
      <c r="G11" s="92">
        <v>0</v>
      </c>
      <c r="K11" s="92" t="s">
        <v>1478</v>
      </c>
      <c r="L11" s="92"/>
      <c r="M11" s="92"/>
      <c r="N11" s="92"/>
      <c r="O11" s="92" t="s">
        <v>1617</v>
      </c>
      <c r="P11" s="92"/>
      <c r="Q11" s="92"/>
    </row>
    <row r="12" spans="1:17" x14ac:dyDescent="0.3">
      <c r="A12" s="92" t="s">
        <v>1618</v>
      </c>
      <c r="B12" s="92">
        <v>1</v>
      </c>
      <c r="C12" s="92">
        <v>0</v>
      </c>
      <c r="D12" s="92"/>
      <c r="E12" s="92" t="s">
        <v>1619</v>
      </c>
      <c r="F12" s="92">
        <v>5259</v>
      </c>
      <c r="G12" s="92">
        <v>3535</v>
      </c>
      <c r="K12" s="92" t="s">
        <v>1618</v>
      </c>
      <c r="L12" s="92"/>
      <c r="M12" s="92"/>
      <c r="N12" s="92"/>
      <c r="O12" s="92" t="s">
        <v>1619</v>
      </c>
      <c r="P12" s="92"/>
      <c r="Q12" s="92"/>
    </row>
    <row r="13" spans="1:17" x14ac:dyDescent="0.3">
      <c r="A13" s="92" t="s">
        <v>1620</v>
      </c>
      <c r="B13" s="92">
        <v>1</v>
      </c>
      <c r="C13" s="92">
        <v>2</v>
      </c>
      <c r="D13" s="92"/>
      <c r="E13" s="92" t="s">
        <v>1621</v>
      </c>
      <c r="F13" s="92">
        <v>0</v>
      </c>
      <c r="G13" s="92">
        <v>1</v>
      </c>
      <c r="K13" s="92" t="s">
        <v>1620</v>
      </c>
      <c r="L13" s="92"/>
      <c r="M13" s="92"/>
      <c r="N13" s="92"/>
      <c r="O13" s="92" t="s">
        <v>1621</v>
      </c>
      <c r="P13" s="92"/>
      <c r="Q13" s="92"/>
    </row>
    <row r="14" spans="1:17" x14ac:dyDescent="0.3">
      <c r="A14" s="92" t="s">
        <v>1622</v>
      </c>
      <c r="B14" s="92">
        <v>4</v>
      </c>
      <c r="C14" s="92">
        <v>9</v>
      </c>
      <c r="D14" s="92"/>
      <c r="E14" s="92" t="s">
        <v>1623</v>
      </c>
      <c r="F14" s="92">
        <v>0</v>
      </c>
      <c r="G14" s="92">
        <v>1</v>
      </c>
      <c r="K14" s="92" t="s">
        <v>1622</v>
      </c>
      <c r="L14" s="92"/>
      <c r="M14" s="92"/>
      <c r="N14" s="92"/>
      <c r="O14" s="92" t="s">
        <v>1623</v>
      </c>
      <c r="P14" s="92"/>
      <c r="Q14" s="92"/>
    </row>
    <row r="15" spans="1:17" x14ac:dyDescent="0.3">
      <c r="A15" s="92" t="s">
        <v>1480</v>
      </c>
      <c r="B15" s="92">
        <v>47</v>
      </c>
      <c r="C15" s="92">
        <v>42</v>
      </c>
      <c r="D15" s="92"/>
      <c r="E15" s="92" t="s">
        <v>1624</v>
      </c>
      <c r="F15" s="92">
        <v>0</v>
      </c>
      <c r="G15" s="92">
        <v>11</v>
      </c>
      <c r="K15" s="92" t="s">
        <v>1480</v>
      </c>
      <c r="L15" s="92"/>
      <c r="M15" s="92"/>
      <c r="N15" s="92"/>
      <c r="O15" s="92" t="s">
        <v>1624</v>
      </c>
      <c r="P15" s="92"/>
      <c r="Q15" s="92"/>
    </row>
    <row r="16" spans="1:17" x14ac:dyDescent="0.3">
      <c r="A16" s="92" t="s">
        <v>1625</v>
      </c>
      <c r="B16" s="92">
        <v>1</v>
      </c>
      <c r="C16" s="92">
        <v>0</v>
      </c>
      <c r="D16" s="92"/>
      <c r="E16" s="92" t="s">
        <v>1626</v>
      </c>
      <c r="F16" s="92">
        <v>0</v>
      </c>
      <c r="G16" s="92">
        <v>1</v>
      </c>
      <c r="K16" s="92" t="s">
        <v>1625</v>
      </c>
      <c r="L16" s="92"/>
      <c r="M16" s="92"/>
      <c r="N16" s="92"/>
      <c r="O16" s="92" t="s">
        <v>1626</v>
      </c>
      <c r="P16" s="92"/>
      <c r="Q16" s="92"/>
    </row>
    <row r="17" spans="1:17" x14ac:dyDescent="0.3">
      <c r="A17" s="92" t="s">
        <v>1627</v>
      </c>
      <c r="B17" s="92">
        <v>245</v>
      </c>
      <c r="C17" s="92">
        <v>6</v>
      </c>
      <c r="D17" s="92"/>
      <c r="E17" s="92" t="s">
        <v>1628</v>
      </c>
      <c r="F17" s="92">
        <v>5</v>
      </c>
      <c r="G17" s="92">
        <v>8</v>
      </c>
      <c r="K17" s="92" t="s">
        <v>1627</v>
      </c>
      <c r="L17" s="92"/>
      <c r="M17" s="92"/>
      <c r="N17" s="92"/>
      <c r="O17" s="92" t="s">
        <v>1628</v>
      </c>
      <c r="P17" s="92"/>
      <c r="Q17" s="92"/>
    </row>
    <row r="18" spans="1:17" x14ac:dyDescent="0.3">
      <c r="A18" s="92" t="s">
        <v>1629</v>
      </c>
      <c r="B18" s="92">
        <v>234</v>
      </c>
      <c r="C18" s="92">
        <v>141</v>
      </c>
      <c r="D18" s="92"/>
      <c r="E18" s="92" t="s">
        <v>1484</v>
      </c>
      <c r="F18" s="92">
        <v>137</v>
      </c>
      <c r="G18" s="92">
        <v>82</v>
      </c>
      <c r="K18" s="92" t="s">
        <v>1629</v>
      </c>
      <c r="L18" s="92"/>
      <c r="M18" s="92"/>
      <c r="N18" s="92"/>
      <c r="O18" s="92" t="s">
        <v>1484</v>
      </c>
      <c r="P18" s="92"/>
      <c r="Q18" s="92"/>
    </row>
    <row r="19" spans="1:17" x14ac:dyDescent="0.3">
      <c r="A19" s="92" t="s">
        <v>1536</v>
      </c>
      <c r="B19" s="92">
        <v>3</v>
      </c>
      <c r="C19" s="92">
        <v>10</v>
      </c>
      <c r="D19" s="92"/>
      <c r="E19" s="92" t="s">
        <v>1485</v>
      </c>
      <c r="F19" s="92">
        <v>314</v>
      </c>
      <c r="G19" s="92">
        <v>718</v>
      </c>
      <c r="K19" s="92" t="s">
        <v>1536</v>
      </c>
      <c r="L19" s="92"/>
      <c r="M19" s="92"/>
      <c r="N19" s="92"/>
      <c r="O19" s="92" t="s">
        <v>1485</v>
      </c>
      <c r="P19" s="92"/>
      <c r="Q19" s="92"/>
    </row>
    <row r="20" spans="1:17" x14ac:dyDescent="0.3">
      <c r="A20" s="92" t="s">
        <v>1630</v>
      </c>
      <c r="B20" s="92">
        <v>845</v>
      </c>
      <c r="C20" s="92">
        <v>1390</v>
      </c>
      <c r="D20" s="92"/>
      <c r="E20" s="92" t="s">
        <v>774</v>
      </c>
      <c r="F20" s="92">
        <v>290</v>
      </c>
      <c r="G20" s="92">
        <v>237</v>
      </c>
      <c r="K20" s="92" t="s">
        <v>1630</v>
      </c>
      <c r="L20" s="92"/>
      <c r="M20" s="92"/>
      <c r="N20" s="92"/>
      <c r="O20" s="92" t="s">
        <v>774</v>
      </c>
      <c r="P20" s="92"/>
      <c r="Q20" s="92"/>
    </row>
    <row r="21" spans="1:17" x14ac:dyDescent="0.3">
      <c r="A21" s="92" t="s">
        <v>775</v>
      </c>
      <c r="B21" s="92">
        <v>42</v>
      </c>
      <c r="C21" s="92">
        <v>70</v>
      </c>
      <c r="D21" s="92"/>
      <c r="E21" s="92" t="s">
        <v>1631</v>
      </c>
      <c r="F21" s="92">
        <v>1</v>
      </c>
      <c r="G21" s="92">
        <v>2</v>
      </c>
      <c r="K21" s="92" t="s">
        <v>775</v>
      </c>
      <c r="L21" s="92"/>
      <c r="M21" s="92"/>
      <c r="N21" s="92"/>
      <c r="O21" s="92" t="s">
        <v>1631</v>
      </c>
      <c r="P21" s="92"/>
      <c r="Q21" s="92"/>
    </row>
    <row r="22" spans="1:17" x14ac:dyDescent="0.3">
      <c r="A22" s="92" t="s">
        <v>1632</v>
      </c>
      <c r="B22" s="92">
        <v>4</v>
      </c>
      <c r="C22" s="92">
        <v>10</v>
      </c>
      <c r="D22" s="92"/>
      <c r="E22" s="92" t="s">
        <v>1633</v>
      </c>
      <c r="F22" s="92">
        <v>120</v>
      </c>
      <c r="G22" s="92">
        <v>1</v>
      </c>
      <c r="K22" s="92" t="s">
        <v>1632</v>
      </c>
      <c r="L22" s="92"/>
      <c r="M22" s="92"/>
      <c r="N22" s="92"/>
      <c r="O22" s="92" t="s">
        <v>1633</v>
      </c>
      <c r="P22" s="92"/>
      <c r="Q22" s="92"/>
    </row>
    <row r="23" spans="1:17" x14ac:dyDescent="0.3">
      <c r="A23" s="92" t="s">
        <v>773</v>
      </c>
      <c r="B23" s="92">
        <v>280</v>
      </c>
      <c r="C23" s="92">
        <v>536</v>
      </c>
      <c r="D23" s="92"/>
      <c r="E23" s="92" t="s">
        <v>1487</v>
      </c>
      <c r="F23" s="92">
        <v>0</v>
      </c>
      <c r="G23" s="92">
        <v>8</v>
      </c>
      <c r="K23" s="92" t="s">
        <v>773</v>
      </c>
      <c r="L23" s="92"/>
      <c r="M23" s="92"/>
      <c r="N23" s="92"/>
      <c r="O23" s="92" t="s">
        <v>1487</v>
      </c>
      <c r="P23" s="92"/>
      <c r="Q23" s="92"/>
    </row>
    <row r="24" spans="1:17" x14ac:dyDescent="0.3">
      <c r="A24" s="92" t="s">
        <v>1634</v>
      </c>
      <c r="B24" s="92">
        <v>2</v>
      </c>
      <c r="C24" s="92">
        <v>0</v>
      </c>
      <c r="D24" s="92"/>
      <c r="E24" s="92" t="s">
        <v>1539</v>
      </c>
      <c r="F24" s="92">
        <v>11</v>
      </c>
      <c r="G24" s="92">
        <v>8</v>
      </c>
      <c r="K24" s="92" t="s">
        <v>1634</v>
      </c>
      <c r="L24" s="92"/>
      <c r="M24" s="92"/>
      <c r="N24" s="92"/>
      <c r="O24" s="92" t="s">
        <v>1539</v>
      </c>
      <c r="P24" s="92"/>
      <c r="Q24" s="92"/>
    </row>
    <row r="25" spans="1:17" x14ac:dyDescent="0.3">
      <c r="A25" s="92" t="s">
        <v>1635</v>
      </c>
      <c r="B25" s="92">
        <v>2</v>
      </c>
      <c r="C25" s="92">
        <v>0</v>
      </c>
      <c r="D25" s="92"/>
      <c r="E25" s="92" t="s">
        <v>1636</v>
      </c>
      <c r="F25" s="92">
        <v>1</v>
      </c>
      <c r="G25" s="92">
        <v>0</v>
      </c>
      <c r="K25" s="92" t="s">
        <v>1635</v>
      </c>
      <c r="L25" s="92"/>
      <c r="M25" s="92"/>
      <c r="N25" s="92"/>
      <c r="O25" s="92" t="s">
        <v>1636</v>
      </c>
      <c r="P25" s="92"/>
      <c r="Q25" s="92"/>
    </row>
    <row r="26" spans="1:17" ht="26.4" x14ac:dyDescent="0.3">
      <c r="A26" s="92" t="s">
        <v>1490</v>
      </c>
      <c r="B26" s="92">
        <v>1000</v>
      </c>
      <c r="C26" s="92">
        <v>109</v>
      </c>
      <c r="D26" s="92"/>
      <c r="E26" s="92" t="s">
        <v>1489</v>
      </c>
      <c r="F26" s="92">
        <v>6</v>
      </c>
      <c r="G26" s="92">
        <v>10</v>
      </c>
      <c r="K26" s="92" t="s">
        <v>1490</v>
      </c>
      <c r="L26" s="92"/>
      <c r="M26" s="92"/>
      <c r="N26" s="92"/>
      <c r="O26" s="92" t="s">
        <v>1489</v>
      </c>
      <c r="P26" s="92"/>
      <c r="Q26" s="92"/>
    </row>
    <row r="27" spans="1:17" ht="26.4" x14ac:dyDescent="0.3">
      <c r="A27" s="92" t="s">
        <v>1637</v>
      </c>
      <c r="B27" s="92">
        <v>1124</v>
      </c>
      <c r="C27" s="92">
        <v>68</v>
      </c>
      <c r="D27" s="92"/>
      <c r="E27" s="92" t="s">
        <v>1491</v>
      </c>
      <c r="F27" s="92">
        <v>0</v>
      </c>
      <c r="G27" s="92">
        <v>1</v>
      </c>
      <c r="K27" s="92" t="s">
        <v>1637</v>
      </c>
      <c r="L27" s="92"/>
      <c r="M27" s="92"/>
      <c r="N27" s="92"/>
      <c r="O27" s="92" t="s">
        <v>1491</v>
      </c>
      <c r="P27" s="92"/>
      <c r="Q27" s="92"/>
    </row>
    <row r="28" spans="1:17" x14ac:dyDescent="0.3">
      <c r="A28" s="92" t="s">
        <v>1638</v>
      </c>
      <c r="B28" s="92">
        <v>1</v>
      </c>
      <c r="C28" s="92">
        <v>0</v>
      </c>
      <c r="D28" s="92"/>
      <c r="E28" s="92" t="s">
        <v>1639</v>
      </c>
      <c r="F28" s="92">
        <v>56</v>
      </c>
      <c r="G28" s="92">
        <v>1</v>
      </c>
      <c r="K28" s="92" t="s">
        <v>1638</v>
      </c>
      <c r="L28" s="92"/>
      <c r="M28" s="92"/>
      <c r="N28" s="92"/>
      <c r="O28" s="92" t="s">
        <v>1639</v>
      </c>
      <c r="P28" s="92"/>
      <c r="Q28" s="92"/>
    </row>
    <row r="29" spans="1:17" x14ac:dyDescent="0.3">
      <c r="A29" s="92" t="s">
        <v>1494</v>
      </c>
      <c r="B29" s="92">
        <v>502</v>
      </c>
      <c r="C29" s="92">
        <v>23</v>
      </c>
      <c r="D29" s="92"/>
      <c r="E29" s="92" t="s">
        <v>1640</v>
      </c>
      <c r="F29" s="92">
        <v>2</v>
      </c>
      <c r="G29" s="92">
        <v>0</v>
      </c>
      <c r="K29" s="92" t="s">
        <v>1494</v>
      </c>
      <c r="L29" s="92"/>
      <c r="M29" s="92"/>
      <c r="N29" s="92"/>
      <c r="O29" s="92" t="s">
        <v>1640</v>
      </c>
      <c r="P29" s="92"/>
      <c r="Q29" s="92"/>
    </row>
    <row r="30" spans="1:17" x14ac:dyDescent="0.3">
      <c r="A30" s="92" t="s">
        <v>1641</v>
      </c>
      <c r="B30" s="92">
        <v>4</v>
      </c>
      <c r="C30" s="92">
        <v>0</v>
      </c>
      <c r="D30" s="92"/>
      <c r="E30" s="92" t="s">
        <v>1495</v>
      </c>
      <c r="F30" s="92">
        <v>13</v>
      </c>
      <c r="G30" s="92">
        <v>0</v>
      </c>
      <c r="K30" s="92" t="s">
        <v>1641</v>
      </c>
      <c r="L30" s="92"/>
      <c r="M30" s="92"/>
      <c r="N30" s="92"/>
      <c r="O30" s="92" t="s">
        <v>1495</v>
      </c>
      <c r="P30" s="92"/>
      <c r="Q30" s="92"/>
    </row>
    <row r="31" spans="1:17" x14ac:dyDescent="0.3">
      <c r="A31" s="92" t="s">
        <v>1642</v>
      </c>
      <c r="B31" s="92">
        <v>16</v>
      </c>
      <c r="C31" s="92">
        <v>71</v>
      </c>
      <c r="D31" s="92"/>
      <c r="E31" s="92" t="s">
        <v>1643</v>
      </c>
      <c r="F31" s="92">
        <v>6</v>
      </c>
      <c r="G31" s="92">
        <v>0</v>
      </c>
      <c r="K31" s="92" t="s">
        <v>1642</v>
      </c>
      <c r="L31" s="92"/>
      <c r="M31" s="92"/>
      <c r="N31" s="92"/>
      <c r="O31" s="92" t="s">
        <v>1643</v>
      </c>
      <c r="P31" s="92"/>
      <c r="Q31" s="92"/>
    </row>
    <row r="32" spans="1:17" x14ac:dyDescent="0.3">
      <c r="A32" s="92" t="s">
        <v>1644</v>
      </c>
      <c r="B32" s="92">
        <v>0</v>
      </c>
      <c r="C32" s="92">
        <v>1</v>
      </c>
      <c r="D32" s="92"/>
      <c r="E32" s="92" t="s">
        <v>1645</v>
      </c>
      <c r="F32" s="92">
        <v>1</v>
      </c>
      <c r="G32" s="92">
        <v>0</v>
      </c>
      <c r="K32" s="92" t="s">
        <v>1644</v>
      </c>
      <c r="L32" s="92"/>
      <c r="M32" s="92"/>
      <c r="N32" s="92"/>
      <c r="O32" s="92" t="s">
        <v>1645</v>
      </c>
      <c r="P32" s="92"/>
      <c r="Q32" s="92"/>
    </row>
    <row r="33" spans="1:17" x14ac:dyDescent="0.3">
      <c r="A33" s="92" t="s">
        <v>1498</v>
      </c>
      <c r="B33" s="92">
        <v>2</v>
      </c>
      <c r="C33" s="92">
        <v>4</v>
      </c>
      <c r="D33" s="92"/>
      <c r="E33" s="92" t="s">
        <v>1646</v>
      </c>
      <c r="F33" s="92">
        <v>5</v>
      </c>
      <c r="G33" s="92">
        <v>6</v>
      </c>
      <c r="K33" s="92" t="s">
        <v>1498</v>
      </c>
      <c r="L33" s="92"/>
      <c r="M33" s="92"/>
      <c r="N33" s="92"/>
      <c r="O33" s="92" t="s">
        <v>1646</v>
      </c>
      <c r="P33" s="92"/>
      <c r="Q33" s="92"/>
    </row>
    <row r="34" spans="1:17" x14ac:dyDescent="0.3">
      <c r="A34" s="92" t="s">
        <v>1477</v>
      </c>
      <c r="B34" s="92">
        <v>124</v>
      </c>
      <c r="C34" s="92">
        <v>101</v>
      </c>
      <c r="D34" s="92"/>
      <c r="E34" s="92" t="s">
        <v>1647</v>
      </c>
      <c r="F34" s="92">
        <v>1</v>
      </c>
      <c r="G34" s="92">
        <v>0</v>
      </c>
      <c r="K34" s="92" t="s">
        <v>1477</v>
      </c>
      <c r="L34" s="92"/>
      <c r="M34" s="92"/>
      <c r="N34" s="92"/>
      <c r="O34" s="92" t="s">
        <v>1647</v>
      </c>
      <c r="P34" s="92"/>
      <c r="Q34" s="92"/>
    </row>
    <row r="35" spans="1:17" ht="15" thickBot="1" x14ac:dyDescent="0.35">
      <c r="A35" s="92" t="s">
        <v>1479</v>
      </c>
      <c r="B35" s="92">
        <v>1</v>
      </c>
      <c r="C35" s="92">
        <v>5</v>
      </c>
      <c r="D35" s="92"/>
      <c r="E35" s="92" t="s">
        <v>1497</v>
      </c>
      <c r="F35" s="92">
        <v>2</v>
      </c>
      <c r="G35" s="92">
        <v>64</v>
      </c>
      <c r="K35" s="92" t="s">
        <v>1479</v>
      </c>
      <c r="L35" s="92"/>
      <c r="M35" s="92"/>
      <c r="N35" s="92"/>
      <c r="O35" s="92" t="s">
        <v>1497</v>
      </c>
      <c r="P35" s="92"/>
      <c r="Q35" s="92"/>
    </row>
    <row r="36" spans="1:17" ht="15.6" thickTop="1" thickBot="1" x14ac:dyDescent="0.35">
      <c r="A36" s="92" t="s">
        <v>1648</v>
      </c>
      <c r="B36" s="92">
        <v>103</v>
      </c>
      <c r="C36" s="92">
        <v>5</v>
      </c>
      <c r="D36" s="92"/>
      <c r="E36" s="185" t="s">
        <v>505</v>
      </c>
      <c r="F36" s="185">
        <v>11287</v>
      </c>
      <c r="G36" s="185">
        <v>7507</v>
      </c>
      <c r="K36" s="92" t="s">
        <v>1648</v>
      </c>
      <c r="L36" s="92"/>
      <c r="M36" s="92"/>
      <c r="N36" s="92"/>
      <c r="O36" s="185" t="s">
        <v>505</v>
      </c>
      <c r="P36" s="185">
        <v>11287</v>
      </c>
      <c r="Q36" s="185">
        <v>7507</v>
      </c>
    </row>
  </sheetData>
  <pageMargins left="0.7" right="0.7" top="0.75" bottom="0.75" header="0.3" footer="0.3"/>
  <drawing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DD494-BEDE-43D2-9E23-783FF9028B8D}">
  <dimension ref="A1:E84"/>
  <sheetViews>
    <sheetView workbookViewId="0">
      <selection activeCell="A4" sqref="A4"/>
    </sheetView>
  </sheetViews>
  <sheetFormatPr baseColWidth="10" defaultColWidth="28.44140625" defaultRowHeight="14.4" x14ac:dyDescent="0.3"/>
  <cols>
    <col min="1" max="1" width="16.44140625" customWidth="1"/>
    <col min="2" max="2" width="33.44140625" customWidth="1"/>
    <col min="3" max="3" width="13.44140625" customWidth="1"/>
    <col min="4" max="4" width="17" customWidth="1"/>
    <col min="5" max="5" width="28.44140625" customWidth="1"/>
    <col min="6" max="6" width="8.44140625" customWidth="1"/>
    <col min="7" max="7" width="10.44140625" customWidth="1"/>
    <col min="8" max="11" width="5.44140625" bestFit="1" customWidth="1"/>
    <col min="12" max="12" width="5.44140625" customWidth="1"/>
    <col min="13" max="13" width="5.44140625" bestFit="1" customWidth="1"/>
    <col min="14" max="14" width="8.44140625" customWidth="1"/>
    <col min="15" max="15" width="10.44140625" customWidth="1"/>
  </cols>
  <sheetData>
    <row r="1" spans="1:5" x14ac:dyDescent="0.3">
      <c r="A1" t="s">
        <v>355</v>
      </c>
      <c r="B1">
        <v>159</v>
      </c>
    </row>
    <row r="2" spans="1:5" x14ac:dyDescent="0.3">
      <c r="A2" t="s">
        <v>5</v>
      </c>
      <c r="B2" t="s">
        <v>205</v>
      </c>
    </row>
    <row r="4" spans="1:5" ht="15" thickBot="1" x14ac:dyDescent="0.35"/>
    <row r="5" spans="1:5" ht="15" thickTop="1" x14ac:dyDescent="0.3">
      <c r="A5" s="180" t="s">
        <v>1649</v>
      </c>
      <c r="B5" s="180" t="s">
        <v>1650</v>
      </c>
      <c r="C5" s="180" t="s">
        <v>1651</v>
      </c>
      <c r="D5" s="180" t="s">
        <v>1652</v>
      </c>
      <c r="E5" s="180" t="s">
        <v>1653</v>
      </c>
    </row>
    <row r="6" spans="1:5" ht="15" thickBot="1" x14ac:dyDescent="0.35">
      <c r="A6" s="71" t="s">
        <v>422</v>
      </c>
      <c r="B6" s="71" t="s">
        <v>1654</v>
      </c>
      <c r="C6" s="71" t="s">
        <v>1655</v>
      </c>
      <c r="D6" s="71" t="s">
        <v>441</v>
      </c>
      <c r="E6" s="71" t="s">
        <v>1656</v>
      </c>
    </row>
    <row r="7" spans="1:5" ht="15" thickBot="1" x14ac:dyDescent="0.35">
      <c r="A7" s="71" t="s">
        <v>422</v>
      </c>
      <c r="B7" s="71" t="s">
        <v>1657</v>
      </c>
      <c r="C7" s="71" t="s">
        <v>1655</v>
      </c>
      <c r="D7" s="71" t="s">
        <v>441</v>
      </c>
      <c r="E7" s="71" t="s">
        <v>1656</v>
      </c>
    </row>
    <row r="8" spans="1:5" ht="27" thickBot="1" x14ac:dyDescent="0.35">
      <c r="A8" s="71" t="s">
        <v>422</v>
      </c>
      <c r="B8" s="71" t="s">
        <v>1658</v>
      </c>
      <c r="C8" s="71" t="s">
        <v>1659</v>
      </c>
      <c r="D8" s="71" t="s">
        <v>1660</v>
      </c>
      <c r="E8" s="71" t="s">
        <v>446</v>
      </c>
    </row>
    <row r="9" spans="1:5" ht="27" thickBot="1" x14ac:dyDescent="0.35">
      <c r="A9" s="71" t="s">
        <v>422</v>
      </c>
      <c r="B9" s="71" t="s">
        <v>1661</v>
      </c>
      <c r="C9" s="71" t="s">
        <v>1662</v>
      </c>
      <c r="D9" s="71" t="s">
        <v>441</v>
      </c>
      <c r="E9" s="71" t="s">
        <v>1663</v>
      </c>
    </row>
    <row r="10" spans="1:5" ht="66.599999999999994" thickBot="1" x14ac:dyDescent="0.35">
      <c r="A10" s="71" t="s">
        <v>423</v>
      </c>
      <c r="B10" s="71" t="s">
        <v>1664</v>
      </c>
      <c r="C10" s="71" t="s">
        <v>1665</v>
      </c>
      <c r="D10" s="71" t="s">
        <v>441</v>
      </c>
      <c r="E10" s="71" t="s">
        <v>1666</v>
      </c>
    </row>
    <row r="11" spans="1:5" ht="66.599999999999994" thickBot="1" x14ac:dyDescent="0.35">
      <c r="A11" s="71" t="s">
        <v>424</v>
      </c>
      <c r="B11" s="71" t="s">
        <v>1667</v>
      </c>
      <c r="C11" s="71" t="s">
        <v>1665</v>
      </c>
      <c r="D11" s="71" t="s">
        <v>441</v>
      </c>
      <c r="E11" s="71" t="s">
        <v>1668</v>
      </c>
    </row>
    <row r="12" spans="1:5" ht="27" thickBot="1" x14ac:dyDescent="0.35">
      <c r="A12" s="71" t="s">
        <v>424</v>
      </c>
      <c r="B12" s="71" t="s">
        <v>1669</v>
      </c>
      <c r="C12" s="71" t="s">
        <v>1670</v>
      </c>
      <c r="D12" s="71" t="s">
        <v>441</v>
      </c>
      <c r="E12" s="71" t="s">
        <v>1656</v>
      </c>
    </row>
    <row r="13" spans="1:5" ht="40.200000000000003" thickBot="1" x14ac:dyDescent="0.35">
      <c r="A13" s="71" t="s">
        <v>424</v>
      </c>
      <c r="B13" s="71" t="s">
        <v>1671</v>
      </c>
      <c r="C13" s="71" t="s">
        <v>1672</v>
      </c>
      <c r="D13" s="71" t="s">
        <v>1660</v>
      </c>
      <c r="E13" s="71" t="s">
        <v>1663</v>
      </c>
    </row>
    <row r="14" spans="1:5" ht="27" thickBot="1" x14ac:dyDescent="0.35">
      <c r="A14" s="71" t="s">
        <v>424</v>
      </c>
      <c r="B14" s="71" t="s">
        <v>1673</v>
      </c>
      <c r="C14" s="71" t="s">
        <v>1674</v>
      </c>
      <c r="D14" s="71" t="s">
        <v>441</v>
      </c>
      <c r="E14" s="71" t="s">
        <v>1663</v>
      </c>
    </row>
    <row r="15" spans="1:5" ht="27" thickBot="1" x14ac:dyDescent="0.35">
      <c r="A15" s="71" t="s">
        <v>424</v>
      </c>
      <c r="B15" s="71" t="s">
        <v>1675</v>
      </c>
      <c r="C15" s="71" t="s">
        <v>1674</v>
      </c>
      <c r="D15" s="71" t="s">
        <v>441</v>
      </c>
      <c r="E15" s="71" t="s">
        <v>1663</v>
      </c>
    </row>
    <row r="16" spans="1:5" ht="40.200000000000003" thickBot="1" x14ac:dyDescent="0.35">
      <c r="A16" s="71" t="s">
        <v>424</v>
      </c>
      <c r="B16" s="71" t="s">
        <v>1676</v>
      </c>
      <c r="C16" s="71" t="s">
        <v>1677</v>
      </c>
      <c r="D16" s="71" t="s">
        <v>441</v>
      </c>
      <c r="E16" s="71" t="s">
        <v>1663</v>
      </c>
    </row>
    <row r="17" spans="1:5" ht="27" thickBot="1" x14ac:dyDescent="0.35">
      <c r="A17" s="71" t="s">
        <v>424</v>
      </c>
      <c r="B17" s="71" t="s">
        <v>1678</v>
      </c>
      <c r="C17" s="71" t="s">
        <v>1679</v>
      </c>
      <c r="D17" s="71" t="s">
        <v>441</v>
      </c>
      <c r="E17" s="71" t="s">
        <v>1663</v>
      </c>
    </row>
    <row r="18" spans="1:5" ht="40.200000000000003" thickBot="1" x14ac:dyDescent="0.35">
      <c r="A18" s="71" t="s">
        <v>425</v>
      </c>
      <c r="B18" s="71" t="s">
        <v>1680</v>
      </c>
      <c r="C18" s="71" t="s">
        <v>1681</v>
      </c>
      <c r="D18" s="71" t="s">
        <v>1682</v>
      </c>
      <c r="E18" s="71" t="s">
        <v>1656</v>
      </c>
    </row>
    <row r="19" spans="1:5" ht="27" thickBot="1" x14ac:dyDescent="0.35">
      <c r="A19" s="71" t="s">
        <v>425</v>
      </c>
      <c r="B19" s="71" t="s">
        <v>1678</v>
      </c>
      <c r="C19" s="71" t="s">
        <v>1679</v>
      </c>
      <c r="D19" s="71" t="s">
        <v>441</v>
      </c>
      <c r="E19" s="71" t="s">
        <v>1663</v>
      </c>
    </row>
    <row r="20" spans="1:5" ht="40.200000000000003" thickBot="1" x14ac:dyDescent="0.35">
      <c r="A20" s="71" t="s">
        <v>426</v>
      </c>
      <c r="B20" s="71" t="s">
        <v>1683</v>
      </c>
      <c r="C20" s="71" t="s">
        <v>1684</v>
      </c>
      <c r="D20" s="71" t="s">
        <v>441</v>
      </c>
      <c r="E20" s="71" t="s">
        <v>1685</v>
      </c>
    </row>
    <row r="21" spans="1:5" ht="40.200000000000003" thickBot="1" x14ac:dyDescent="0.35">
      <c r="A21" s="71" t="s">
        <v>426</v>
      </c>
      <c r="B21" s="71" t="s">
        <v>1686</v>
      </c>
      <c r="C21" s="71" t="s">
        <v>1684</v>
      </c>
      <c r="D21" s="71" t="s">
        <v>441</v>
      </c>
      <c r="E21" s="71" t="s">
        <v>1687</v>
      </c>
    </row>
    <row r="22" spans="1:5" ht="15" thickBot="1" x14ac:dyDescent="0.35">
      <c r="A22" s="71" t="s">
        <v>426</v>
      </c>
      <c r="B22" s="71" t="s">
        <v>1688</v>
      </c>
      <c r="C22" s="71" t="s">
        <v>1655</v>
      </c>
      <c r="D22" s="71" t="s">
        <v>441</v>
      </c>
      <c r="E22" s="71" t="s">
        <v>1656</v>
      </c>
    </row>
    <row r="23" spans="1:5" ht="40.200000000000003" thickBot="1" x14ac:dyDescent="0.35">
      <c r="A23" s="71" t="s">
        <v>426</v>
      </c>
      <c r="B23" s="71" t="s">
        <v>1689</v>
      </c>
      <c r="C23" s="71" t="s">
        <v>1674</v>
      </c>
      <c r="D23" s="71" t="s">
        <v>441</v>
      </c>
      <c r="E23" s="71" t="s">
        <v>1663</v>
      </c>
    </row>
    <row r="24" spans="1:5" ht="40.200000000000003" thickBot="1" x14ac:dyDescent="0.35">
      <c r="A24" s="71" t="s">
        <v>426</v>
      </c>
      <c r="B24" s="71" t="s">
        <v>1690</v>
      </c>
      <c r="C24" s="71" t="s">
        <v>1691</v>
      </c>
      <c r="D24" s="71" t="s">
        <v>441</v>
      </c>
      <c r="E24" s="71" t="s">
        <v>1692</v>
      </c>
    </row>
    <row r="25" spans="1:5" ht="27" thickBot="1" x14ac:dyDescent="0.35">
      <c r="A25" s="71" t="s">
        <v>428</v>
      </c>
      <c r="B25" s="71" t="s">
        <v>1693</v>
      </c>
      <c r="C25" s="71" t="s">
        <v>1694</v>
      </c>
      <c r="D25" s="71" t="s">
        <v>441</v>
      </c>
      <c r="E25" s="71" t="s">
        <v>1663</v>
      </c>
    </row>
    <row r="26" spans="1:5" ht="40.200000000000003" thickBot="1" x14ac:dyDescent="0.35">
      <c r="A26" s="71" t="s">
        <v>428</v>
      </c>
      <c r="B26" s="71" t="s">
        <v>1695</v>
      </c>
      <c r="C26" s="71" t="s">
        <v>1696</v>
      </c>
      <c r="D26" s="71" t="s">
        <v>1660</v>
      </c>
      <c r="E26" s="71" t="s">
        <v>1692</v>
      </c>
    </row>
    <row r="27" spans="1:5" ht="79.8" thickBot="1" x14ac:dyDescent="0.35">
      <c r="A27" s="71" t="s">
        <v>428</v>
      </c>
      <c r="B27" s="71" t="s">
        <v>1697</v>
      </c>
      <c r="C27" s="71" t="s">
        <v>1698</v>
      </c>
      <c r="D27" s="71" t="s">
        <v>1682</v>
      </c>
      <c r="E27" s="71" t="s">
        <v>1656</v>
      </c>
    </row>
    <row r="28" spans="1:5" ht="27" thickBot="1" x14ac:dyDescent="0.35">
      <c r="A28" s="71" t="s">
        <v>428</v>
      </c>
      <c r="B28" s="71" t="s">
        <v>1699</v>
      </c>
      <c r="C28" s="71" t="s">
        <v>1700</v>
      </c>
      <c r="D28" s="71" t="s">
        <v>1682</v>
      </c>
      <c r="E28" s="71" t="s">
        <v>1656</v>
      </c>
    </row>
    <row r="29" spans="1:5" ht="53.4" thickBot="1" x14ac:dyDescent="0.35">
      <c r="A29" s="71" t="s">
        <v>428</v>
      </c>
      <c r="B29" s="71" t="s">
        <v>1701</v>
      </c>
      <c r="C29" s="71" t="s">
        <v>1702</v>
      </c>
      <c r="D29" s="71" t="s">
        <v>441</v>
      </c>
      <c r="E29" s="71" t="s">
        <v>1703</v>
      </c>
    </row>
    <row r="30" spans="1:5" ht="66.599999999999994" thickBot="1" x14ac:dyDescent="0.35">
      <c r="A30" s="71" t="s">
        <v>429</v>
      </c>
      <c r="B30" s="71" t="s">
        <v>1704</v>
      </c>
      <c r="C30" s="71" t="s">
        <v>1705</v>
      </c>
      <c r="D30" s="71" t="s">
        <v>1660</v>
      </c>
      <c r="E30" s="71" t="s">
        <v>1656</v>
      </c>
    </row>
    <row r="31" spans="1:5" ht="15" thickBot="1" x14ac:dyDescent="0.35">
      <c r="A31" s="71" t="s">
        <v>429</v>
      </c>
      <c r="B31" s="71" t="s">
        <v>1706</v>
      </c>
      <c r="C31" s="71" t="s">
        <v>1655</v>
      </c>
      <c r="D31" s="71" t="s">
        <v>441</v>
      </c>
      <c r="E31" s="71" t="s">
        <v>1656</v>
      </c>
    </row>
    <row r="32" spans="1:5" ht="40.200000000000003" thickBot="1" x14ac:dyDescent="0.35">
      <c r="A32" s="71" t="s">
        <v>429</v>
      </c>
      <c r="B32" s="71" t="s">
        <v>1707</v>
      </c>
      <c r="C32" s="71" t="s">
        <v>1708</v>
      </c>
      <c r="D32" s="71" t="s">
        <v>441</v>
      </c>
      <c r="E32" s="71" t="s">
        <v>1703</v>
      </c>
    </row>
    <row r="33" spans="1:5" ht="40.200000000000003" thickBot="1" x14ac:dyDescent="0.35">
      <c r="A33" s="71" t="s">
        <v>430</v>
      </c>
      <c r="B33" s="71" t="s">
        <v>1709</v>
      </c>
      <c r="C33" s="71" t="s">
        <v>1710</v>
      </c>
      <c r="D33" s="71" t="s">
        <v>441</v>
      </c>
      <c r="E33" s="71" t="s">
        <v>1711</v>
      </c>
    </row>
    <row r="34" spans="1:5" ht="66.599999999999994" thickBot="1" x14ac:dyDescent="0.35">
      <c r="A34" s="71" t="s">
        <v>430</v>
      </c>
      <c r="B34" s="71" t="s">
        <v>1712</v>
      </c>
      <c r="C34" s="71" t="s">
        <v>1713</v>
      </c>
      <c r="D34" s="71" t="s">
        <v>1660</v>
      </c>
      <c r="E34" s="71" t="s">
        <v>1714</v>
      </c>
    </row>
    <row r="35" spans="1:5" ht="66.599999999999994" thickBot="1" x14ac:dyDescent="0.35">
      <c r="A35" s="71" t="s">
        <v>430</v>
      </c>
      <c r="B35" s="71" t="s">
        <v>1715</v>
      </c>
      <c r="C35" s="71" t="s">
        <v>1713</v>
      </c>
      <c r="D35" s="71" t="s">
        <v>1660</v>
      </c>
      <c r="E35" s="71" t="s">
        <v>1714</v>
      </c>
    </row>
    <row r="36" spans="1:5" ht="27" thickBot="1" x14ac:dyDescent="0.35">
      <c r="A36" s="71" t="s">
        <v>430</v>
      </c>
      <c r="B36" s="71" t="s">
        <v>1716</v>
      </c>
      <c r="C36" s="71" t="s">
        <v>1717</v>
      </c>
      <c r="D36" s="71" t="s">
        <v>1660</v>
      </c>
      <c r="E36" s="71" t="s">
        <v>1718</v>
      </c>
    </row>
    <row r="37" spans="1:5" ht="53.4" thickBot="1" x14ac:dyDescent="0.35">
      <c r="A37" s="71" t="s">
        <v>430</v>
      </c>
      <c r="B37" s="71" t="s">
        <v>1719</v>
      </c>
      <c r="C37" s="71" t="s">
        <v>1720</v>
      </c>
      <c r="D37" s="71" t="s">
        <v>441</v>
      </c>
      <c r="E37" s="71" t="s">
        <v>1721</v>
      </c>
    </row>
    <row r="38" spans="1:5" ht="66.599999999999994" thickBot="1" x14ac:dyDescent="0.35">
      <c r="A38" s="71" t="s">
        <v>430</v>
      </c>
      <c r="B38" s="71" t="s">
        <v>1722</v>
      </c>
      <c r="C38" s="71" t="s">
        <v>1723</v>
      </c>
      <c r="D38" s="71" t="s">
        <v>441</v>
      </c>
      <c r="E38" s="71" t="s">
        <v>1666</v>
      </c>
    </row>
    <row r="39" spans="1:5" ht="53.4" thickBot="1" x14ac:dyDescent="0.35">
      <c r="A39" s="71" t="s">
        <v>430</v>
      </c>
      <c r="B39" s="71" t="s">
        <v>1724</v>
      </c>
      <c r="C39" s="71" t="s">
        <v>1710</v>
      </c>
      <c r="D39" s="71" t="s">
        <v>441</v>
      </c>
      <c r="E39" s="71" t="s">
        <v>1711</v>
      </c>
    </row>
    <row r="40" spans="1:5" ht="79.8" thickBot="1" x14ac:dyDescent="0.35">
      <c r="A40" s="71" t="s">
        <v>430</v>
      </c>
      <c r="B40" s="71" t="s">
        <v>1725</v>
      </c>
      <c r="C40" s="71" t="s">
        <v>1726</v>
      </c>
      <c r="D40" s="71" t="s">
        <v>1660</v>
      </c>
      <c r="E40" s="71" t="s">
        <v>1656</v>
      </c>
    </row>
    <row r="41" spans="1:5" ht="93" thickBot="1" x14ac:dyDescent="0.35">
      <c r="A41" s="71" t="s">
        <v>430</v>
      </c>
      <c r="B41" s="71" t="s">
        <v>1727</v>
      </c>
      <c r="C41" s="71" t="s">
        <v>1728</v>
      </c>
      <c r="D41" s="71" t="s">
        <v>1660</v>
      </c>
      <c r="E41" s="71" t="s">
        <v>1656</v>
      </c>
    </row>
    <row r="42" spans="1:5" ht="66.599999999999994" thickBot="1" x14ac:dyDescent="0.35">
      <c r="A42" s="71" t="s">
        <v>430</v>
      </c>
      <c r="B42" s="71" t="s">
        <v>1729</v>
      </c>
      <c r="C42" s="71" t="s">
        <v>1700</v>
      </c>
      <c r="D42" s="71" t="s">
        <v>1660</v>
      </c>
      <c r="E42" s="71" t="s">
        <v>1656</v>
      </c>
    </row>
    <row r="43" spans="1:5" ht="66.599999999999994" thickBot="1" x14ac:dyDescent="0.35">
      <c r="A43" s="71" t="s">
        <v>430</v>
      </c>
      <c r="B43" s="71" t="s">
        <v>1730</v>
      </c>
      <c r="C43" s="71" t="s">
        <v>1731</v>
      </c>
      <c r="D43" s="71" t="s">
        <v>441</v>
      </c>
      <c r="E43" s="71" t="s">
        <v>1656</v>
      </c>
    </row>
    <row r="44" spans="1:5" ht="40.200000000000003" thickBot="1" x14ac:dyDescent="0.35">
      <c r="A44" s="71" t="s">
        <v>430</v>
      </c>
      <c r="B44" s="71" t="s">
        <v>1732</v>
      </c>
      <c r="C44" s="71" t="s">
        <v>1733</v>
      </c>
      <c r="D44" s="71" t="s">
        <v>441</v>
      </c>
      <c r="E44" s="71" t="s">
        <v>1692</v>
      </c>
    </row>
    <row r="45" spans="1:5" ht="79.8" thickBot="1" x14ac:dyDescent="0.35">
      <c r="A45" s="71" t="s">
        <v>430</v>
      </c>
      <c r="B45" s="71" t="s">
        <v>1734</v>
      </c>
      <c r="C45" s="71" t="s">
        <v>1735</v>
      </c>
      <c r="D45" s="71" t="s">
        <v>441</v>
      </c>
      <c r="E45" s="71" t="s">
        <v>1703</v>
      </c>
    </row>
    <row r="46" spans="1:5" ht="15" thickBot="1" x14ac:dyDescent="0.35">
      <c r="A46" s="71" t="s">
        <v>430</v>
      </c>
      <c r="B46" s="71" t="s">
        <v>1736</v>
      </c>
      <c r="C46" s="71" t="s">
        <v>1737</v>
      </c>
      <c r="D46" s="71" t="s">
        <v>441</v>
      </c>
      <c r="E46" s="71" t="s">
        <v>1738</v>
      </c>
    </row>
    <row r="47" spans="1:5" ht="27" thickBot="1" x14ac:dyDescent="0.35">
      <c r="A47" s="71" t="s">
        <v>430</v>
      </c>
      <c r="B47" s="71" t="s">
        <v>1739</v>
      </c>
      <c r="C47" s="71" t="s">
        <v>1740</v>
      </c>
      <c r="D47" s="71" t="s">
        <v>441</v>
      </c>
      <c r="E47" s="71" t="s">
        <v>1738</v>
      </c>
    </row>
    <row r="48" spans="1:5" ht="15" thickBot="1" x14ac:dyDescent="0.35">
      <c r="A48" s="71" t="s">
        <v>358</v>
      </c>
      <c r="B48" s="71" t="s">
        <v>1741</v>
      </c>
      <c r="C48" s="71" t="s">
        <v>1742</v>
      </c>
      <c r="D48" s="71" t="s">
        <v>1660</v>
      </c>
      <c r="E48" s="71" t="s">
        <v>1743</v>
      </c>
    </row>
    <row r="49" spans="1:5" ht="40.200000000000003" thickBot="1" x14ac:dyDescent="0.35">
      <c r="A49" s="71" t="s">
        <v>358</v>
      </c>
      <c r="B49" s="71" t="s">
        <v>1744</v>
      </c>
      <c r="C49" s="71" t="s">
        <v>1745</v>
      </c>
      <c r="D49" s="71" t="s">
        <v>441</v>
      </c>
      <c r="E49" s="71" t="s">
        <v>1703</v>
      </c>
    </row>
    <row r="50" spans="1:5" ht="40.200000000000003" thickBot="1" x14ac:dyDescent="0.35">
      <c r="A50" s="71" t="s">
        <v>358</v>
      </c>
      <c r="B50" s="71" t="s">
        <v>1746</v>
      </c>
      <c r="C50" s="71" t="s">
        <v>1708</v>
      </c>
      <c r="D50" s="71" t="s">
        <v>441</v>
      </c>
      <c r="E50" s="71" t="s">
        <v>1703</v>
      </c>
    </row>
    <row r="51" spans="1:5" ht="27" thickBot="1" x14ac:dyDescent="0.35">
      <c r="A51" s="71" t="s">
        <v>358</v>
      </c>
      <c r="B51" s="71" t="s">
        <v>1747</v>
      </c>
      <c r="C51" s="71" t="s">
        <v>1713</v>
      </c>
      <c r="D51" s="71" t="s">
        <v>1660</v>
      </c>
      <c r="E51" s="71" t="s">
        <v>1748</v>
      </c>
    </row>
    <row r="52" spans="1:5" ht="40.200000000000003" thickBot="1" x14ac:dyDescent="0.35">
      <c r="A52" s="71" t="s">
        <v>358</v>
      </c>
      <c r="B52" s="71" t="s">
        <v>1749</v>
      </c>
      <c r="C52" s="71" t="s">
        <v>1750</v>
      </c>
      <c r="D52" s="71" t="s">
        <v>1660</v>
      </c>
      <c r="E52" s="71" t="s">
        <v>1738</v>
      </c>
    </row>
    <row r="53" spans="1:5" ht="15" thickBot="1" x14ac:dyDescent="0.35">
      <c r="A53" s="71" t="s">
        <v>358</v>
      </c>
      <c r="B53" s="71" t="s">
        <v>1751</v>
      </c>
      <c r="C53" s="71" t="s">
        <v>1752</v>
      </c>
      <c r="D53" s="71" t="s">
        <v>1660</v>
      </c>
      <c r="E53" s="71" t="s">
        <v>1738</v>
      </c>
    </row>
    <row r="54" spans="1:5" ht="27" thickBot="1" x14ac:dyDescent="0.35">
      <c r="A54" s="71" t="s">
        <v>359</v>
      </c>
      <c r="B54" s="71" t="s">
        <v>1753</v>
      </c>
      <c r="C54" s="71" t="s">
        <v>1754</v>
      </c>
      <c r="D54" s="71" t="s">
        <v>1660</v>
      </c>
      <c r="E54" s="71" t="s">
        <v>1663</v>
      </c>
    </row>
    <row r="55" spans="1:5" ht="40.200000000000003" thickBot="1" x14ac:dyDescent="0.35">
      <c r="A55" s="71" t="s">
        <v>359</v>
      </c>
      <c r="B55" s="71" t="s">
        <v>1755</v>
      </c>
      <c r="C55" s="71" t="s">
        <v>1756</v>
      </c>
      <c r="D55" s="71" t="s">
        <v>441</v>
      </c>
      <c r="E55" s="71" t="s">
        <v>1663</v>
      </c>
    </row>
    <row r="56" spans="1:5" ht="27" thickBot="1" x14ac:dyDescent="0.35">
      <c r="A56" s="71" t="s">
        <v>359</v>
      </c>
      <c r="B56" s="71" t="s">
        <v>1757</v>
      </c>
      <c r="C56" s="71" t="s">
        <v>1758</v>
      </c>
      <c r="D56" s="71" t="s">
        <v>441</v>
      </c>
      <c r="E56" s="71" t="s">
        <v>1663</v>
      </c>
    </row>
    <row r="57" spans="1:5" ht="79.8" thickBot="1" x14ac:dyDescent="0.35">
      <c r="A57" s="71" t="s">
        <v>359</v>
      </c>
      <c r="B57" s="71" t="s">
        <v>1759</v>
      </c>
      <c r="C57" s="71" t="s">
        <v>1726</v>
      </c>
      <c r="D57" s="71" t="s">
        <v>1682</v>
      </c>
      <c r="E57" s="71" t="s">
        <v>1656</v>
      </c>
    </row>
    <row r="58" spans="1:5" ht="66.599999999999994" thickBot="1" x14ac:dyDescent="0.35">
      <c r="A58" s="71" t="s">
        <v>359</v>
      </c>
      <c r="B58" s="71" t="s">
        <v>1760</v>
      </c>
      <c r="C58" s="71" t="s">
        <v>1761</v>
      </c>
      <c r="D58" s="71" t="s">
        <v>441</v>
      </c>
      <c r="E58" s="71" t="s">
        <v>1656</v>
      </c>
    </row>
    <row r="59" spans="1:5" ht="66.599999999999994" thickBot="1" x14ac:dyDescent="0.35">
      <c r="A59" s="71" t="s">
        <v>359</v>
      </c>
      <c r="B59" s="71" t="s">
        <v>1762</v>
      </c>
      <c r="C59" s="71" t="s">
        <v>1763</v>
      </c>
      <c r="D59" s="71" t="s">
        <v>1682</v>
      </c>
      <c r="E59" s="71" t="s">
        <v>1656</v>
      </c>
    </row>
    <row r="60" spans="1:5" ht="66.599999999999994" thickBot="1" x14ac:dyDescent="0.35">
      <c r="A60" s="71" t="s">
        <v>359</v>
      </c>
      <c r="B60" s="71" t="s">
        <v>1764</v>
      </c>
      <c r="C60" s="71" t="s">
        <v>1765</v>
      </c>
      <c r="D60" s="71" t="s">
        <v>1682</v>
      </c>
      <c r="E60" s="71" t="s">
        <v>1685</v>
      </c>
    </row>
    <row r="61" spans="1:5" ht="79.8" thickBot="1" x14ac:dyDescent="0.35">
      <c r="A61" s="71" t="s">
        <v>359</v>
      </c>
      <c r="B61" s="71" t="s">
        <v>1766</v>
      </c>
      <c r="C61" s="71" t="s">
        <v>1767</v>
      </c>
      <c r="D61" s="71" t="s">
        <v>1682</v>
      </c>
      <c r="E61" s="71" t="s">
        <v>1685</v>
      </c>
    </row>
    <row r="62" spans="1:5" ht="66.599999999999994" thickBot="1" x14ac:dyDescent="0.35">
      <c r="A62" s="71" t="s">
        <v>359</v>
      </c>
      <c r="B62" s="71" t="s">
        <v>1768</v>
      </c>
      <c r="C62" s="71" t="s">
        <v>1765</v>
      </c>
      <c r="D62" s="71" t="s">
        <v>1682</v>
      </c>
      <c r="E62" s="71" t="s">
        <v>1685</v>
      </c>
    </row>
    <row r="63" spans="1:5" ht="40.200000000000003" thickBot="1" x14ac:dyDescent="0.35">
      <c r="A63" s="71" t="s">
        <v>359</v>
      </c>
      <c r="B63" s="71" t="s">
        <v>1769</v>
      </c>
      <c r="C63" s="71" t="s">
        <v>1770</v>
      </c>
      <c r="D63" s="71" t="s">
        <v>441</v>
      </c>
      <c r="E63" s="71" t="s">
        <v>1771</v>
      </c>
    </row>
    <row r="64" spans="1:5" ht="93" thickBot="1" x14ac:dyDescent="0.35">
      <c r="A64" s="71" t="s">
        <v>359</v>
      </c>
      <c r="B64" s="71" t="s">
        <v>1772</v>
      </c>
      <c r="C64" s="71" t="s">
        <v>1713</v>
      </c>
      <c r="D64" s="71" t="s">
        <v>1682</v>
      </c>
      <c r="E64" s="71" t="s">
        <v>1773</v>
      </c>
    </row>
    <row r="65" spans="1:5" ht="27" thickBot="1" x14ac:dyDescent="0.35">
      <c r="A65" s="71" t="s">
        <v>359</v>
      </c>
      <c r="B65" s="71" t="s">
        <v>1774</v>
      </c>
      <c r="C65" s="71" t="s">
        <v>1713</v>
      </c>
      <c r="D65" s="71" t="s">
        <v>1682</v>
      </c>
      <c r="E65" s="71" t="s">
        <v>1773</v>
      </c>
    </row>
    <row r="66" spans="1:5" ht="27" thickBot="1" x14ac:dyDescent="0.35">
      <c r="A66" s="71" t="s">
        <v>359</v>
      </c>
      <c r="B66" s="71" t="s">
        <v>1775</v>
      </c>
      <c r="C66" s="71" t="s">
        <v>1713</v>
      </c>
      <c r="D66" s="71" t="s">
        <v>1682</v>
      </c>
      <c r="E66" s="71" t="s">
        <v>1773</v>
      </c>
    </row>
    <row r="67" spans="1:5" ht="119.4" thickBot="1" x14ac:dyDescent="0.35">
      <c r="A67" s="71" t="s">
        <v>359</v>
      </c>
      <c r="B67" s="71" t="s">
        <v>1776</v>
      </c>
      <c r="C67" s="71" t="s">
        <v>1777</v>
      </c>
      <c r="D67" s="71" t="s">
        <v>1682</v>
      </c>
      <c r="E67" s="71" t="s">
        <v>1773</v>
      </c>
    </row>
    <row r="68" spans="1:5" ht="27" thickBot="1" x14ac:dyDescent="0.35">
      <c r="A68" s="71" t="s">
        <v>359</v>
      </c>
      <c r="B68" s="71" t="s">
        <v>1778</v>
      </c>
      <c r="C68" s="71" t="s">
        <v>1779</v>
      </c>
      <c r="D68" s="71" t="s">
        <v>441</v>
      </c>
      <c r="E68" s="71" t="s">
        <v>1743</v>
      </c>
    </row>
    <row r="69" spans="1:5" ht="27" thickBot="1" x14ac:dyDescent="0.35">
      <c r="A69" s="71" t="s">
        <v>359</v>
      </c>
      <c r="B69" s="71" t="s">
        <v>1780</v>
      </c>
      <c r="C69" s="71" t="s">
        <v>1781</v>
      </c>
      <c r="D69" s="71" t="s">
        <v>441</v>
      </c>
      <c r="E69" s="71" t="s">
        <v>1743</v>
      </c>
    </row>
    <row r="70" spans="1:5" ht="66" x14ac:dyDescent="0.3">
      <c r="A70" s="71" t="s">
        <v>359</v>
      </c>
      <c r="B70" s="71" t="s">
        <v>1782</v>
      </c>
      <c r="C70" s="71" t="s">
        <v>1783</v>
      </c>
      <c r="D70" s="71" t="s">
        <v>1682</v>
      </c>
      <c r="E70" s="71" t="s">
        <v>1784</v>
      </c>
    </row>
    <row r="71" spans="1:5" ht="26.4" x14ac:dyDescent="0.3">
      <c r="A71" s="431" t="s">
        <v>360</v>
      </c>
      <c r="B71" s="431" t="s">
        <v>1785</v>
      </c>
      <c r="C71" s="431" t="s">
        <v>1786</v>
      </c>
      <c r="D71" s="431" t="s">
        <v>441</v>
      </c>
      <c r="E71" s="431" t="s">
        <v>1656</v>
      </c>
    </row>
    <row r="72" spans="1:5" ht="26.4" x14ac:dyDescent="0.3">
      <c r="A72" s="431" t="s">
        <v>1787</v>
      </c>
      <c r="B72" s="431" t="s">
        <v>1788</v>
      </c>
      <c r="C72" s="431" t="s">
        <v>1786</v>
      </c>
      <c r="D72" s="431" t="s">
        <v>441</v>
      </c>
      <c r="E72" s="431" t="s">
        <v>1656</v>
      </c>
    </row>
    <row r="73" spans="1:5" ht="39.6" x14ac:dyDescent="0.3">
      <c r="A73" s="431" t="s">
        <v>360</v>
      </c>
      <c r="B73" s="431" t="s">
        <v>1789</v>
      </c>
      <c r="C73" s="431" t="s">
        <v>1790</v>
      </c>
      <c r="D73" s="431" t="s">
        <v>1660</v>
      </c>
      <c r="E73" s="431" t="s">
        <v>1663</v>
      </c>
    </row>
    <row r="74" spans="1:5" ht="52.8" x14ac:dyDescent="0.3">
      <c r="A74" s="431" t="s">
        <v>360</v>
      </c>
      <c r="B74" s="431" t="s">
        <v>1791</v>
      </c>
      <c r="C74" s="431" t="s">
        <v>1792</v>
      </c>
      <c r="D74" s="431" t="s">
        <v>1660</v>
      </c>
      <c r="E74" s="431" t="s">
        <v>1663</v>
      </c>
    </row>
    <row r="75" spans="1:5" ht="52.8" x14ac:dyDescent="0.3">
      <c r="A75" s="431" t="s">
        <v>360</v>
      </c>
      <c r="B75" s="431" t="s">
        <v>1793</v>
      </c>
      <c r="C75" s="431" t="s">
        <v>1794</v>
      </c>
      <c r="D75" s="431" t="s">
        <v>1682</v>
      </c>
      <c r="E75" s="431" t="s">
        <v>444</v>
      </c>
    </row>
    <row r="76" spans="1:5" ht="52.8" x14ac:dyDescent="0.3">
      <c r="A76" s="431" t="s">
        <v>360</v>
      </c>
      <c r="B76" s="431" t="s">
        <v>1795</v>
      </c>
      <c r="C76" s="431" t="s">
        <v>1796</v>
      </c>
      <c r="D76" s="431" t="s">
        <v>441</v>
      </c>
      <c r="E76" s="431" t="s">
        <v>444</v>
      </c>
    </row>
    <row r="77" spans="1:5" ht="63" customHeight="1" x14ac:dyDescent="0.3">
      <c r="A77" s="438" t="s">
        <v>360</v>
      </c>
      <c r="B77" s="438" t="s">
        <v>1797</v>
      </c>
      <c r="C77" s="438" t="s">
        <v>1710</v>
      </c>
      <c r="D77" s="438" t="s">
        <v>441</v>
      </c>
      <c r="E77" s="438" t="s">
        <v>446</v>
      </c>
    </row>
    <row r="78" spans="1:5" ht="39.6" x14ac:dyDescent="0.3">
      <c r="A78" s="438" t="s">
        <v>360</v>
      </c>
      <c r="B78" s="438" t="s">
        <v>1798</v>
      </c>
      <c r="C78" s="438" t="s">
        <v>1799</v>
      </c>
      <c r="D78" s="438" t="s">
        <v>441</v>
      </c>
      <c r="E78" s="438" t="s">
        <v>1771</v>
      </c>
    </row>
    <row r="79" spans="1:5" ht="52.8" x14ac:dyDescent="0.3">
      <c r="A79" s="438" t="s">
        <v>360</v>
      </c>
      <c r="B79" s="438" t="s">
        <v>1800</v>
      </c>
      <c r="C79" s="438" t="s">
        <v>1801</v>
      </c>
      <c r="D79" s="438" t="s">
        <v>1682</v>
      </c>
      <c r="E79" s="438" t="s">
        <v>1668</v>
      </c>
    </row>
    <row r="80" spans="1:5" ht="66" x14ac:dyDescent="0.3">
      <c r="A80" s="431" t="s">
        <v>360</v>
      </c>
      <c r="B80" s="431" t="s">
        <v>1802</v>
      </c>
      <c r="C80" s="431" t="s">
        <v>1803</v>
      </c>
      <c r="D80" s="431" t="s">
        <v>441</v>
      </c>
      <c r="E80" s="431" t="s">
        <v>1668</v>
      </c>
    </row>
    <row r="81" spans="1:5" ht="79.2" x14ac:dyDescent="0.3">
      <c r="A81" s="431" t="s">
        <v>360</v>
      </c>
      <c r="B81" s="431" t="s">
        <v>1804</v>
      </c>
      <c r="C81" s="431" t="s">
        <v>1805</v>
      </c>
      <c r="D81" s="431" t="s">
        <v>1682</v>
      </c>
      <c r="E81" s="431" t="s">
        <v>1668</v>
      </c>
    </row>
    <row r="82" spans="1:5" ht="39.6" x14ac:dyDescent="0.3">
      <c r="A82" s="431" t="s">
        <v>360</v>
      </c>
      <c r="B82" s="431" t="s">
        <v>1806</v>
      </c>
      <c r="C82" s="431" t="s">
        <v>1807</v>
      </c>
      <c r="D82" s="431" t="s">
        <v>1682</v>
      </c>
      <c r="E82" s="431" t="s">
        <v>1668</v>
      </c>
    </row>
    <row r="83" spans="1:5" x14ac:dyDescent="0.3">
      <c r="A83" s="436" t="s">
        <v>361</v>
      </c>
    </row>
    <row r="84" spans="1:5" x14ac:dyDescent="0.3">
      <c r="A84" s="436" t="s">
        <v>362</v>
      </c>
    </row>
  </sheetData>
  <pageMargins left="0.7" right="0.7" top="0.75" bottom="0.75" header="0.3" footer="0.3"/>
  <drawing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6C1F1-3798-45DB-9FAB-4A88EA3F791D}">
  <dimension ref="A1:K19"/>
  <sheetViews>
    <sheetView workbookViewId="0">
      <selection activeCell="H13" sqref="H13"/>
    </sheetView>
  </sheetViews>
  <sheetFormatPr baseColWidth="10" defaultColWidth="28.44140625" defaultRowHeight="14.4" x14ac:dyDescent="0.3"/>
  <cols>
    <col min="1" max="1" width="16.44140625" customWidth="1"/>
    <col min="2" max="2" width="9.44140625" customWidth="1"/>
    <col min="3" max="3" width="10.44140625" customWidth="1"/>
    <col min="4" max="4" width="18.44140625" customWidth="1"/>
    <col min="5" max="5" width="7.44140625" customWidth="1"/>
    <col min="6" max="6" width="8.44140625" customWidth="1"/>
    <col min="7" max="7" width="18.6640625" customWidth="1"/>
    <col min="8" max="8" width="18.88671875" customWidth="1"/>
    <col min="9" max="9" width="3.33203125" customWidth="1"/>
    <col min="10" max="10" width="20.6640625" customWidth="1"/>
    <col min="11" max="11" width="5.44140625" bestFit="1" customWidth="1"/>
    <col min="12" max="12" width="5.44140625" customWidth="1"/>
    <col min="13" max="13" width="5.44140625" bestFit="1" customWidth="1"/>
    <col min="14" max="14" width="8.44140625" customWidth="1"/>
    <col min="15" max="15" width="10.44140625" customWidth="1"/>
  </cols>
  <sheetData>
    <row r="1" spans="1:11" x14ac:dyDescent="0.3">
      <c r="A1" t="s">
        <v>355</v>
      </c>
      <c r="B1">
        <v>161</v>
      </c>
      <c r="G1" t="s">
        <v>355</v>
      </c>
      <c r="H1">
        <v>161</v>
      </c>
    </row>
    <row r="2" spans="1:11" x14ac:dyDescent="0.3">
      <c r="A2" t="s">
        <v>5</v>
      </c>
      <c r="B2" t="s">
        <v>1808</v>
      </c>
      <c r="G2" t="s">
        <v>5</v>
      </c>
      <c r="H2" t="s">
        <v>1809</v>
      </c>
    </row>
    <row r="4" spans="1:11" ht="15" thickBot="1" x14ac:dyDescent="0.35"/>
    <row r="5" spans="1:11" ht="15" thickBot="1" x14ac:dyDescent="0.35">
      <c r="A5" s="554" t="s">
        <v>1810</v>
      </c>
      <c r="B5" s="554" t="s">
        <v>466</v>
      </c>
      <c r="C5" s="555" t="s">
        <v>1475</v>
      </c>
      <c r="D5" s="554" t="s">
        <v>1810</v>
      </c>
      <c r="E5" s="554" t="s">
        <v>466</v>
      </c>
      <c r="G5" s="554" t="s">
        <v>1810</v>
      </c>
      <c r="H5" s="554" t="s">
        <v>466</v>
      </c>
      <c r="I5" s="555" t="s">
        <v>1475</v>
      </c>
      <c r="J5" s="554" t="s">
        <v>1810</v>
      </c>
      <c r="K5" s="554" t="s">
        <v>466</v>
      </c>
    </row>
    <row r="6" spans="1:11" ht="15" thickBot="1" x14ac:dyDescent="0.35">
      <c r="A6" s="338" t="s">
        <v>777</v>
      </c>
      <c r="B6" s="338">
        <v>3</v>
      </c>
      <c r="C6" s="556" t="s">
        <v>1475</v>
      </c>
      <c r="D6" s="338" t="s">
        <v>776</v>
      </c>
      <c r="E6" s="338">
        <v>1</v>
      </c>
      <c r="G6" s="338" t="s">
        <v>777</v>
      </c>
      <c r="H6" s="338">
        <v>3</v>
      </c>
      <c r="I6" s="556" t="s">
        <v>1475</v>
      </c>
      <c r="J6" s="338" t="s">
        <v>776</v>
      </c>
      <c r="K6" s="338">
        <v>1</v>
      </c>
    </row>
    <row r="7" spans="1:11" ht="15" thickBot="1" x14ac:dyDescent="0.35">
      <c r="A7" s="338" t="s">
        <v>1476</v>
      </c>
      <c r="B7" s="338">
        <v>2</v>
      </c>
      <c r="C7" s="556" t="s">
        <v>1475</v>
      </c>
      <c r="D7" s="338" t="s">
        <v>1811</v>
      </c>
      <c r="E7" s="338">
        <v>1</v>
      </c>
      <c r="G7" s="338" t="s">
        <v>1476</v>
      </c>
      <c r="H7" s="338">
        <v>2</v>
      </c>
      <c r="I7" s="556" t="s">
        <v>1475</v>
      </c>
      <c r="J7" s="338" t="s">
        <v>1811</v>
      </c>
      <c r="K7" s="338">
        <v>1</v>
      </c>
    </row>
    <row r="8" spans="1:11" ht="15" thickBot="1" x14ac:dyDescent="0.35">
      <c r="A8" s="338" t="s">
        <v>1615</v>
      </c>
      <c r="B8" s="338">
        <v>1</v>
      </c>
      <c r="C8" s="556" t="s">
        <v>1475</v>
      </c>
      <c r="D8" s="338" t="s">
        <v>1812</v>
      </c>
      <c r="E8" s="338">
        <v>5</v>
      </c>
      <c r="G8" s="338" t="s">
        <v>1615</v>
      </c>
      <c r="H8" s="338">
        <v>1</v>
      </c>
      <c r="I8" s="556" t="s">
        <v>1475</v>
      </c>
      <c r="J8" s="338" t="s">
        <v>1812</v>
      </c>
      <c r="K8" s="338">
        <v>5</v>
      </c>
    </row>
    <row r="9" spans="1:11" ht="15" thickBot="1" x14ac:dyDescent="0.35">
      <c r="A9" s="338" t="s">
        <v>1813</v>
      </c>
      <c r="B9" s="338">
        <v>1</v>
      </c>
      <c r="C9" s="556" t="s">
        <v>1475</v>
      </c>
      <c r="D9" s="338" t="s">
        <v>771</v>
      </c>
      <c r="E9" s="338">
        <v>12</v>
      </c>
      <c r="G9" s="338" t="s">
        <v>1813</v>
      </c>
      <c r="H9" s="338">
        <v>1</v>
      </c>
      <c r="I9" s="556" t="s">
        <v>1475</v>
      </c>
      <c r="J9" s="338" t="s">
        <v>771</v>
      </c>
      <c r="K9" s="338">
        <v>12</v>
      </c>
    </row>
    <row r="10" spans="1:11" ht="15" thickBot="1" x14ac:dyDescent="0.35">
      <c r="A10" s="338" t="s">
        <v>1814</v>
      </c>
      <c r="B10" s="338">
        <v>3</v>
      </c>
      <c r="C10" s="556" t="s">
        <v>1475</v>
      </c>
      <c r="D10" s="338" t="s">
        <v>1815</v>
      </c>
      <c r="E10" s="338">
        <v>3</v>
      </c>
      <c r="G10" s="338" t="s">
        <v>1814</v>
      </c>
      <c r="H10" s="338">
        <v>3</v>
      </c>
      <c r="I10" s="556" t="s">
        <v>1475</v>
      </c>
      <c r="J10" s="338" t="s">
        <v>1815</v>
      </c>
      <c r="K10" s="338">
        <v>3</v>
      </c>
    </row>
    <row r="11" spans="1:11" ht="15" thickBot="1" x14ac:dyDescent="0.35">
      <c r="A11" s="338" t="s">
        <v>1629</v>
      </c>
      <c r="B11" s="338">
        <v>7</v>
      </c>
      <c r="C11" s="556" t="s">
        <v>1475</v>
      </c>
      <c r="D11" s="338" t="s">
        <v>774</v>
      </c>
      <c r="E11" s="338">
        <v>6</v>
      </c>
      <c r="G11" s="338" t="s">
        <v>1629</v>
      </c>
      <c r="H11" s="338">
        <v>7</v>
      </c>
      <c r="I11" s="556" t="s">
        <v>1475</v>
      </c>
      <c r="J11" s="338" t="s">
        <v>774</v>
      </c>
      <c r="K11" s="338">
        <v>6</v>
      </c>
    </row>
    <row r="12" spans="1:11" ht="15" thickBot="1" x14ac:dyDescent="0.35">
      <c r="A12" s="338" t="s">
        <v>1816</v>
      </c>
      <c r="B12" s="338">
        <v>1</v>
      </c>
      <c r="C12" s="556" t="s">
        <v>1475</v>
      </c>
      <c r="D12" s="338" t="s">
        <v>1633</v>
      </c>
      <c r="E12" s="338">
        <v>2</v>
      </c>
      <c r="G12" s="338" t="s">
        <v>1816</v>
      </c>
      <c r="H12" s="338">
        <v>1</v>
      </c>
      <c r="I12" s="556" t="s">
        <v>1475</v>
      </c>
      <c r="J12" s="338" t="s">
        <v>1633</v>
      </c>
      <c r="K12" s="338">
        <v>2</v>
      </c>
    </row>
    <row r="13" spans="1:11" ht="15" thickBot="1" x14ac:dyDescent="0.35">
      <c r="A13" s="338" t="s">
        <v>1632</v>
      </c>
      <c r="B13" s="338">
        <v>1</v>
      </c>
      <c r="C13" s="556" t="s">
        <v>1475</v>
      </c>
      <c r="D13" s="338" t="s">
        <v>1539</v>
      </c>
      <c r="E13" s="338">
        <v>1</v>
      </c>
      <c r="G13" s="338" t="s">
        <v>1632</v>
      </c>
      <c r="H13" s="338">
        <v>1</v>
      </c>
      <c r="I13" s="556" t="s">
        <v>1475</v>
      </c>
      <c r="J13" s="338" t="s">
        <v>1539</v>
      </c>
      <c r="K13" s="338">
        <v>1</v>
      </c>
    </row>
    <row r="14" spans="1:11" ht="15" thickBot="1" x14ac:dyDescent="0.35">
      <c r="A14" s="338" t="s">
        <v>773</v>
      </c>
      <c r="B14" s="338">
        <v>2</v>
      </c>
      <c r="C14" s="556" t="s">
        <v>1475</v>
      </c>
      <c r="D14" s="338" t="s">
        <v>1495</v>
      </c>
      <c r="E14" s="338">
        <v>3</v>
      </c>
      <c r="G14" s="338" t="s">
        <v>773</v>
      </c>
      <c r="H14" s="338">
        <v>2</v>
      </c>
      <c r="I14" s="556" t="s">
        <v>1475</v>
      </c>
      <c r="J14" s="338" t="s">
        <v>1495</v>
      </c>
      <c r="K14" s="338">
        <v>3</v>
      </c>
    </row>
    <row r="15" spans="1:11" ht="15" thickBot="1" x14ac:dyDescent="0.35">
      <c r="A15" s="338" t="s">
        <v>772</v>
      </c>
      <c r="B15" s="338">
        <v>26</v>
      </c>
      <c r="C15" s="556" t="s">
        <v>1475</v>
      </c>
      <c r="D15" s="338" t="s">
        <v>1646</v>
      </c>
      <c r="E15" s="338">
        <v>1</v>
      </c>
      <c r="G15" s="338" t="s">
        <v>772</v>
      </c>
      <c r="H15" s="338">
        <v>26</v>
      </c>
      <c r="I15" s="556" t="s">
        <v>1475</v>
      </c>
      <c r="J15" s="338" t="s">
        <v>1646</v>
      </c>
      <c r="K15" s="338">
        <v>1</v>
      </c>
    </row>
    <row r="16" spans="1:11" ht="15" thickBot="1" x14ac:dyDescent="0.35">
      <c r="A16" s="338" t="s">
        <v>1492</v>
      </c>
      <c r="B16" s="338">
        <v>9</v>
      </c>
      <c r="C16" s="556" t="s">
        <v>1475</v>
      </c>
      <c r="D16" s="338" t="s">
        <v>1497</v>
      </c>
      <c r="E16" s="338">
        <v>4</v>
      </c>
      <c r="G16" s="338" t="s">
        <v>1492</v>
      </c>
      <c r="H16" s="338">
        <v>9</v>
      </c>
      <c r="I16" s="556" t="s">
        <v>1475</v>
      </c>
      <c r="J16" s="338" t="s">
        <v>1497</v>
      </c>
      <c r="K16" s="338">
        <v>4</v>
      </c>
    </row>
    <row r="17" spans="1:11" ht="15" thickBot="1" x14ac:dyDescent="0.35">
      <c r="A17" s="338" t="s">
        <v>1494</v>
      </c>
      <c r="B17" s="338">
        <v>3</v>
      </c>
      <c r="C17" s="556" t="s">
        <v>1475</v>
      </c>
      <c r="D17" s="557" t="s">
        <v>466</v>
      </c>
      <c r="E17" s="557">
        <v>99</v>
      </c>
      <c r="G17" s="338" t="s">
        <v>1494</v>
      </c>
      <c r="H17" s="338">
        <v>3</v>
      </c>
      <c r="I17" s="556" t="s">
        <v>1475</v>
      </c>
      <c r="J17" s="557" t="s">
        <v>466</v>
      </c>
      <c r="K17" s="557">
        <v>99</v>
      </c>
    </row>
    <row r="18" spans="1:11" ht="15" thickBot="1" x14ac:dyDescent="0.35">
      <c r="A18" s="338" t="s">
        <v>1479</v>
      </c>
      <c r="B18" s="338">
        <v>1</v>
      </c>
      <c r="C18" s="556" t="s">
        <v>1475</v>
      </c>
      <c r="D18" s="430"/>
      <c r="E18" s="430"/>
      <c r="G18" s="338" t="s">
        <v>1479</v>
      </c>
      <c r="H18" s="338">
        <v>1</v>
      </c>
      <c r="I18" s="556" t="s">
        <v>1475</v>
      </c>
      <c r="J18" s="430"/>
      <c r="K18" s="430"/>
    </row>
    <row r="19" spans="1:11" x14ac:dyDescent="0.3">
      <c r="A19" s="328"/>
      <c r="B19" s="328"/>
      <c r="C19" s="328"/>
      <c r="D19" s="328"/>
      <c r="E19" s="328"/>
    </row>
  </sheetData>
  <pageMargins left="0.7" right="0.7" top="0.75" bottom="0.75" header="0.3" footer="0.3"/>
  <drawing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2EAEC-8891-43C3-8E12-D830EAB555E9}">
  <dimension ref="A1:P6"/>
  <sheetViews>
    <sheetView workbookViewId="0"/>
  </sheetViews>
  <sheetFormatPr baseColWidth="10" defaultColWidth="28.44140625" defaultRowHeight="14.4" x14ac:dyDescent="0.3"/>
  <cols>
    <col min="1" max="1" width="16.44140625" customWidth="1"/>
    <col min="2" max="2" width="9.44140625" customWidth="1"/>
    <col min="3" max="11" width="8.44140625" customWidth="1"/>
    <col min="12" max="16" width="5.44140625" customWidth="1"/>
    <col min="17" max="17" width="5.44140625" bestFit="1" customWidth="1"/>
    <col min="18" max="18" width="8.44140625" customWidth="1"/>
    <col min="19" max="19" width="10.44140625" customWidth="1"/>
  </cols>
  <sheetData>
    <row r="1" spans="1:16" x14ac:dyDescent="0.3">
      <c r="A1" t="s">
        <v>355</v>
      </c>
      <c r="B1">
        <v>164</v>
      </c>
    </row>
    <row r="2" spans="1:16" x14ac:dyDescent="0.3">
      <c r="A2" t="s">
        <v>5</v>
      </c>
      <c r="B2" t="s">
        <v>209</v>
      </c>
    </row>
    <row r="4" spans="1:16" ht="15" thickBot="1" x14ac:dyDescent="0.35"/>
    <row r="5" spans="1:16" ht="15" thickBot="1" x14ac:dyDescent="0.35">
      <c r="A5" s="143" t="s">
        <v>1817</v>
      </c>
      <c r="B5" s="143" t="s">
        <v>422</v>
      </c>
      <c r="C5" s="143" t="s">
        <v>423</v>
      </c>
      <c r="D5" s="143" t="s">
        <v>424</v>
      </c>
      <c r="E5" s="143" t="s">
        <v>425</v>
      </c>
      <c r="F5" s="143" t="s">
        <v>426</v>
      </c>
      <c r="G5" s="143" t="s">
        <v>427</v>
      </c>
      <c r="H5" s="143" t="s">
        <v>428</v>
      </c>
      <c r="I5" s="143" t="s">
        <v>429</v>
      </c>
      <c r="J5" s="143" t="s">
        <v>430</v>
      </c>
      <c r="K5" s="143" t="s">
        <v>358</v>
      </c>
      <c r="L5" s="143" t="s">
        <v>359</v>
      </c>
      <c r="M5" s="143" t="s">
        <v>360</v>
      </c>
      <c r="N5" s="143" t="s">
        <v>361</v>
      </c>
      <c r="O5" s="143" t="s">
        <v>362</v>
      </c>
      <c r="P5" s="143" t="s">
        <v>466</v>
      </c>
    </row>
    <row r="6" spans="1:16" ht="15" thickBot="1" x14ac:dyDescent="0.35">
      <c r="A6" s="71" t="s">
        <v>1818</v>
      </c>
      <c r="B6" s="75">
        <v>558</v>
      </c>
      <c r="C6" s="75">
        <v>300</v>
      </c>
      <c r="D6" s="75">
        <v>180</v>
      </c>
      <c r="E6" s="75">
        <v>201</v>
      </c>
      <c r="F6" s="75">
        <v>183</v>
      </c>
      <c r="G6" s="75">
        <v>200</v>
      </c>
      <c r="H6" s="75">
        <v>216</v>
      </c>
      <c r="I6" s="75">
        <v>168</v>
      </c>
      <c r="J6" s="75">
        <v>114</v>
      </c>
      <c r="K6" s="75">
        <v>279</v>
      </c>
      <c r="L6" s="75">
        <v>299</v>
      </c>
      <c r="M6" s="75">
        <v>198</v>
      </c>
      <c r="N6" s="75">
        <v>249</v>
      </c>
      <c r="O6" s="75">
        <v>266</v>
      </c>
      <c r="P6" s="75">
        <f>B6+C6+D6+E6+F6+G6+H6+I6+J6+K6+L6+M6+N6+O6</f>
        <v>3411</v>
      </c>
    </row>
  </sheetData>
  <pageMargins left="0.7" right="0.7" top="0.75" bottom="0.75" header="0.3" footer="0.3"/>
  <drawing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84770-58B2-49D9-8188-2DA97C36F4D6}">
  <dimension ref="A1:P8"/>
  <sheetViews>
    <sheetView workbookViewId="0"/>
  </sheetViews>
  <sheetFormatPr baseColWidth="10" defaultColWidth="28.44140625" defaultRowHeight="14.4" x14ac:dyDescent="0.3"/>
  <cols>
    <col min="1" max="1" width="16.44140625" customWidth="1"/>
    <col min="2" max="2" width="9.44140625" customWidth="1"/>
    <col min="3" max="15" width="8.44140625" customWidth="1"/>
    <col min="16" max="16" width="9.44140625" customWidth="1"/>
    <col min="17" max="17" width="5.44140625" customWidth="1"/>
    <col min="18" max="18" width="5.44140625" bestFit="1" customWidth="1"/>
    <col min="19" max="19" width="8.44140625" customWidth="1"/>
    <col min="20" max="20" width="10.44140625" customWidth="1"/>
  </cols>
  <sheetData>
    <row r="1" spans="1:16" x14ac:dyDescent="0.3">
      <c r="A1" t="s">
        <v>355</v>
      </c>
      <c r="B1">
        <v>165</v>
      </c>
    </row>
    <row r="2" spans="1:16" x14ac:dyDescent="0.3">
      <c r="A2" t="s">
        <v>5</v>
      </c>
      <c r="B2" t="s">
        <v>210</v>
      </c>
    </row>
    <row r="4" spans="1:16" ht="24.6" thickBot="1" x14ac:dyDescent="0.35">
      <c r="A4" s="187" t="s">
        <v>1819</v>
      </c>
      <c r="B4" s="187" t="s">
        <v>1820</v>
      </c>
      <c r="C4" s="187" t="s">
        <v>423</v>
      </c>
      <c r="D4" s="187" t="s">
        <v>424</v>
      </c>
      <c r="E4" s="187" t="s">
        <v>425</v>
      </c>
      <c r="F4" s="187" t="s">
        <v>426</v>
      </c>
      <c r="G4" s="187" t="s">
        <v>427</v>
      </c>
      <c r="H4" s="187" t="s">
        <v>428</v>
      </c>
      <c r="I4" s="187" t="s">
        <v>429</v>
      </c>
      <c r="J4" s="187" t="s">
        <v>430</v>
      </c>
      <c r="K4" s="187" t="s">
        <v>358</v>
      </c>
      <c r="L4" s="187" t="s">
        <v>359</v>
      </c>
      <c r="M4" s="187" t="s">
        <v>360</v>
      </c>
      <c r="N4" s="187" t="s">
        <v>361</v>
      </c>
      <c r="O4" s="187" t="s">
        <v>362</v>
      </c>
      <c r="P4" s="187" t="s">
        <v>536</v>
      </c>
    </row>
    <row r="5" spans="1:16" x14ac:dyDescent="0.3">
      <c r="A5" s="188" t="s">
        <v>1821</v>
      </c>
      <c r="B5" s="188">
        <v>0</v>
      </c>
      <c r="C5" s="188">
        <v>111</v>
      </c>
      <c r="D5" s="188">
        <v>88</v>
      </c>
      <c r="E5" s="188">
        <v>73</v>
      </c>
      <c r="F5" s="188">
        <v>33</v>
      </c>
      <c r="G5" s="188">
        <v>51</v>
      </c>
      <c r="H5" s="188">
        <v>38</v>
      </c>
      <c r="I5" s="188">
        <v>50</v>
      </c>
      <c r="J5" s="188">
        <v>29</v>
      </c>
      <c r="K5" s="188">
        <v>34</v>
      </c>
      <c r="L5" s="188">
        <v>3</v>
      </c>
      <c r="M5" s="188">
        <v>5</v>
      </c>
      <c r="N5" s="188">
        <v>0</v>
      </c>
      <c r="O5" s="188">
        <v>0</v>
      </c>
      <c r="P5" s="189">
        <f>SUM(B5:O5)</f>
        <v>515</v>
      </c>
    </row>
    <row r="6" spans="1:16" x14ac:dyDescent="0.3">
      <c r="A6" s="190" t="s">
        <v>1822</v>
      </c>
      <c r="B6" s="190">
        <v>957</v>
      </c>
      <c r="C6" s="191">
        <v>1228</v>
      </c>
      <c r="D6" s="190">
        <v>633</v>
      </c>
      <c r="E6" s="190">
        <v>505</v>
      </c>
      <c r="F6" s="190">
        <v>414</v>
      </c>
      <c r="G6" s="190">
        <v>846</v>
      </c>
      <c r="H6" s="190">
        <v>755</v>
      </c>
      <c r="I6" s="190">
        <v>1063</v>
      </c>
      <c r="J6" s="190">
        <v>1103</v>
      </c>
      <c r="K6" s="190">
        <v>1368</v>
      </c>
      <c r="L6" s="190">
        <v>1006</v>
      </c>
      <c r="M6" s="190">
        <v>1205</v>
      </c>
      <c r="N6" s="190">
        <v>761</v>
      </c>
      <c r="O6" s="190">
        <v>842</v>
      </c>
      <c r="P6" s="189">
        <f t="shared" ref="P6:P7" si="0">SUM(B6:O6)</f>
        <v>12686</v>
      </c>
    </row>
    <row r="7" spans="1:16" x14ac:dyDescent="0.3">
      <c r="A7" s="190" t="s">
        <v>1823</v>
      </c>
      <c r="B7" s="190">
        <v>0</v>
      </c>
      <c r="C7" s="191">
        <v>0</v>
      </c>
      <c r="D7" s="190">
        <v>0</v>
      </c>
      <c r="E7" s="190">
        <v>0</v>
      </c>
      <c r="F7" s="190">
        <v>0</v>
      </c>
      <c r="G7" s="190">
        <v>0</v>
      </c>
      <c r="H7" s="190">
        <v>0</v>
      </c>
      <c r="I7" s="190">
        <v>0</v>
      </c>
      <c r="J7" s="190">
        <v>0</v>
      </c>
      <c r="K7" s="190">
        <v>0</v>
      </c>
      <c r="L7" s="190">
        <v>3</v>
      </c>
      <c r="M7" s="190">
        <v>2</v>
      </c>
      <c r="N7" s="190">
        <v>1</v>
      </c>
      <c r="O7" s="190">
        <v>0</v>
      </c>
      <c r="P7" s="189">
        <f t="shared" si="0"/>
        <v>6</v>
      </c>
    </row>
    <row r="8" spans="1:16" x14ac:dyDescent="0.3">
      <c r="A8" s="192" t="s">
        <v>536</v>
      </c>
      <c r="B8" s="192">
        <v>957</v>
      </c>
      <c r="C8" s="193">
        <v>1239</v>
      </c>
      <c r="D8" s="192">
        <v>721</v>
      </c>
      <c r="E8" s="192">
        <v>578</v>
      </c>
      <c r="F8" s="192">
        <v>447</v>
      </c>
      <c r="G8" s="192">
        <v>897</v>
      </c>
      <c r="H8" s="192">
        <v>793</v>
      </c>
      <c r="I8" s="192">
        <v>1113</v>
      </c>
      <c r="J8" s="192">
        <v>1132</v>
      </c>
      <c r="K8" s="192">
        <v>1402</v>
      </c>
      <c r="L8" s="192">
        <v>1269</v>
      </c>
      <c r="M8" s="192">
        <f>+M5+M6+M7</f>
        <v>1212</v>
      </c>
      <c r="N8" s="192">
        <v>762</v>
      </c>
      <c r="O8" s="192">
        <v>842</v>
      </c>
      <c r="P8" s="189">
        <f>SUM(B8:O8)</f>
        <v>13364</v>
      </c>
    </row>
  </sheetData>
  <pageMargins left="0.7" right="0.7" top="0.75" bottom="0.75" header="0.3" footer="0.3"/>
  <drawing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A847D-D6C5-4FC2-ABD2-2F327C293222}">
  <dimension ref="A1:P10"/>
  <sheetViews>
    <sheetView workbookViewId="0"/>
  </sheetViews>
  <sheetFormatPr baseColWidth="10" defaultColWidth="28.44140625" defaultRowHeight="14.4" x14ac:dyDescent="0.3"/>
  <cols>
    <col min="1" max="1" width="16.44140625" customWidth="1"/>
    <col min="2" max="2" width="9.44140625" customWidth="1"/>
    <col min="3" max="16" width="8.44140625" customWidth="1"/>
    <col min="17" max="17" width="9" customWidth="1"/>
    <col min="18" max="18" width="5.44140625" customWidth="1"/>
    <col min="19" max="19" width="10.44140625" customWidth="1"/>
  </cols>
  <sheetData>
    <row r="1" spans="1:16" x14ac:dyDescent="0.3">
      <c r="A1" t="s">
        <v>355</v>
      </c>
      <c r="B1">
        <v>166</v>
      </c>
    </row>
    <row r="2" spans="1:16" x14ac:dyDescent="0.3">
      <c r="A2" t="s">
        <v>5</v>
      </c>
      <c r="B2" t="s">
        <v>212</v>
      </c>
    </row>
    <row r="4" spans="1:16" ht="24.6" thickBot="1" x14ac:dyDescent="0.35">
      <c r="A4" s="187" t="s">
        <v>1819</v>
      </c>
      <c r="B4" s="187" t="s">
        <v>422</v>
      </c>
      <c r="C4" s="187" t="s">
        <v>423</v>
      </c>
      <c r="D4" s="187" t="s">
        <v>424</v>
      </c>
      <c r="E4" s="187" t="s">
        <v>425</v>
      </c>
      <c r="F4" s="187" t="s">
        <v>426</v>
      </c>
      <c r="G4" s="187" t="s">
        <v>427</v>
      </c>
      <c r="H4" s="187" t="s">
        <v>428</v>
      </c>
      <c r="I4" s="187" t="s">
        <v>429</v>
      </c>
      <c r="J4" s="187" t="s">
        <v>430</v>
      </c>
      <c r="K4" s="187" t="s">
        <v>358</v>
      </c>
      <c r="L4" s="187" t="s">
        <v>359</v>
      </c>
      <c r="M4" s="187" t="s">
        <v>360</v>
      </c>
      <c r="N4" s="187" t="s">
        <v>361</v>
      </c>
      <c r="O4" s="187" t="s">
        <v>362</v>
      </c>
      <c r="P4" s="187" t="s">
        <v>536</v>
      </c>
    </row>
    <row r="5" spans="1:16" x14ac:dyDescent="0.3">
      <c r="A5" s="188" t="s">
        <v>1821</v>
      </c>
      <c r="B5" s="188">
        <v>0</v>
      </c>
      <c r="C5" s="188">
        <v>491</v>
      </c>
      <c r="D5" s="188">
        <v>295</v>
      </c>
      <c r="E5" s="188">
        <v>369</v>
      </c>
      <c r="F5" s="188">
        <v>254</v>
      </c>
      <c r="G5" s="188">
        <v>279</v>
      </c>
      <c r="H5" s="188">
        <v>185</v>
      </c>
      <c r="I5" s="188">
        <v>182</v>
      </c>
      <c r="J5" s="188">
        <v>162</v>
      </c>
      <c r="K5" s="188">
        <v>177</v>
      </c>
      <c r="L5" s="188">
        <v>53</v>
      </c>
      <c r="M5" s="188">
        <v>60</v>
      </c>
      <c r="N5" s="188">
        <v>5</v>
      </c>
      <c r="O5" s="188">
        <v>5</v>
      </c>
      <c r="P5" s="194">
        <f>SUM(B5:O5)</f>
        <v>2517</v>
      </c>
    </row>
    <row r="6" spans="1:16" x14ac:dyDescent="0.3">
      <c r="A6" s="190" t="s">
        <v>1824</v>
      </c>
      <c r="B6" s="190">
        <v>0</v>
      </c>
      <c r="C6" s="190">
        <v>1</v>
      </c>
      <c r="D6" s="190">
        <v>0</v>
      </c>
      <c r="E6" s="190">
        <v>0</v>
      </c>
      <c r="F6" s="190">
        <v>0</v>
      </c>
      <c r="G6" s="190">
        <v>2</v>
      </c>
      <c r="H6" s="190">
        <v>4</v>
      </c>
      <c r="I6" s="190">
        <v>4</v>
      </c>
      <c r="J6" s="190">
        <v>2</v>
      </c>
      <c r="K6" s="190">
        <v>4</v>
      </c>
      <c r="L6" s="190">
        <v>9</v>
      </c>
      <c r="M6" s="190">
        <v>10</v>
      </c>
      <c r="N6" s="190">
        <v>5</v>
      </c>
      <c r="O6" s="190">
        <v>4</v>
      </c>
      <c r="P6" s="194">
        <f t="shared" ref="P6:P8" si="0">SUM(B6:O6)</f>
        <v>45</v>
      </c>
    </row>
    <row r="7" spans="1:16" x14ac:dyDescent="0.3">
      <c r="A7" s="190" t="s">
        <v>1822</v>
      </c>
      <c r="B7" s="190">
        <v>2246</v>
      </c>
      <c r="C7" s="191">
        <v>2088</v>
      </c>
      <c r="D7" s="191">
        <v>1177</v>
      </c>
      <c r="E7" s="191">
        <v>1198</v>
      </c>
      <c r="F7" s="191">
        <v>1526</v>
      </c>
      <c r="G7" s="191">
        <v>2587</v>
      </c>
      <c r="H7" s="191">
        <v>1975</v>
      </c>
      <c r="I7" s="191">
        <v>2317</v>
      </c>
      <c r="J7" s="191">
        <v>2561</v>
      </c>
      <c r="K7" s="191">
        <v>2913</v>
      </c>
      <c r="L7" s="191">
        <v>3110</v>
      </c>
      <c r="M7" s="191">
        <v>3304</v>
      </c>
      <c r="N7" s="190">
        <v>1955</v>
      </c>
      <c r="O7" s="190">
        <v>1939</v>
      </c>
      <c r="P7" s="194">
        <f t="shared" si="0"/>
        <v>30896</v>
      </c>
    </row>
    <row r="8" spans="1:16" x14ac:dyDescent="0.3">
      <c r="A8" s="192" t="s">
        <v>536</v>
      </c>
      <c r="B8" s="193">
        <v>2246</v>
      </c>
      <c r="C8" s="193">
        <v>2580</v>
      </c>
      <c r="D8" s="193">
        <v>1472</v>
      </c>
      <c r="E8" s="193">
        <v>1567</v>
      </c>
      <c r="F8" s="193">
        <v>1780</v>
      </c>
      <c r="G8" s="193">
        <v>2868</v>
      </c>
      <c r="H8" s="193">
        <v>2164</v>
      </c>
      <c r="I8" s="193">
        <v>2503</v>
      </c>
      <c r="J8" s="193">
        <v>2725</v>
      </c>
      <c r="K8" s="193">
        <v>3094</v>
      </c>
      <c r="L8" s="193">
        <v>3392</v>
      </c>
      <c r="M8" s="193">
        <f>+M5+M6+M7</f>
        <v>3374</v>
      </c>
      <c r="N8" s="193">
        <v>1965</v>
      </c>
      <c r="O8" s="193">
        <f>SUM(O5:O7)</f>
        <v>1948</v>
      </c>
      <c r="P8" s="194">
        <f t="shared" si="0"/>
        <v>33678</v>
      </c>
    </row>
    <row r="9" spans="1:16" x14ac:dyDescent="0.3">
      <c r="A9" s="404"/>
      <c r="B9" s="274"/>
      <c r="C9" s="274"/>
      <c r="D9" s="274"/>
      <c r="E9" s="274"/>
      <c r="F9" s="274"/>
      <c r="G9" s="274"/>
      <c r="H9" s="274"/>
      <c r="I9" s="274"/>
      <c r="J9" s="274"/>
      <c r="K9" s="274"/>
      <c r="L9" s="274"/>
      <c r="M9" s="274"/>
      <c r="N9" s="274"/>
      <c r="O9" s="274"/>
      <c r="P9" s="274"/>
    </row>
    <row r="10" spans="1:16" x14ac:dyDescent="0.3">
      <c r="A10" s="404"/>
      <c r="B10" s="274"/>
      <c r="C10" s="274"/>
      <c r="D10" s="274"/>
      <c r="E10" s="274"/>
      <c r="F10" s="274"/>
      <c r="G10" s="274"/>
      <c r="H10" s="274"/>
      <c r="I10" s="274"/>
      <c r="J10" s="274"/>
      <c r="K10" s="274"/>
      <c r="L10" s="274"/>
      <c r="M10" s="274"/>
      <c r="N10" s="274"/>
      <c r="O10" s="274"/>
      <c r="P10" s="274"/>
    </row>
  </sheetData>
  <pageMargins left="0.7" right="0.7" top="0.75" bottom="0.75" header="0.3" footer="0.3"/>
  <drawing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E1BD0-5B7C-4104-BD0C-85CADC0E2384}">
  <dimension ref="A1:K7"/>
  <sheetViews>
    <sheetView workbookViewId="0">
      <selection activeCell="H11" sqref="H11"/>
    </sheetView>
  </sheetViews>
  <sheetFormatPr baseColWidth="10" defaultColWidth="28.44140625" defaultRowHeight="14.4" x14ac:dyDescent="0.3"/>
  <cols>
    <col min="1" max="1" width="16.44140625" customWidth="1"/>
    <col min="2" max="2" width="9.44140625" customWidth="1"/>
    <col min="3" max="11" width="8.44140625" customWidth="1"/>
  </cols>
  <sheetData>
    <row r="1" spans="1:11" x14ac:dyDescent="0.3">
      <c r="A1" t="s">
        <v>355</v>
      </c>
      <c r="B1">
        <v>167</v>
      </c>
    </row>
    <row r="2" spans="1:11" x14ac:dyDescent="0.3">
      <c r="A2" t="s">
        <v>5</v>
      </c>
      <c r="B2" t="s">
        <v>213</v>
      </c>
    </row>
    <row r="4" spans="1:11" ht="24" x14ac:dyDescent="0.3">
      <c r="A4" s="143" t="s">
        <v>1825</v>
      </c>
      <c r="B4" s="143">
        <v>2019</v>
      </c>
      <c r="C4" s="143">
        <v>2020</v>
      </c>
      <c r="D4" s="143">
        <v>2021</v>
      </c>
      <c r="E4" s="143">
        <v>2022</v>
      </c>
      <c r="F4" s="143">
        <v>2023</v>
      </c>
      <c r="G4" s="143">
        <v>2024</v>
      </c>
      <c r="H4" s="143" t="s">
        <v>360</v>
      </c>
      <c r="I4" s="143" t="s">
        <v>361</v>
      </c>
      <c r="J4" s="143" t="s">
        <v>362</v>
      </c>
      <c r="K4" s="143" t="s">
        <v>536</v>
      </c>
    </row>
    <row r="5" spans="1:11" x14ac:dyDescent="0.3">
      <c r="A5" s="78" t="s">
        <v>1826</v>
      </c>
      <c r="B5" s="74">
        <v>1836</v>
      </c>
      <c r="C5" s="74">
        <v>5875</v>
      </c>
      <c r="D5" s="74">
        <v>7485</v>
      </c>
      <c r="E5" s="74">
        <v>2452</v>
      </c>
      <c r="F5" s="74">
        <v>2790</v>
      </c>
      <c r="G5" s="74">
        <v>30</v>
      </c>
      <c r="H5" s="74">
        <v>0</v>
      </c>
      <c r="I5" s="74">
        <v>927</v>
      </c>
      <c r="J5" s="74">
        <v>0</v>
      </c>
      <c r="K5" s="76">
        <f>SUM(B5:J5)</f>
        <v>21395</v>
      </c>
    </row>
    <row r="6" spans="1:11" x14ac:dyDescent="0.3">
      <c r="A6" s="78" t="s">
        <v>1827</v>
      </c>
      <c r="B6" s="74">
        <v>5319</v>
      </c>
      <c r="C6" s="74">
        <v>20178</v>
      </c>
      <c r="D6" s="74">
        <v>21957</v>
      </c>
      <c r="E6" s="74">
        <v>22756</v>
      </c>
      <c r="F6" s="74">
        <v>9911</v>
      </c>
      <c r="G6" s="74">
        <v>415</v>
      </c>
      <c r="H6" s="74">
        <v>893</v>
      </c>
      <c r="I6" s="74">
        <v>1239</v>
      </c>
      <c r="J6" s="74">
        <v>1646</v>
      </c>
      <c r="K6" s="76">
        <f t="shared" ref="K6:K7" si="0">SUM(B6:J6)</f>
        <v>84314</v>
      </c>
    </row>
    <row r="7" spans="1:11" x14ac:dyDescent="0.3">
      <c r="A7" s="78" t="s">
        <v>536</v>
      </c>
      <c r="B7" s="76">
        <v>7155</v>
      </c>
      <c r="C7" s="76">
        <v>26053</v>
      </c>
      <c r="D7" s="76">
        <v>29442</v>
      </c>
      <c r="E7" s="76">
        <v>25208</v>
      </c>
      <c r="F7" s="76">
        <v>12701</v>
      </c>
      <c r="G7" s="76">
        <v>445</v>
      </c>
      <c r="H7" s="76">
        <v>893</v>
      </c>
      <c r="I7" s="76">
        <f>SUM(I5:I6)</f>
        <v>2166</v>
      </c>
      <c r="J7" s="76">
        <f>SUM(J5:J6)</f>
        <v>1646</v>
      </c>
      <c r="K7" s="76">
        <f t="shared" si="0"/>
        <v>105709</v>
      </c>
    </row>
  </sheetData>
  <pageMargins left="0.7" right="0.7" top="0.75" bottom="0.75" header="0.3" footer="0.3"/>
  <drawing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08C8-6AE9-4D9F-A120-27862BE197CA}">
  <dimension ref="A1:P14"/>
  <sheetViews>
    <sheetView zoomScale="90" workbookViewId="0">
      <selection activeCell="J21" sqref="J21"/>
    </sheetView>
  </sheetViews>
  <sheetFormatPr baseColWidth="10" defaultColWidth="28.44140625" defaultRowHeight="15" customHeight="1" x14ac:dyDescent="0.3"/>
  <cols>
    <col min="1" max="1" width="16.44140625" customWidth="1"/>
    <col min="2" max="2" width="9.44140625" customWidth="1"/>
    <col min="3" max="16" width="8.44140625" customWidth="1"/>
  </cols>
  <sheetData>
    <row r="1" spans="1:16" ht="14.4" x14ac:dyDescent="0.3">
      <c r="A1" t="s">
        <v>355</v>
      </c>
      <c r="B1">
        <v>168</v>
      </c>
    </row>
    <row r="2" spans="1:16" ht="14.4" x14ac:dyDescent="0.3">
      <c r="A2" t="s">
        <v>5</v>
      </c>
      <c r="B2" t="s">
        <v>214</v>
      </c>
    </row>
    <row r="3" spans="1:16" ht="14.4" x14ac:dyDescent="0.3"/>
    <row r="4" spans="1:16" ht="14.4" x14ac:dyDescent="0.3">
      <c r="A4" s="143" t="s">
        <v>1828</v>
      </c>
      <c r="B4" s="143" t="s">
        <v>422</v>
      </c>
      <c r="C4" s="143" t="s">
        <v>423</v>
      </c>
      <c r="D4" s="143" t="s">
        <v>424</v>
      </c>
      <c r="E4" s="143" t="s">
        <v>425</v>
      </c>
      <c r="F4" s="143" t="s">
        <v>426</v>
      </c>
      <c r="G4" s="143" t="s">
        <v>427</v>
      </c>
      <c r="H4" s="143" t="s">
        <v>428</v>
      </c>
      <c r="I4" s="143" t="s">
        <v>429</v>
      </c>
      <c r="J4" s="143" t="s">
        <v>430</v>
      </c>
      <c r="K4" s="143" t="s">
        <v>358</v>
      </c>
      <c r="L4" s="143" t="s">
        <v>359</v>
      </c>
      <c r="M4" s="143" t="s">
        <v>360</v>
      </c>
      <c r="N4" s="143" t="s">
        <v>361</v>
      </c>
      <c r="O4" s="143" t="s">
        <v>362</v>
      </c>
      <c r="P4" s="143" t="s">
        <v>1829</v>
      </c>
    </row>
    <row r="5" spans="1:16" ht="14.4" x14ac:dyDescent="0.3">
      <c r="A5" s="82" t="s">
        <v>1830</v>
      </c>
      <c r="B5" s="82">
        <v>22</v>
      </c>
      <c r="C5" s="82">
        <v>151</v>
      </c>
      <c r="D5" s="82">
        <v>398</v>
      </c>
      <c r="E5" s="82">
        <v>35</v>
      </c>
      <c r="F5" s="82">
        <v>47</v>
      </c>
      <c r="G5" s="82">
        <v>0</v>
      </c>
      <c r="H5" s="82">
        <v>48</v>
      </c>
      <c r="I5" s="82">
        <v>0</v>
      </c>
      <c r="J5" s="82">
        <v>89</v>
      </c>
      <c r="K5" s="82">
        <v>129</v>
      </c>
      <c r="L5" s="82">
        <v>65</v>
      </c>
      <c r="M5" s="82">
        <v>6</v>
      </c>
      <c r="N5" s="82">
        <v>13</v>
      </c>
      <c r="O5" s="82">
        <v>71</v>
      </c>
      <c r="P5" s="195">
        <f>+SUM(B5:M5)</f>
        <v>990</v>
      </c>
    </row>
    <row r="6" spans="1:16" ht="22.8" x14ac:dyDescent="0.3">
      <c r="A6" s="82" t="s">
        <v>1831</v>
      </c>
      <c r="B6" s="82">
        <v>664</v>
      </c>
      <c r="C6" s="82">
        <v>134</v>
      </c>
      <c r="D6" s="82">
        <v>115</v>
      </c>
      <c r="E6" s="82">
        <v>497</v>
      </c>
      <c r="F6" s="82">
        <v>142</v>
      </c>
      <c r="G6" s="82">
        <v>727</v>
      </c>
      <c r="H6" s="82">
        <v>262</v>
      </c>
      <c r="I6" s="82">
        <v>340</v>
      </c>
      <c r="J6" s="82">
        <v>285</v>
      </c>
      <c r="K6" s="82">
        <v>851</v>
      </c>
      <c r="L6" s="82">
        <v>493</v>
      </c>
      <c r="M6" s="82">
        <v>248</v>
      </c>
      <c r="N6" s="82">
        <v>406</v>
      </c>
      <c r="O6" s="82">
        <v>913</v>
      </c>
      <c r="P6" s="195">
        <f t="shared" ref="P6:P14" si="0">+SUM(B6:M6)</f>
        <v>4758</v>
      </c>
    </row>
    <row r="7" spans="1:16" ht="22.8" x14ac:dyDescent="0.3">
      <c r="A7" s="82" t="s">
        <v>1832</v>
      </c>
      <c r="B7" s="82">
        <v>99</v>
      </c>
      <c r="C7" s="82">
        <v>51</v>
      </c>
      <c r="D7" s="82">
        <v>0</v>
      </c>
      <c r="E7" s="82">
        <v>18</v>
      </c>
      <c r="F7" s="82">
        <v>12</v>
      </c>
      <c r="G7" s="82">
        <v>0</v>
      </c>
      <c r="H7" s="82">
        <v>260</v>
      </c>
      <c r="I7" s="82">
        <v>0</v>
      </c>
      <c r="J7" s="82">
        <v>88</v>
      </c>
      <c r="K7" s="82">
        <v>5</v>
      </c>
      <c r="L7" s="82">
        <v>168</v>
      </c>
      <c r="M7" s="82">
        <v>157</v>
      </c>
      <c r="N7" s="82">
        <v>177</v>
      </c>
      <c r="O7" s="82">
        <v>146</v>
      </c>
      <c r="P7" s="195">
        <f t="shared" si="0"/>
        <v>858</v>
      </c>
    </row>
    <row r="8" spans="1:16" ht="14.4" x14ac:dyDescent="0.3">
      <c r="A8" s="82" t="s">
        <v>1833</v>
      </c>
      <c r="B8" s="82">
        <v>76</v>
      </c>
      <c r="C8" s="82">
        <v>0</v>
      </c>
      <c r="D8" s="82">
        <v>21</v>
      </c>
      <c r="E8" s="82">
        <v>9</v>
      </c>
      <c r="F8" s="82">
        <v>105</v>
      </c>
      <c r="G8" s="82">
        <v>14</v>
      </c>
      <c r="H8" s="82">
        <v>11</v>
      </c>
      <c r="I8" s="82">
        <v>142</v>
      </c>
      <c r="J8" s="82">
        <v>47</v>
      </c>
      <c r="K8" s="82">
        <v>51</v>
      </c>
      <c r="L8" s="82">
        <v>49</v>
      </c>
      <c r="M8" s="82">
        <v>48</v>
      </c>
      <c r="N8" s="82">
        <v>109</v>
      </c>
      <c r="O8" s="82">
        <v>109</v>
      </c>
      <c r="P8" s="195">
        <f t="shared" si="0"/>
        <v>573</v>
      </c>
    </row>
    <row r="9" spans="1:16" ht="22.8" x14ac:dyDescent="0.3">
      <c r="A9" s="82" t="s">
        <v>1834</v>
      </c>
      <c r="B9" s="82">
        <v>0</v>
      </c>
      <c r="C9" s="82">
        <v>34</v>
      </c>
      <c r="D9" s="82">
        <v>611</v>
      </c>
      <c r="E9" s="84">
        <v>58630</v>
      </c>
      <c r="F9" s="84">
        <v>8976</v>
      </c>
      <c r="G9" s="84">
        <v>3773</v>
      </c>
      <c r="H9" s="84">
        <v>2172</v>
      </c>
      <c r="I9" s="84">
        <v>5216</v>
      </c>
      <c r="J9" s="82">
        <v>0</v>
      </c>
      <c r="K9" s="82">
        <v>0</v>
      </c>
      <c r="L9" s="82">
        <v>0</v>
      </c>
      <c r="M9" s="82">
        <v>0</v>
      </c>
      <c r="N9" s="82">
        <v>0</v>
      </c>
      <c r="O9" s="82">
        <v>0</v>
      </c>
      <c r="P9" s="195">
        <f t="shared" si="0"/>
        <v>79412</v>
      </c>
    </row>
    <row r="10" spans="1:16" ht="22.8" x14ac:dyDescent="0.3">
      <c r="A10" s="82" t="s">
        <v>1835</v>
      </c>
      <c r="B10" s="82">
        <v>0</v>
      </c>
      <c r="C10" s="82">
        <v>856</v>
      </c>
      <c r="D10" s="82">
        <v>0</v>
      </c>
      <c r="E10" s="82">
        <v>304</v>
      </c>
      <c r="F10" s="82">
        <v>0</v>
      </c>
      <c r="G10" s="82">
        <v>223</v>
      </c>
      <c r="H10" s="82">
        <v>0</v>
      </c>
      <c r="I10" s="82">
        <v>162</v>
      </c>
      <c r="J10" s="82">
        <v>926</v>
      </c>
      <c r="K10" s="82">
        <v>105</v>
      </c>
      <c r="L10" s="82">
        <v>152</v>
      </c>
      <c r="M10" s="82">
        <v>386</v>
      </c>
      <c r="N10" s="82">
        <v>594</v>
      </c>
      <c r="O10" s="82">
        <v>1098</v>
      </c>
      <c r="P10" s="195">
        <f t="shared" si="0"/>
        <v>3114</v>
      </c>
    </row>
    <row r="11" spans="1:16" ht="14.4" x14ac:dyDescent="0.3">
      <c r="A11" s="82" t="s">
        <v>1836</v>
      </c>
      <c r="B11" s="82">
        <v>0</v>
      </c>
      <c r="C11" s="82">
        <v>0</v>
      </c>
      <c r="D11" s="82">
        <v>0</v>
      </c>
      <c r="E11" s="82">
        <v>0</v>
      </c>
      <c r="F11" s="82">
        <v>0</v>
      </c>
      <c r="G11" s="82">
        <v>41</v>
      </c>
      <c r="H11" s="82">
        <v>0</v>
      </c>
      <c r="I11" s="82">
        <v>0</v>
      </c>
      <c r="J11" s="82">
        <v>39</v>
      </c>
      <c r="K11" s="82">
        <v>1589</v>
      </c>
      <c r="L11" s="82">
        <v>1135</v>
      </c>
      <c r="M11" s="82">
        <v>41</v>
      </c>
      <c r="N11" s="82">
        <v>0</v>
      </c>
      <c r="O11" s="82">
        <v>92</v>
      </c>
      <c r="P11" s="195">
        <f t="shared" si="0"/>
        <v>2845</v>
      </c>
    </row>
    <row r="12" spans="1:16" ht="14.4" x14ac:dyDescent="0.3">
      <c r="A12" s="82" t="s">
        <v>1837</v>
      </c>
      <c r="B12" s="82">
        <v>934</v>
      </c>
      <c r="C12" s="82">
        <v>0</v>
      </c>
      <c r="D12" s="82">
        <v>603</v>
      </c>
      <c r="E12" s="84">
        <v>1175</v>
      </c>
      <c r="F12" s="82">
        <v>661</v>
      </c>
      <c r="G12" s="82">
        <v>345</v>
      </c>
      <c r="H12" s="82">
        <v>425</v>
      </c>
      <c r="I12" s="82">
        <v>122</v>
      </c>
      <c r="J12" s="82">
        <v>957</v>
      </c>
      <c r="K12" s="82">
        <v>13</v>
      </c>
      <c r="L12" s="82">
        <v>385</v>
      </c>
      <c r="M12" s="82">
        <v>352</v>
      </c>
      <c r="N12" s="82">
        <v>342</v>
      </c>
      <c r="O12" s="82">
        <v>830</v>
      </c>
      <c r="P12" s="195">
        <f t="shared" si="0"/>
        <v>5972</v>
      </c>
    </row>
    <row r="13" spans="1:16" ht="22.8" x14ac:dyDescent="0.3">
      <c r="A13" s="82" t="s">
        <v>1838</v>
      </c>
      <c r="B13" s="82">
        <v>99</v>
      </c>
      <c r="C13" s="82">
        <v>571</v>
      </c>
      <c r="D13" s="82">
        <v>13</v>
      </c>
      <c r="E13" s="82">
        <v>9</v>
      </c>
      <c r="F13" s="82">
        <v>12</v>
      </c>
      <c r="G13" s="82">
        <v>49</v>
      </c>
      <c r="H13" s="82">
        <v>15</v>
      </c>
      <c r="I13" s="82">
        <v>142</v>
      </c>
      <c r="J13" s="82">
        <v>57</v>
      </c>
      <c r="K13" s="82">
        <v>169</v>
      </c>
      <c r="L13" s="82">
        <v>76</v>
      </c>
      <c r="M13" s="82">
        <v>95</v>
      </c>
      <c r="N13" s="82">
        <v>97</v>
      </c>
      <c r="O13" s="82">
        <v>228</v>
      </c>
      <c r="P13" s="195">
        <f t="shared" si="0"/>
        <v>1307</v>
      </c>
    </row>
    <row r="14" spans="1:16" ht="14.4" x14ac:dyDescent="0.3">
      <c r="A14" s="195" t="s">
        <v>505</v>
      </c>
      <c r="B14" s="196">
        <v>1894</v>
      </c>
      <c r="C14" s="196">
        <v>1797</v>
      </c>
      <c r="D14" s="196">
        <v>1761</v>
      </c>
      <c r="E14" s="196">
        <v>60677</v>
      </c>
      <c r="F14" s="196">
        <v>9955</v>
      </c>
      <c r="G14" s="196">
        <v>5172</v>
      </c>
      <c r="H14" s="196">
        <v>3193</v>
      </c>
      <c r="I14" s="196">
        <v>6124</v>
      </c>
      <c r="J14" s="196">
        <v>2488</v>
      </c>
      <c r="K14" s="195">
        <v>753</v>
      </c>
      <c r="L14" s="195">
        <v>2523</v>
      </c>
      <c r="M14" s="195">
        <f>+SUM(M5:M13)</f>
        <v>1333</v>
      </c>
      <c r="N14" s="195">
        <f>+SUM(N5:N13)</f>
        <v>1738</v>
      </c>
      <c r="O14" s="195">
        <f>+SUM(O5:O13)</f>
        <v>3487</v>
      </c>
      <c r="P14" s="195">
        <f t="shared" si="0"/>
        <v>97670</v>
      </c>
    </row>
  </sheetData>
  <pageMargins left="0.7" right="0.7" top="0.75" bottom="0.75" header="0.3" footer="0.3"/>
  <drawing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A09E1-3E7E-4B32-847F-C1A3C7641401}">
  <dimension ref="A1:O32"/>
  <sheetViews>
    <sheetView topLeftCell="A18" zoomScale="90" zoomScaleNormal="90" workbookViewId="0">
      <selection activeCell="K27" sqref="K27"/>
    </sheetView>
  </sheetViews>
  <sheetFormatPr baseColWidth="10" defaultColWidth="28.44140625" defaultRowHeight="14.4" x14ac:dyDescent="0.3"/>
  <cols>
    <col min="1" max="1" width="16.44140625" customWidth="1"/>
    <col min="2" max="2" width="24.44140625" customWidth="1"/>
    <col min="3" max="5" width="12" customWidth="1"/>
    <col min="6" max="12" width="8.44140625" customWidth="1"/>
    <col min="13" max="13" width="8.44140625" style="521" customWidth="1"/>
    <col min="14" max="15" width="28.44140625" style="521"/>
  </cols>
  <sheetData>
    <row r="1" spans="1:5" x14ac:dyDescent="0.3">
      <c r="A1" t="s">
        <v>355</v>
      </c>
      <c r="B1">
        <v>169</v>
      </c>
    </row>
    <row r="2" spans="1:5" x14ac:dyDescent="0.3">
      <c r="A2" t="s">
        <v>5</v>
      </c>
      <c r="B2" t="s">
        <v>218</v>
      </c>
    </row>
    <row r="3" spans="1:5" ht="15" thickBot="1" x14ac:dyDescent="0.35"/>
    <row r="4" spans="1:5" ht="15" thickBot="1" x14ac:dyDescent="0.35">
      <c r="A4" s="666"/>
      <c r="B4" s="666" t="s">
        <v>1238</v>
      </c>
      <c r="C4" s="665" t="s">
        <v>1839</v>
      </c>
      <c r="D4" s="665"/>
      <c r="E4" s="665"/>
    </row>
    <row r="5" spans="1:5" ht="27" thickBot="1" x14ac:dyDescent="0.35">
      <c r="A5" s="629"/>
      <c r="B5" s="629"/>
      <c r="C5" s="91" t="s">
        <v>1840</v>
      </c>
      <c r="D5" s="91" t="s">
        <v>1841</v>
      </c>
      <c r="E5" s="91" t="s">
        <v>1842</v>
      </c>
    </row>
    <row r="6" spans="1:5" ht="27" thickBot="1" x14ac:dyDescent="0.35">
      <c r="A6" s="627" t="s">
        <v>422</v>
      </c>
      <c r="B6" s="70" t="s">
        <v>1843</v>
      </c>
      <c r="C6" s="71">
        <v>406</v>
      </c>
      <c r="D6" s="71">
        <v>368</v>
      </c>
      <c r="E6" s="71">
        <v>86</v>
      </c>
    </row>
    <row r="7" spans="1:5" ht="27" thickBot="1" x14ac:dyDescent="0.35">
      <c r="A7" s="630"/>
      <c r="B7" s="70" t="s">
        <v>1844</v>
      </c>
      <c r="C7" s="71">
        <v>84</v>
      </c>
      <c r="D7" s="71">
        <v>42</v>
      </c>
      <c r="E7" s="71">
        <v>15</v>
      </c>
    </row>
    <row r="8" spans="1:5" ht="27" thickBot="1" x14ac:dyDescent="0.35">
      <c r="A8" s="628"/>
      <c r="B8" s="70" t="s">
        <v>1845</v>
      </c>
      <c r="C8" s="71">
        <v>121</v>
      </c>
      <c r="D8" s="71">
        <v>402</v>
      </c>
      <c r="E8" s="71">
        <v>0</v>
      </c>
    </row>
    <row r="9" spans="1:5" ht="27" thickBot="1" x14ac:dyDescent="0.35">
      <c r="A9" s="71" t="s">
        <v>423</v>
      </c>
      <c r="B9" s="70" t="s">
        <v>1844</v>
      </c>
      <c r="C9" s="71">
        <v>86</v>
      </c>
      <c r="D9" s="71">
        <v>48</v>
      </c>
      <c r="E9" s="71">
        <v>0</v>
      </c>
    </row>
    <row r="10" spans="1:5" ht="27" thickBot="1" x14ac:dyDescent="0.35">
      <c r="A10" s="71" t="s">
        <v>424</v>
      </c>
      <c r="B10" s="70" t="s">
        <v>1844</v>
      </c>
      <c r="C10" s="71">
        <v>58</v>
      </c>
      <c r="D10" s="71">
        <v>57</v>
      </c>
      <c r="E10" s="71">
        <v>0</v>
      </c>
    </row>
    <row r="11" spans="1:5" ht="27" thickBot="1" x14ac:dyDescent="0.35">
      <c r="A11" s="627" t="s">
        <v>425</v>
      </c>
      <c r="B11" s="70" t="s">
        <v>1846</v>
      </c>
      <c r="C11" s="71">
        <v>236</v>
      </c>
      <c r="D11" s="71">
        <v>455</v>
      </c>
      <c r="E11" s="71">
        <v>98</v>
      </c>
    </row>
    <row r="12" spans="1:5" ht="27" thickBot="1" x14ac:dyDescent="0.35">
      <c r="A12" s="628"/>
      <c r="B12" s="70" t="s">
        <v>1844</v>
      </c>
      <c r="C12" s="71">
        <v>407</v>
      </c>
      <c r="D12" s="71">
        <v>83</v>
      </c>
      <c r="E12" s="71">
        <v>7</v>
      </c>
    </row>
    <row r="13" spans="1:5" ht="27" thickBot="1" x14ac:dyDescent="0.35">
      <c r="A13" s="71" t="s">
        <v>426</v>
      </c>
      <c r="B13" s="70" t="s">
        <v>1844</v>
      </c>
      <c r="C13" s="71">
        <v>72</v>
      </c>
      <c r="D13" s="71">
        <v>54</v>
      </c>
      <c r="E13" s="71">
        <v>16</v>
      </c>
    </row>
    <row r="14" spans="1:5" ht="27" thickBot="1" x14ac:dyDescent="0.35">
      <c r="A14" s="627" t="s">
        <v>427</v>
      </c>
      <c r="B14" s="70" t="s">
        <v>1844</v>
      </c>
      <c r="C14" s="71">
        <v>173</v>
      </c>
      <c r="D14" s="71">
        <v>70</v>
      </c>
      <c r="E14" s="71">
        <v>0</v>
      </c>
    </row>
    <row r="15" spans="1:5" ht="27" thickBot="1" x14ac:dyDescent="0.35">
      <c r="A15" s="628"/>
      <c r="B15" s="70" t="s">
        <v>1845</v>
      </c>
      <c r="C15" s="71">
        <v>176</v>
      </c>
      <c r="D15" s="71">
        <v>308</v>
      </c>
      <c r="E15" s="71">
        <v>0</v>
      </c>
    </row>
    <row r="16" spans="1:5" ht="27" thickBot="1" x14ac:dyDescent="0.35">
      <c r="A16" s="71" t="s">
        <v>428</v>
      </c>
      <c r="B16" s="70" t="s">
        <v>1844</v>
      </c>
      <c r="C16" s="71">
        <v>168</v>
      </c>
      <c r="D16" s="71">
        <v>78</v>
      </c>
      <c r="E16" s="71">
        <v>0</v>
      </c>
    </row>
    <row r="17" spans="1:14" ht="27" thickBot="1" x14ac:dyDescent="0.35">
      <c r="A17" s="71" t="s">
        <v>429</v>
      </c>
      <c r="B17" s="70" t="s">
        <v>1844</v>
      </c>
      <c r="C17" s="71">
        <v>278</v>
      </c>
      <c r="D17" s="71">
        <v>62</v>
      </c>
      <c r="E17" s="71">
        <v>0</v>
      </c>
    </row>
    <row r="18" spans="1:14" ht="27" thickBot="1" x14ac:dyDescent="0.35">
      <c r="A18" s="627" t="s">
        <v>430</v>
      </c>
      <c r="B18" s="70" t="s">
        <v>1847</v>
      </c>
      <c r="C18" s="71">
        <v>220</v>
      </c>
      <c r="D18" s="71">
        <v>407</v>
      </c>
      <c r="E18" s="71">
        <v>43</v>
      </c>
    </row>
    <row r="19" spans="1:14" ht="27" thickBot="1" x14ac:dyDescent="0.35">
      <c r="A19" s="628"/>
      <c r="B19" s="70" t="s">
        <v>1844</v>
      </c>
      <c r="C19" s="71">
        <v>185</v>
      </c>
      <c r="D19" s="71">
        <v>93</v>
      </c>
      <c r="E19" s="71">
        <v>7</v>
      </c>
    </row>
    <row r="20" spans="1:14" ht="27" thickBot="1" x14ac:dyDescent="0.35">
      <c r="A20" s="627" t="s">
        <v>358</v>
      </c>
      <c r="B20" s="70" t="s">
        <v>1844</v>
      </c>
      <c r="C20" s="71">
        <v>178</v>
      </c>
      <c r="D20" s="71">
        <v>296</v>
      </c>
      <c r="E20" s="71">
        <v>0</v>
      </c>
    </row>
    <row r="21" spans="1:14" ht="27" thickBot="1" x14ac:dyDescent="0.35">
      <c r="A21" s="628"/>
      <c r="B21" s="70" t="s">
        <v>1845</v>
      </c>
      <c r="C21" s="71">
        <v>105</v>
      </c>
      <c r="D21" s="71">
        <v>44</v>
      </c>
      <c r="E21" s="71">
        <v>0</v>
      </c>
    </row>
    <row r="22" spans="1:14" ht="27" thickBot="1" x14ac:dyDescent="0.35">
      <c r="A22" s="627" t="s">
        <v>359</v>
      </c>
      <c r="B22" s="70" t="s">
        <v>1844</v>
      </c>
      <c r="C22" s="71">
        <v>354</v>
      </c>
      <c r="D22" s="71">
        <v>65</v>
      </c>
      <c r="E22" s="71">
        <v>0</v>
      </c>
    </row>
    <row r="23" spans="1:14" ht="27" thickBot="1" x14ac:dyDescent="0.35">
      <c r="A23" s="628"/>
      <c r="B23" s="70" t="s">
        <v>1845</v>
      </c>
      <c r="C23" s="71">
        <v>15</v>
      </c>
      <c r="D23" s="71">
        <v>53</v>
      </c>
      <c r="E23" s="71">
        <v>0</v>
      </c>
    </row>
    <row r="24" spans="1:14" ht="26.4" x14ac:dyDescent="0.3">
      <c r="A24" s="627" t="s">
        <v>360</v>
      </c>
      <c r="B24" s="70" t="s">
        <v>1844</v>
      </c>
      <c r="C24" s="71">
        <v>205</v>
      </c>
      <c r="D24" s="71">
        <v>43</v>
      </c>
      <c r="E24" s="71">
        <v>40</v>
      </c>
    </row>
    <row r="25" spans="1:14" ht="27" thickBot="1" x14ac:dyDescent="0.35">
      <c r="A25" s="628"/>
      <c r="B25" s="70" t="s">
        <v>1845</v>
      </c>
      <c r="C25" s="71">
        <v>2</v>
      </c>
      <c r="D25" s="71">
        <v>0</v>
      </c>
      <c r="E25" s="71">
        <v>0</v>
      </c>
    </row>
    <row r="26" spans="1:14" ht="27" thickBot="1" x14ac:dyDescent="0.35">
      <c r="A26" s="627" t="s">
        <v>361</v>
      </c>
      <c r="B26" s="70" t="s">
        <v>1844</v>
      </c>
      <c r="C26" s="71">
        <v>226</v>
      </c>
      <c r="D26" s="71">
        <v>107</v>
      </c>
      <c r="E26" s="71">
        <v>0</v>
      </c>
    </row>
    <row r="27" spans="1:14" ht="27" thickBot="1" x14ac:dyDescent="0.35">
      <c r="A27" s="630"/>
      <c r="B27" s="70" t="s">
        <v>1848</v>
      </c>
      <c r="C27" s="71">
        <v>1</v>
      </c>
      <c r="D27" s="71">
        <v>8</v>
      </c>
      <c r="E27" s="71">
        <v>0</v>
      </c>
    </row>
    <row r="28" spans="1:14" ht="27" thickBot="1" x14ac:dyDescent="0.35">
      <c r="A28" s="630"/>
      <c r="B28" s="70" t="s">
        <v>1845</v>
      </c>
      <c r="C28" s="71">
        <v>293</v>
      </c>
      <c r="D28" s="71">
        <v>192</v>
      </c>
      <c r="E28" s="71">
        <v>0</v>
      </c>
    </row>
    <row r="29" spans="1:14" ht="27" thickBot="1" x14ac:dyDescent="0.35">
      <c r="A29" s="628"/>
      <c r="B29" s="70" t="s">
        <v>1846</v>
      </c>
      <c r="C29" s="71">
        <v>273</v>
      </c>
      <c r="D29" s="71">
        <v>400</v>
      </c>
      <c r="E29" s="71">
        <v>0</v>
      </c>
    </row>
    <row r="30" spans="1:14" ht="27" thickBot="1" x14ac:dyDescent="0.35">
      <c r="A30" s="627" t="s">
        <v>362</v>
      </c>
      <c r="B30" s="70" t="s">
        <v>1844</v>
      </c>
      <c r="C30" s="71">
        <v>290</v>
      </c>
      <c r="D30" s="71">
        <v>119</v>
      </c>
      <c r="E30" s="71">
        <v>0</v>
      </c>
      <c r="N30"/>
    </row>
    <row r="31" spans="1:14" ht="27" thickBot="1" x14ac:dyDescent="0.35">
      <c r="A31" s="630"/>
      <c r="B31" s="70" t="s">
        <v>1849</v>
      </c>
      <c r="C31" s="71">
        <v>6</v>
      </c>
      <c r="D31" s="71">
        <v>9</v>
      </c>
      <c r="E31" s="71">
        <v>0</v>
      </c>
    </row>
    <row r="32" spans="1:14" ht="27" thickBot="1" x14ac:dyDescent="0.35">
      <c r="A32" s="628"/>
      <c r="B32" s="70" t="s">
        <v>1845</v>
      </c>
      <c r="C32" s="71">
        <v>192</v>
      </c>
      <c r="D32" s="71">
        <v>293</v>
      </c>
      <c r="E32" s="71">
        <v>0</v>
      </c>
    </row>
  </sheetData>
  <mergeCells count="12">
    <mergeCell ref="A30:A32"/>
    <mergeCell ref="A26:A29"/>
    <mergeCell ref="C4:E4"/>
    <mergeCell ref="A6:A8"/>
    <mergeCell ref="A11:A12"/>
    <mergeCell ref="A14:A15"/>
    <mergeCell ref="A18:A19"/>
    <mergeCell ref="A24:A25"/>
    <mergeCell ref="A20:A21"/>
    <mergeCell ref="A22:A23"/>
    <mergeCell ref="A4:A5"/>
    <mergeCell ref="B4:B5"/>
  </mergeCells>
  <pageMargins left="0.7" right="0.7" top="0.75" bottom="0.75" header="0.3" footer="0.3"/>
  <drawing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8BB17-F770-497E-8816-CDE742014183}">
  <dimension ref="A1:L9"/>
  <sheetViews>
    <sheetView workbookViewId="0">
      <selection activeCell="Q15" sqref="Q15"/>
    </sheetView>
  </sheetViews>
  <sheetFormatPr baseColWidth="10" defaultColWidth="28.44140625" defaultRowHeight="14.4" x14ac:dyDescent="0.3"/>
  <cols>
    <col min="1" max="1" width="16.44140625" customWidth="1"/>
    <col min="2" max="2" width="11.44140625" customWidth="1"/>
    <col min="3" max="17" width="8.44140625" customWidth="1"/>
  </cols>
  <sheetData>
    <row r="1" spans="1:12" x14ac:dyDescent="0.3">
      <c r="A1" t="s">
        <v>355</v>
      </c>
      <c r="B1">
        <v>170</v>
      </c>
    </row>
    <row r="2" spans="1:12" x14ac:dyDescent="0.3">
      <c r="A2" t="s">
        <v>5</v>
      </c>
      <c r="B2" t="s">
        <v>220</v>
      </c>
    </row>
    <row r="3" spans="1:12" ht="15" thickBot="1" x14ac:dyDescent="0.35"/>
    <row r="4" spans="1:12" ht="24.6" thickBot="1" x14ac:dyDescent="0.35">
      <c r="A4" s="197" t="s">
        <v>1850</v>
      </c>
      <c r="B4" s="197">
        <v>2019</v>
      </c>
      <c r="C4" s="197">
        <v>2020</v>
      </c>
      <c r="D4" s="197">
        <v>2021</v>
      </c>
      <c r="E4" s="197">
        <v>2022</v>
      </c>
      <c r="F4" s="197">
        <v>2023</v>
      </c>
      <c r="G4" s="197" t="s">
        <v>358</v>
      </c>
      <c r="H4" s="197" t="s">
        <v>359</v>
      </c>
      <c r="I4" s="197" t="s">
        <v>360</v>
      </c>
      <c r="J4" s="197" t="s">
        <v>361</v>
      </c>
      <c r="K4" s="197" t="s">
        <v>362</v>
      </c>
      <c r="L4" s="197" t="s">
        <v>536</v>
      </c>
    </row>
    <row r="5" spans="1:12" x14ac:dyDescent="0.3">
      <c r="A5" s="190" t="s">
        <v>513</v>
      </c>
      <c r="B5" s="191">
        <v>1191</v>
      </c>
      <c r="C5" s="190">
        <v>194</v>
      </c>
      <c r="D5" s="190">
        <v>67</v>
      </c>
      <c r="E5" s="190">
        <v>490</v>
      </c>
      <c r="F5" s="190">
        <v>657</v>
      </c>
      <c r="G5" s="190">
        <v>319</v>
      </c>
      <c r="H5" s="190">
        <v>215</v>
      </c>
      <c r="I5" s="190">
        <v>246</v>
      </c>
      <c r="J5" s="190">
        <v>268</v>
      </c>
      <c r="K5" s="190">
        <v>344</v>
      </c>
      <c r="L5" s="191">
        <f>SUM(B5:K5)</f>
        <v>3991</v>
      </c>
    </row>
    <row r="6" spans="1:12" x14ac:dyDescent="0.3">
      <c r="A6" s="190" t="s">
        <v>1841</v>
      </c>
      <c r="B6" s="190">
        <v>571</v>
      </c>
      <c r="C6" s="190">
        <v>110</v>
      </c>
      <c r="D6" s="190">
        <v>103</v>
      </c>
      <c r="E6" s="190">
        <v>270</v>
      </c>
      <c r="F6" s="190">
        <v>260</v>
      </c>
      <c r="G6" s="190">
        <v>105</v>
      </c>
      <c r="H6" s="190">
        <v>76</v>
      </c>
      <c r="I6" s="190">
        <v>101</v>
      </c>
      <c r="J6" s="190">
        <v>89</v>
      </c>
      <c r="K6" s="190">
        <v>66</v>
      </c>
      <c r="L6" s="191">
        <f t="shared" ref="L6:L9" si="0">SUM(B6:K6)</f>
        <v>1751</v>
      </c>
    </row>
    <row r="7" spans="1:12" x14ac:dyDescent="0.3">
      <c r="A7" s="190" t="s">
        <v>1840</v>
      </c>
      <c r="B7" s="190">
        <v>8</v>
      </c>
      <c r="C7" s="190">
        <v>0</v>
      </c>
      <c r="D7" s="190">
        <v>0</v>
      </c>
      <c r="E7" s="190">
        <v>15</v>
      </c>
      <c r="F7" s="190">
        <v>48</v>
      </c>
      <c r="G7" s="190">
        <v>10</v>
      </c>
      <c r="H7" s="190">
        <v>5</v>
      </c>
      <c r="I7" s="190">
        <v>9</v>
      </c>
      <c r="J7" s="190">
        <v>13</v>
      </c>
      <c r="K7" s="190">
        <v>7</v>
      </c>
      <c r="L7" s="191">
        <f t="shared" si="0"/>
        <v>115</v>
      </c>
    </row>
    <row r="8" spans="1:12" ht="24" x14ac:dyDescent="0.3">
      <c r="A8" s="190" t="s">
        <v>1851</v>
      </c>
      <c r="B8" s="190">
        <v>30</v>
      </c>
      <c r="C8" s="190">
        <v>4</v>
      </c>
      <c r="D8" s="190">
        <v>2</v>
      </c>
      <c r="E8" s="190">
        <v>18</v>
      </c>
      <c r="F8" s="190">
        <v>25</v>
      </c>
      <c r="G8" s="190">
        <v>10</v>
      </c>
      <c r="H8" s="190">
        <v>6</v>
      </c>
      <c r="I8" s="190">
        <v>7</v>
      </c>
      <c r="J8" s="190">
        <v>1</v>
      </c>
      <c r="K8" s="190">
        <v>27</v>
      </c>
      <c r="L8" s="191">
        <f t="shared" si="0"/>
        <v>130</v>
      </c>
    </row>
    <row r="9" spans="1:12" x14ac:dyDescent="0.3">
      <c r="A9" s="192" t="s">
        <v>536</v>
      </c>
      <c r="B9" s="193">
        <v>1800</v>
      </c>
      <c r="C9" s="192">
        <v>308</v>
      </c>
      <c r="D9" s="192">
        <v>172</v>
      </c>
      <c r="E9" s="192">
        <v>793</v>
      </c>
      <c r="F9" s="192">
        <v>990</v>
      </c>
      <c r="G9" s="192">
        <v>444</v>
      </c>
      <c r="H9" s="192">
        <v>302</v>
      </c>
      <c r="I9" s="192">
        <v>363</v>
      </c>
      <c r="J9" s="192">
        <v>371</v>
      </c>
      <c r="K9" s="192">
        <v>444</v>
      </c>
      <c r="L9" s="193">
        <f t="shared" si="0"/>
        <v>5987</v>
      </c>
    </row>
  </sheetData>
  <pageMargins left="0.7" right="0.7" top="0.75" bottom="0.75" header="0.3" footer="0.3"/>
  <drawing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81F49-2E7A-4885-BB40-0B7F72B3ED56}">
  <dimension ref="A1:L5"/>
  <sheetViews>
    <sheetView workbookViewId="0">
      <selection activeCell="K6" sqref="K6"/>
    </sheetView>
  </sheetViews>
  <sheetFormatPr baseColWidth="10" defaultColWidth="28.44140625" defaultRowHeight="14.4" x14ac:dyDescent="0.3"/>
  <cols>
    <col min="1" max="1" width="16.44140625" customWidth="1"/>
    <col min="2" max="2" width="11.44140625" customWidth="1"/>
    <col min="3" max="18" width="8.44140625" customWidth="1"/>
  </cols>
  <sheetData>
    <row r="1" spans="1:12" x14ac:dyDescent="0.3">
      <c r="A1" t="s">
        <v>355</v>
      </c>
      <c r="B1">
        <v>171</v>
      </c>
    </row>
    <row r="2" spans="1:12" x14ac:dyDescent="0.3">
      <c r="A2" t="s">
        <v>5</v>
      </c>
      <c r="B2" t="s">
        <v>221</v>
      </c>
    </row>
    <row r="3" spans="1:12" ht="15" thickBot="1" x14ac:dyDescent="0.35"/>
    <row r="4" spans="1:12" ht="24.6" thickBot="1" x14ac:dyDescent="0.35">
      <c r="A4" s="198"/>
      <c r="B4" s="199">
        <v>2019</v>
      </c>
      <c r="C4" s="199">
        <v>2020</v>
      </c>
      <c r="D4" s="199">
        <v>2021</v>
      </c>
      <c r="E4" s="199">
        <v>2022</v>
      </c>
      <c r="F4" s="199">
        <v>2023</v>
      </c>
      <c r="G4" s="199" t="s">
        <v>358</v>
      </c>
      <c r="H4" s="199" t="s">
        <v>359</v>
      </c>
      <c r="I4" s="199" t="s">
        <v>360</v>
      </c>
      <c r="J4" s="199" t="s">
        <v>361</v>
      </c>
      <c r="K4" s="199" t="s">
        <v>362</v>
      </c>
      <c r="L4" s="199" t="s">
        <v>536</v>
      </c>
    </row>
    <row r="5" spans="1:12" ht="48" x14ac:dyDescent="0.3">
      <c r="A5" s="189" t="s">
        <v>1852</v>
      </c>
      <c r="B5" s="200">
        <v>20107</v>
      </c>
      <c r="C5" s="200">
        <v>3028</v>
      </c>
      <c r="D5" s="200">
        <v>1656</v>
      </c>
      <c r="E5" s="200">
        <v>6644</v>
      </c>
      <c r="F5" s="200">
        <v>1050</v>
      </c>
      <c r="G5" s="200">
        <v>3758</v>
      </c>
      <c r="H5" s="200">
        <v>2028</v>
      </c>
      <c r="I5" s="200">
        <v>3600</v>
      </c>
      <c r="J5" s="200">
        <v>4556</v>
      </c>
      <c r="K5" s="200">
        <v>3008</v>
      </c>
      <c r="L5" s="200">
        <f>SUM(B5:I5)</f>
        <v>41871</v>
      </c>
    </row>
  </sheetData>
  <pageMargins left="0.7" right="0.7" top="0.75" bottom="0.75" header="0.3" footer="0.3"/>
  <drawing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C25F9-728A-4013-958D-97A46ADB237F}">
  <dimension ref="A1:B82"/>
  <sheetViews>
    <sheetView workbookViewId="0">
      <selection activeCell="B1" sqref="B1"/>
    </sheetView>
  </sheetViews>
  <sheetFormatPr baseColWidth="10" defaultColWidth="28.44140625" defaultRowHeight="14.4" x14ac:dyDescent="0.3"/>
  <cols>
    <col min="1" max="1" width="16.44140625" customWidth="1"/>
    <col min="2" max="2" width="48.44140625" customWidth="1"/>
    <col min="3" max="8" width="8.44140625" customWidth="1"/>
  </cols>
  <sheetData>
    <row r="1" spans="1:2" x14ac:dyDescent="0.3">
      <c r="A1" t="s">
        <v>355</v>
      </c>
      <c r="B1">
        <v>172</v>
      </c>
    </row>
    <row r="2" spans="1:2" x14ac:dyDescent="0.3">
      <c r="A2" t="s">
        <v>5</v>
      </c>
      <c r="B2" t="s">
        <v>222</v>
      </c>
    </row>
    <row r="3" spans="1:2" ht="15" thickBot="1" x14ac:dyDescent="0.35"/>
    <row r="4" spans="1:2" ht="15" thickBot="1" x14ac:dyDescent="0.35">
      <c r="A4" s="69" t="s">
        <v>1649</v>
      </c>
      <c r="B4" s="69" t="s">
        <v>715</v>
      </c>
    </row>
    <row r="5" spans="1:2" x14ac:dyDescent="0.3">
      <c r="A5" s="667" t="s">
        <v>422</v>
      </c>
      <c r="B5" s="92" t="s">
        <v>1853</v>
      </c>
    </row>
    <row r="6" spans="1:2" x14ac:dyDescent="0.3">
      <c r="A6" s="667"/>
      <c r="B6" s="92" t="s">
        <v>1854</v>
      </c>
    </row>
    <row r="7" spans="1:2" x14ac:dyDescent="0.3">
      <c r="A7" s="667"/>
      <c r="B7" s="92" t="s">
        <v>1855</v>
      </c>
    </row>
    <row r="8" spans="1:2" x14ac:dyDescent="0.3">
      <c r="A8" s="667"/>
      <c r="B8" s="92" t="s">
        <v>1856</v>
      </c>
    </row>
    <row r="9" spans="1:2" x14ac:dyDescent="0.3">
      <c r="A9" s="667"/>
      <c r="B9" s="92" t="s">
        <v>1857</v>
      </c>
    </row>
    <row r="10" spans="1:2" x14ac:dyDescent="0.3">
      <c r="A10" s="667"/>
      <c r="B10" s="92" t="s">
        <v>1858</v>
      </c>
    </row>
    <row r="11" spans="1:2" ht="15" thickBot="1" x14ac:dyDescent="0.35">
      <c r="A11" s="667"/>
      <c r="B11" s="71" t="s">
        <v>1859</v>
      </c>
    </row>
    <row r="12" spans="1:2" x14ac:dyDescent="0.3">
      <c r="A12" s="667" t="s">
        <v>423</v>
      </c>
      <c r="B12" s="92" t="s">
        <v>1856</v>
      </c>
    </row>
    <row r="13" spans="1:2" x14ac:dyDescent="0.3">
      <c r="A13" s="667"/>
      <c r="B13" s="92" t="s">
        <v>1857</v>
      </c>
    </row>
    <row r="14" spans="1:2" x14ac:dyDescent="0.3">
      <c r="A14" s="667"/>
      <c r="B14" s="92" t="s">
        <v>1858</v>
      </c>
    </row>
    <row r="15" spans="1:2" ht="26.4" x14ac:dyDescent="0.3">
      <c r="A15" s="667"/>
      <c r="B15" s="92" t="s">
        <v>1860</v>
      </c>
    </row>
    <row r="16" spans="1:2" x14ac:dyDescent="0.3">
      <c r="A16" s="667"/>
      <c r="B16" s="92" t="s">
        <v>1861</v>
      </c>
    </row>
    <row r="17" spans="1:2" ht="15" thickBot="1" x14ac:dyDescent="0.35">
      <c r="A17" s="667"/>
      <c r="B17" s="71" t="s">
        <v>1862</v>
      </c>
    </row>
    <row r="18" spans="1:2" x14ac:dyDescent="0.3">
      <c r="A18" s="667" t="s">
        <v>424</v>
      </c>
      <c r="B18" s="92" t="s">
        <v>1863</v>
      </c>
    </row>
    <row r="19" spans="1:2" x14ac:dyDescent="0.3">
      <c r="A19" s="667"/>
      <c r="B19" s="92" t="s">
        <v>1864</v>
      </c>
    </row>
    <row r="20" spans="1:2" x14ac:dyDescent="0.3">
      <c r="A20" s="667"/>
      <c r="B20" s="92" t="s">
        <v>1857</v>
      </c>
    </row>
    <row r="21" spans="1:2" x14ac:dyDescent="0.3">
      <c r="A21" s="667"/>
      <c r="B21" s="92" t="s">
        <v>1865</v>
      </c>
    </row>
    <row r="22" spans="1:2" x14ac:dyDescent="0.3">
      <c r="A22" s="667"/>
      <c r="B22" s="92" t="s">
        <v>1866</v>
      </c>
    </row>
    <row r="23" spans="1:2" ht="26.4" x14ac:dyDescent="0.3">
      <c r="A23" s="667"/>
      <c r="B23" s="92" t="s">
        <v>1867</v>
      </c>
    </row>
    <row r="24" spans="1:2" x14ac:dyDescent="0.3">
      <c r="A24" s="667"/>
      <c r="B24" s="92" t="s">
        <v>1868</v>
      </c>
    </row>
    <row r="25" spans="1:2" ht="15" thickBot="1" x14ac:dyDescent="0.35">
      <c r="A25" s="667"/>
      <c r="B25" s="71" t="s">
        <v>1869</v>
      </c>
    </row>
    <row r="26" spans="1:2" x14ac:dyDescent="0.3">
      <c r="A26" s="667" t="s">
        <v>425</v>
      </c>
      <c r="B26" s="92" t="s">
        <v>1863</v>
      </c>
    </row>
    <row r="27" spans="1:2" x14ac:dyDescent="0.3">
      <c r="A27" s="667"/>
      <c r="B27" s="92" t="s">
        <v>1857</v>
      </c>
    </row>
    <row r="28" spans="1:2" x14ac:dyDescent="0.3">
      <c r="A28" s="667"/>
      <c r="B28" s="92" t="s">
        <v>1870</v>
      </c>
    </row>
    <row r="29" spans="1:2" x14ac:dyDescent="0.3">
      <c r="A29" s="667"/>
      <c r="B29" s="92" t="s">
        <v>1871</v>
      </c>
    </row>
    <row r="30" spans="1:2" x14ac:dyDescent="0.3">
      <c r="A30" s="667"/>
      <c r="B30" s="92" t="s">
        <v>1872</v>
      </c>
    </row>
    <row r="31" spans="1:2" x14ac:dyDescent="0.3">
      <c r="A31" s="667"/>
      <c r="B31" s="92" t="s">
        <v>1873</v>
      </c>
    </row>
    <row r="32" spans="1:2" ht="15" thickBot="1" x14ac:dyDescent="0.35">
      <c r="A32" s="667"/>
      <c r="B32" s="71" t="s">
        <v>1874</v>
      </c>
    </row>
    <row r="33" spans="1:2" x14ac:dyDescent="0.3">
      <c r="A33" s="667" t="s">
        <v>426</v>
      </c>
      <c r="B33" s="92" t="s">
        <v>1875</v>
      </c>
    </row>
    <row r="34" spans="1:2" x14ac:dyDescent="0.3">
      <c r="A34" s="667"/>
      <c r="B34" s="92" t="s">
        <v>1863</v>
      </c>
    </row>
    <row r="35" spans="1:2" x14ac:dyDescent="0.3">
      <c r="A35" s="667"/>
      <c r="B35" s="92" t="s">
        <v>1857</v>
      </c>
    </row>
    <row r="36" spans="1:2" x14ac:dyDescent="0.3">
      <c r="A36" s="667"/>
      <c r="B36" s="92" t="s">
        <v>1876</v>
      </c>
    </row>
    <row r="37" spans="1:2" ht="15" thickBot="1" x14ac:dyDescent="0.35">
      <c r="A37" s="667"/>
      <c r="B37" s="71" t="s">
        <v>1874</v>
      </c>
    </row>
    <row r="38" spans="1:2" x14ac:dyDescent="0.3">
      <c r="A38" s="667" t="s">
        <v>427</v>
      </c>
      <c r="B38" s="92" t="s">
        <v>1863</v>
      </c>
    </row>
    <row r="39" spans="1:2" x14ac:dyDescent="0.3">
      <c r="A39" s="667"/>
      <c r="B39" s="92" t="s">
        <v>1857</v>
      </c>
    </row>
    <row r="40" spans="1:2" ht="15" thickBot="1" x14ac:dyDescent="0.35">
      <c r="A40" s="667"/>
      <c r="B40" s="71" t="s">
        <v>1864</v>
      </c>
    </row>
    <row r="41" spans="1:2" x14ac:dyDescent="0.3">
      <c r="A41" s="667" t="s">
        <v>428</v>
      </c>
      <c r="B41" s="92" t="s">
        <v>1877</v>
      </c>
    </row>
    <row r="42" spans="1:2" ht="39.6" x14ac:dyDescent="0.3">
      <c r="A42" s="667"/>
      <c r="B42" s="92" t="s">
        <v>1878</v>
      </c>
    </row>
    <row r="43" spans="1:2" x14ac:dyDescent="0.3">
      <c r="A43" s="667"/>
      <c r="B43" s="92" t="s">
        <v>1879</v>
      </c>
    </row>
    <row r="44" spans="1:2" x14ac:dyDescent="0.3">
      <c r="A44" s="667"/>
      <c r="B44" s="92" t="s">
        <v>1863</v>
      </c>
    </row>
    <row r="45" spans="1:2" x14ac:dyDescent="0.3">
      <c r="A45" s="667"/>
      <c r="B45" s="92" t="s">
        <v>1864</v>
      </c>
    </row>
    <row r="46" spans="1:2" ht="15" thickBot="1" x14ac:dyDescent="0.35">
      <c r="A46" s="667"/>
      <c r="B46" s="71" t="s">
        <v>1857</v>
      </c>
    </row>
    <row r="47" spans="1:2" x14ac:dyDescent="0.3">
      <c r="A47" s="667" t="s">
        <v>429</v>
      </c>
      <c r="B47" s="92" t="s">
        <v>1863</v>
      </c>
    </row>
    <row r="48" spans="1:2" x14ac:dyDescent="0.3">
      <c r="A48" s="667"/>
      <c r="B48" s="92" t="s">
        <v>1857</v>
      </c>
    </row>
    <row r="49" spans="1:2" x14ac:dyDescent="0.3">
      <c r="A49" s="667"/>
      <c r="B49" s="92" t="s">
        <v>1864</v>
      </c>
    </row>
    <row r="50" spans="1:2" ht="15" thickBot="1" x14ac:dyDescent="0.35">
      <c r="A50" s="667"/>
      <c r="B50" s="71" t="s">
        <v>1880</v>
      </c>
    </row>
    <row r="51" spans="1:2" x14ac:dyDescent="0.3">
      <c r="A51" s="667" t="s">
        <v>430</v>
      </c>
      <c r="B51" s="92" t="s">
        <v>1881</v>
      </c>
    </row>
    <row r="52" spans="1:2" ht="26.4" x14ac:dyDescent="0.3">
      <c r="A52" s="667"/>
      <c r="B52" s="92" t="s">
        <v>1882</v>
      </c>
    </row>
    <row r="53" spans="1:2" x14ac:dyDescent="0.3">
      <c r="A53" s="667"/>
      <c r="B53" s="92" t="s">
        <v>1883</v>
      </c>
    </row>
    <row r="54" spans="1:2" x14ac:dyDescent="0.3">
      <c r="A54" s="667"/>
      <c r="B54" s="92" t="s">
        <v>1884</v>
      </c>
    </row>
    <row r="55" spans="1:2" x14ac:dyDescent="0.3">
      <c r="A55" s="667"/>
      <c r="B55" s="92" t="s">
        <v>1885</v>
      </c>
    </row>
    <row r="56" spans="1:2" ht="26.4" x14ac:dyDescent="0.3">
      <c r="A56" s="667"/>
      <c r="B56" s="92" t="s">
        <v>1886</v>
      </c>
    </row>
    <row r="57" spans="1:2" x14ac:dyDescent="0.3">
      <c r="A57" s="667"/>
      <c r="B57" s="92" t="s">
        <v>1864</v>
      </c>
    </row>
    <row r="58" spans="1:2" ht="15" thickBot="1" x14ac:dyDescent="0.35">
      <c r="A58" s="667"/>
      <c r="B58" s="71" t="s">
        <v>1857</v>
      </c>
    </row>
    <row r="59" spans="1:2" ht="33" customHeight="1" x14ac:dyDescent="0.3">
      <c r="A59" s="667" t="s">
        <v>358</v>
      </c>
      <c r="B59" s="92" t="s">
        <v>1887</v>
      </c>
    </row>
    <row r="60" spans="1:2" x14ac:dyDescent="0.3">
      <c r="A60" s="667"/>
      <c r="B60" s="92" t="s">
        <v>1888</v>
      </c>
    </row>
    <row r="61" spans="1:2" ht="27" thickBot="1" x14ac:dyDescent="0.35">
      <c r="A61" s="667"/>
      <c r="B61" s="71" t="s">
        <v>1889</v>
      </c>
    </row>
    <row r="62" spans="1:2" ht="26.4" x14ac:dyDescent="0.3">
      <c r="A62" s="667" t="s">
        <v>359</v>
      </c>
      <c r="B62" s="92" t="s">
        <v>1890</v>
      </c>
    </row>
    <row r="63" spans="1:2" ht="18.75" customHeight="1" x14ac:dyDescent="0.3">
      <c r="A63" s="667"/>
      <c r="B63" s="92" t="s">
        <v>1891</v>
      </c>
    </row>
    <row r="64" spans="1:2" x14ac:dyDescent="0.3">
      <c r="A64" s="667"/>
      <c r="B64" s="92" t="s">
        <v>1892</v>
      </c>
    </row>
    <row r="65" spans="1:2" x14ac:dyDescent="0.3">
      <c r="A65" s="667"/>
      <c r="B65" s="92" t="s">
        <v>1893</v>
      </c>
    </row>
    <row r="66" spans="1:2" x14ac:dyDescent="0.3">
      <c r="A66" s="667"/>
      <c r="B66" s="92" t="s">
        <v>1894</v>
      </c>
    </row>
    <row r="67" spans="1:2" ht="27" thickBot="1" x14ac:dyDescent="0.35">
      <c r="A67" s="667"/>
      <c r="B67" s="71" t="s">
        <v>1895</v>
      </c>
    </row>
    <row r="68" spans="1:2" x14ac:dyDescent="0.3">
      <c r="A68" s="667" t="s">
        <v>360</v>
      </c>
      <c r="B68" s="92" t="s">
        <v>1896</v>
      </c>
    </row>
    <row r="69" spans="1:2" x14ac:dyDescent="0.3">
      <c r="A69" s="648"/>
      <c r="B69" s="92" t="s">
        <v>1897</v>
      </c>
    </row>
    <row r="70" spans="1:2" x14ac:dyDescent="0.3">
      <c r="A70" s="648"/>
      <c r="B70" s="92" t="s">
        <v>1893</v>
      </c>
    </row>
    <row r="71" spans="1:2" x14ac:dyDescent="0.3">
      <c r="A71" s="648"/>
      <c r="B71" s="92" t="s">
        <v>1894</v>
      </c>
    </row>
    <row r="72" spans="1:2" ht="27" thickBot="1" x14ac:dyDescent="0.35">
      <c r="A72" s="648"/>
      <c r="B72" s="71" t="s">
        <v>1898</v>
      </c>
    </row>
    <row r="73" spans="1:2" ht="15" thickBot="1" x14ac:dyDescent="0.35">
      <c r="A73" s="650"/>
      <c r="B73" s="71"/>
    </row>
    <row r="74" spans="1:2" x14ac:dyDescent="0.3">
      <c r="A74" s="667" t="s">
        <v>361</v>
      </c>
      <c r="B74" s="92" t="s">
        <v>1899</v>
      </c>
    </row>
    <row r="75" spans="1:2" x14ac:dyDescent="0.3">
      <c r="A75" s="648"/>
      <c r="B75" s="92" t="s">
        <v>1900</v>
      </c>
    </row>
    <row r="76" spans="1:2" ht="29.25" customHeight="1" thickBot="1" x14ac:dyDescent="0.35">
      <c r="A76" s="650"/>
      <c r="B76" s="586" t="s">
        <v>1901</v>
      </c>
    </row>
    <row r="77" spans="1:2" x14ac:dyDescent="0.3">
      <c r="A77" s="667" t="s">
        <v>362</v>
      </c>
      <c r="B77" s="92" t="s">
        <v>1902</v>
      </c>
    </row>
    <row r="78" spans="1:2" x14ac:dyDescent="0.3">
      <c r="A78" s="648"/>
      <c r="B78" s="92" t="s">
        <v>1903</v>
      </c>
    </row>
    <row r="79" spans="1:2" x14ac:dyDescent="0.3">
      <c r="A79" s="648"/>
      <c r="B79" s="92" t="s">
        <v>1904</v>
      </c>
    </row>
    <row r="80" spans="1:2" x14ac:dyDescent="0.3">
      <c r="A80" s="648"/>
      <c r="B80" s="92" t="s">
        <v>1905</v>
      </c>
    </row>
    <row r="81" spans="1:2" x14ac:dyDescent="0.3">
      <c r="A81" s="648"/>
      <c r="B81" s="71" t="s">
        <v>1906</v>
      </c>
    </row>
    <row r="82" spans="1:2" x14ac:dyDescent="0.3">
      <c r="A82" s="650"/>
      <c r="B82" s="71" t="s">
        <v>1907</v>
      </c>
    </row>
  </sheetData>
  <mergeCells count="14">
    <mergeCell ref="A74:A76"/>
    <mergeCell ref="A77:A82"/>
    <mergeCell ref="A38:A40"/>
    <mergeCell ref="A5:A11"/>
    <mergeCell ref="A12:A17"/>
    <mergeCell ref="A18:A25"/>
    <mergeCell ref="A26:A32"/>
    <mergeCell ref="A33:A37"/>
    <mergeCell ref="A68:A73"/>
    <mergeCell ref="A41:A46"/>
    <mergeCell ref="A47:A50"/>
    <mergeCell ref="A51:A58"/>
    <mergeCell ref="A59:A61"/>
    <mergeCell ref="A62:A67"/>
  </mergeCells>
  <pageMargins left="0.7" right="0.7" top="0.75" bottom="0.75" header="0.3" footer="0.3"/>
  <drawing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27B6D-5C48-4C1A-91B8-89853486E891}">
  <dimension ref="A1:I7"/>
  <sheetViews>
    <sheetView workbookViewId="0"/>
  </sheetViews>
  <sheetFormatPr baseColWidth="10" defaultColWidth="28.44140625" defaultRowHeight="14.4" x14ac:dyDescent="0.3"/>
  <cols>
    <col min="1" max="1" width="16.44140625" customWidth="1"/>
    <col min="2" max="2" width="11.44140625" customWidth="1"/>
    <col min="3" max="9" width="8.44140625" customWidth="1"/>
  </cols>
  <sheetData>
    <row r="1" spans="1:9" x14ac:dyDescent="0.3">
      <c r="A1" t="s">
        <v>355</v>
      </c>
      <c r="B1">
        <v>173</v>
      </c>
    </row>
    <row r="2" spans="1:9" x14ac:dyDescent="0.3">
      <c r="A2" t="s">
        <v>5</v>
      </c>
      <c r="B2" s="405" t="s">
        <v>223</v>
      </c>
    </row>
    <row r="3" spans="1:9" ht="15" thickBot="1" x14ac:dyDescent="0.35"/>
    <row r="4" spans="1:9" ht="15.6" thickBot="1" x14ac:dyDescent="0.35">
      <c r="A4" s="51" t="s">
        <v>1908</v>
      </c>
      <c r="B4" s="51" t="s">
        <v>422</v>
      </c>
      <c r="C4" s="51">
        <v>2020</v>
      </c>
      <c r="D4" s="51">
        <v>2021</v>
      </c>
      <c r="E4" s="51">
        <v>2022</v>
      </c>
      <c r="F4" s="51">
        <v>2023</v>
      </c>
      <c r="G4" s="51">
        <v>2024</v>
      </c>
      <c r="H4" s="51">
        <v>2025</v>
      </c>
      <c r="I4" s="51" t="s">
        <v>362</v>
      </c>
    </row>
    <row r="5" spans="1:9" ht="30.6" thickBot="1" x14ac:dyDescent="0.35">
      <c r="A5" s="48" t="s">
        <v>1909</v>
      </c>
      <c r="B5" s="48">
        <v>814</v>
      </c>
      <c r="C5" s="324">
        <v>1513</v>
      </c>
      <c r="D5" s="324">
        <v>1589</v>
      </c>
      <c r="E5" s="324">
        <v>2002</v>
      </c>
      <c r="F5" s="324">
        <v>2636</v>
      </c>
      <c r="G5" s="48">
        <v>3099</v>
      </c>
      <c r="H5" s="48">
        <v>2986</v>
      </c>
      <c r="I5" s="48">
        <v>2065</v>
      </c>
    </row>
    <row r="6" spans="1:9" ht="30.6" thickBot="1" x14ac:dyDescent="0.35">
      <c r="A6" s="48" t="s">
        <v>1910</v>
      </c>
      <c r="B6" s="48">
        <v>1246</v>
      </c>
      <c r="C6" s="48">
        <v>952</v>
      </c>
      <c r="D6" s="48">
        <v>535</v>
      </c>
      <c r="E6" s="48">
        <v>850</v>
      </c>
      <c r="F6" s="48">
        <v>1112</v>
      </c>
      <c r="G6" s="48">
        <v>2166</v>
      </c>
      <c r="H6" s="48">
        <v>1605</v>
      </c>
      <c r="I6" s="48">
        <v>172</v>
      </c>
    </row>
    <row r="7" spans="1:9" ht="15.6" thickBot="1" x14ac:dyDescent="0.35">
      <c r="A7" s="106" t="s">
        <v>1911</v>
      </c>
      <c r="B7" s="106">
        <v>2060</v>
      </c>
      <c r="C7" s="106">
        <v>2465</v>
      </c>
      <c r="D7" s="106">
        <v>2124</v>
      </c>
      <c r="E7" s="106">
        <v>2852</v>
      </c>
      <c r="F7" s="106">
        <v>3748</v>
      </c>
      <c r="G7" s="106">
        <v>5265</v>
      </c>
      <c r="H7" s="106">
        <f>H5+H6</f>
        <v>4591</v>
      </c>
      <c r="I7" s="106">
        <f>I5+I6</f>
        <v>2237</v>
      </c>
    </row>
  </sheetData>
  <pageMargins left="0.7" right="0.7" top="0.75" bottom="0.75" header="0.3" footer="0.3"/>
  <drawing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54DBA-55E3-4FDB-9C28-87952D62962A}">
  <dimension ref="A1:I7"/>
  <sheetViews>
    <sheetView workbookViewId="0">
      <selection activeCell="H4" sqref="H4:H7"/>
    </sheetView>
  </sheetViews>
  <sheetFormatPr baseColWidth="10" defaultColWidth="28.44140625" defaultRowHeight="14.4" x14ac:dyDescent="0.3"/>
  <cols>
    <col min="1" max="1" width="16.44140625" customWidth="1"/>
    <col min="2" max="2" width="11.44140625" customWidth="1"/>
    <col min="3" max="10" width="8.44140625" customWidth="1"/>
  </cols>
  <sheetData>
    <row r="1" spans="1:9" x14ac:dyDescent="0.3">
      <c r="A1" t="s">
        <v>355</v>
      </c>
      <c r="B1">
        <v>174</v>
      </c>
    </row>
    <row r="2" spans="1:9" x14ac:dyDescent="0.3">
      <c r="A2" t="s">
        <v>5</v>
      </c>
      <c r="B2" s="405" t="s">
        <v>224</v>
      </c>
    </row>
    <row r="3" spans="1:9" ht="15" thickBot="1" x14ac:dyDescent="0.35"/>
    <row r="4" spans="1:9" ht="15.6" thickBot="1" x14ac:dyDescent="0.35">
      <c r="A4" s="201" t="s">
        <v>1908</v>
      </c>
      <c r="B4" s="201" t="s">
        <v>422</v>
      </c>
      <c r="C4" s="201">
        <v>2020</v>
      </c>
      <c r="D4" s="201">
        <v>2021</v>
      </c>
      <c r="E4" s="201">
        <v>2022</v>
      </c>
      <c r="F4" s="201">
        <v>2023</v>
      </c>
      <c r="G4" s="201">
        <v>2024</v>
      </c>
      <c r="H4" s="201">
        <v>2025</v>
      </c>
      <c r="I4" s="201" t="s">
        <v>362</v>
      </c>
    </row>
    <row r="5" spans="1:9" ht="30.6" thickBot="1" x14ac:dyDescent="0.35">
      <c r="A5" s="104" t="s">
        <v>1909</v>
      </c>
      <c r="B5" s="104">
        <v>312</v>
      </c>
      <c r="C5" s="323">
        <v>346</v>
      </c>
      <c r="D5" s="323">
        <v>827</v>
      </c>
      <c r="E5" s="323">
        <v>837</v>
      </c>
      <c r="F5" s="323">
        <v>1218</v>
      </c>
      <c r="G5" s="104">
        <v>1165</v>
      </c>
      <c r="H5" s="104">
        <v>860</v>
      </c>
      <c r="I5" s="104">
        <v>719</v>
      </c>
    </row>
    <row r="6" spans="1:9" ht="30.6" thickBot="1" x14ac:dyDescent="0.35">
      <c r="A6" s="104" t="s">
        <v>1910</v>
      </c>
      <c r="B6" s="104">
        <v>726</v>
      </c>
      <c r="C6" s="104">
        <v>440</v>
      </c>
      <c r="D6" s="104">
        <v>504</v>
      </c>
      <c r="E6" s="104">
        <v>740</v>
      </c>
      <c r="F6" s="104">
        <v>822</v>
      </c>
      <c r="G6" s="104">
        <v>1397</v>
      </c>
      <c r="H6" s="104">
        <v>935</v>
      </c>
      <c r="I6" s="104">
        <v>439</v>
      </c>
    </row>
    <row r="7" spans="1:9" ht="15.6" thickBot="1" x14ac:dyDescent="0.35">
      <c r="A7" s="202" t="s">
        <v>1911</v>
      </c>
      <c r="B7" s="202">
        <v>1038</v>
      </c>
      <c r="C7" s="202">
        <v>786</v>
      </c>
      <c r="D7" s="202">
        <v>1331</v>
      </c>
      <c r="E7" s="202">
        <v>1577</v>
      </c>
      <c r="F7" s="202">
        <v>2040</v>
      </c>
      <c r="G7" s="202">
        <v>2562</v>
      </c>
      <c r="H7" s="202">
        <f>H5+H6</f>
        <v>1795</v>
      </c>
      <c r="I7" s="202">
        <f>I5+I6</f>
        <v>1158</v>
      </c>
    </row>
  </sheetData>
  <pageMargins left="0.7" right="0.7" top="0.75" bottom="0.75" header="0.3" footer="0.3"/>
  <drawing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BC982-5FB6-451C-9457-CFD6B4FD5850}">
  <dimension ref="A1:I5"/>
  <sheetViews>
    <sheetView workbookViewId="0"/>
  </sheetViews>
  <sheetFormatPr baseColWidth="10" defaultColWidth="28.44140625" defaultRowHeight="14.4" x14ac:dyDescent="0.3"/>
  <cols>
    <col min="1" max="1" width="16.44140625" customWidth="1"/>
    <col min="2" max="2" width="11.44140625" customWidth="1"/>
    <col min="3" max="11" width="8.44140625" customWidth="1"/>
  </cols>
  <sheetData>
    <row r="1" spans="1:9" x14ac:dyDescent="0.3">
      <c r="A1" t="s">
        <v>355</v>
      </c>
      <c r="B1">
        <v>175</v>
      </c>
    </row>
    <row r="2" spans="1:9" x14ac:dyDescent="0.3">
      <c r="A2" t="s">
        <v>5</v>
      </c>
      <c r="B2" t="s">
        <v>225</v>
      </c>
    </row>
    <row r="3" spans="1:9" ht="15" thickBot="1" x14ac:dyDescent="0.35"/>
    <row r="4" spans="1:9" ht="15.6" thickBot="1" x14ac:dyDescent="0.35">
      <c r="A4" s="203" t="s">
        <v>1908</v>
      </c>
      <c r="B4" s="203">
        <v>2019</v>
      </c>
      <c r="C4" s="203">
        <v>2020</v>
      </c>
      <c r="D4" s="203">
        <v>2021</v>
      </c>
      <c r="E4" s="203">
        <v>2022</v>
      </c>
      <c r="F4" s="203">
        <v>2023</v>
      </c>
      <c r="G4" s="203">
        <v>2024</v>
      </c>
      <c r="H4" s="203">
        <v>2025</v>
      </c>
      <c r="I4" s="203" t="s">
        <v>362</v>
      </c>
    </row>
    <row r="5" spans="1:9" ht="15.6" thickBot="1" x14ac:dyDescent="0.35">
      <c r="A5" s="204" t="s">
        <v>1912</v>
      </c>
      <c r="B5" s="204">
        <v>90.87</v>
      </c>
      <c r="C5" s="205">
        <v>0.93659999999999999</v>
      </c>
      <c r="D5" s="205">
        <v>0.89329999999999998</v>
      </c>
      <c r="E5" s="205">
        <v>0.96650000000000003</v>
      </c>
      <c r="F5" s="205">
        <v>0.96150000000000002</v>
      </c>
      <c r="G5" s="205">
        <v>0.96860000000000002</v>
      </c>
      <c r="H5" s="205">
        <v>0.94</v>
      </c>
      <c r="I5" s="205">
        <v>0.94</v>
      </c>
    </row>
  </sheetData>
  <pageMargins left="0.7" right="0.7" top="0.75" bottom="0.75" header="0.3" footer="0.3"/>
  <drawing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9C273-992E-4C55-BEDD-2C019B153BF9}">
  <dimension ref="A1:I11"/>
  <sheetViews>
    <sheetView workbookViewId="0"/>
  </sheetViews>
  <sheetFormatPr baseColWidth="10" defaultColWidth="28.44140625" defaultRowHeight="14.4" x14ac:dyDescent="0.3"/>
  <cols>
    <col min="1" max="1" width="16.44140625" customWidth="1"/>
    <col min="2" max="2" width="11.44140625" customWidth="1"/>
    <col min="3" max="11" width="8.44140625" customWidth="1"/>
  </cols>
  <sheetData>
    <row r="1" spans="1:9" x14ac:dyDescent="0.3">
      <c r="A1" t="s">
        <v>355</v>
      </c>
      <c r="B1">
        <v>179</v>
      </c>
    </row>
    <row r="2" spans="1:9" x14ac:dyDescent="0.3">
      <c r="A2" t="s">
        <v>5</v>
      </c>
      <c r="B2" t="s">
        <v>228</v>
      </c>
    </row>
    <row r="3" spans="1:9" ht="15" thickBot="1" x14ac:dyDescent="0.35"/>
    <row r="4" spans="1:9" ht="15" thickBot="1" x14ac:dyDescent="0.35">
      <c r="A4" s="206"/>
      <c r="B4" s="207">
        <v>2019</v>
      </c>
      <c r="C4" s="207">
        <v>2020</v>
      </c>
      <c r="D4" s="207">
        <v>2021</v>
      </c>
      <c r="E4" s="207">
        <v>2022</v>
      </c>
      <c r="F4" s="207">
        <v>2023</v>
      </c>
      <c r="G4" s="207">
        <v>2024</v>
      </c>
      <c r="H4" s="401">
        <v>2025</v>
      </c>
      <c r="I4" s="401">
        <v>2026</v>
      </c>
    </row>
    <row r="5" spans="1:9" ht="15" thickBot="1" x14ac:dyDescent="0.35">
      <c r="A5" s="208" t="s">
        <v>1913</v>
      </c>
      <c r="B5" s="26">
        <v>0</v>
      </c>
      <c r="C5" s="26">
        <v>4</v>
      </c>
      <c r="D5" s="26">
        <v>0</v>
      </c>
      <c r="E5" s="26">
        <v>3</v>
      </c>
      <c r="F5" s="26">
        <v>0</v>
      </c>
      <c r="G5" s="26">
        <v>0</v>
      </c>
      <c r="H5" s="26">
        <v>2</v>
      </c>
      <c r="I5" s="26">
        <v>0</v>
      </c>
    </row>
    <row r="6" spans="1:9" ht="15" thickBot="1" x14ac:dyDescent="0.35">
      <c r="A6" s="208" t="s">
        <v>498</v>
      </c>
      <c r="B6" s="26">
        <v>2</v>
      </c>
      <c r="C6" s="26">
        <v>8</v>
      </c>
      <c r="D6" s="26">
        <v>0</v>
      </c>
      <c r="E6" s="26">
        <v>8</v>
      </c>
      <c r="F6" s="26">
        <v>4</v>
      </c>
      <c r="G6" s="26">
        <v>3</v>
      </c>
      <c r="H6" s="26">
        <v>3</v>
      </c>
      <c r="I6" s="26">
        <v>10</v>
      </c>
    </row>
    <row r="7" spans="1:9" ht="15" thickBot="1" x14ac:dyDescent="0.35">
      <c r="A7" s="208" t="s">
        <v>1914</v>
      </c>
      <c r="B7" s="26">
        <v>9</v>
      </c>
      <c r="C7" s="26">
        <v>12</v>
      </c>
      <c r="D7" s="26">
        <v>13</v>
      </c>
      <c r="E7" s="26">
        <v>29</v>
      </c>
      <c r="F7" s="26">
        <v>12</v>
      </c>
      <c r="G7" s="26">
        <v>22</v>
      </c>
      <c r="H7" s="26">
        <v>11</v>
      </c>
      <c r="I7" s="26">
        <v>12</v>
      </c>
    </row>
    <row r="8" spans="1:9" ht="15" thickBot="1" x14ac:dyDescent="0.35">
      <c r="A8" s="208" t="s">
        <v>1915</v>
      </c>
      <c r="B8" s="26">
        <v>0</v>
      </c>
      <c r="C8" s="26">
        <v>0</v>
      </c>
      <c r="D8" s="26">
        <v>3</v>
      </c>
      <c r="E8" s="26">
        <v>2</v>
      </c>
      <c r="F8" s="26">
        <v>2</v>
      </c>
      <c r="G8" s="26">
        <v>1</v>
      </c>
      <c r="H8" s="26">
        <v>1</v>
      </c>
      <c r="I8" s="26">
        <v>1</v>
      </c>
    </row>
    <row r="9" spans="1:9" ht="15" thickBot="1" x14ac:dyDescent="0.35">
      <c r="A9" s="208" t="s">
        <v>371</v>
      </c>
      <c r="B9" s="209">
        <v>11</v>
      </c>
      <c r="C9" s="209">
        <v>24</v>
      </c>
      <c r="D9" s="209">
        <v>16</v>
      </c>
      <c r="E9" s="209">
        <v>42</v>
      </c>
      <c r="F9" s="209">
        <v>18</v>
      </c>
      <c r="G9" s="209">
        <v>26</v>
      </c>
      <c r="H9" s="209">
        <f>SUM(H5:H8)</f>
        <v>17</v>
      </c>
      <c r="I9" s="209">
        <f>SUM(I5:I8)</f>
        <v>23</v>
      </c>
    </row>
    <row r="11" spans="1:9" ht="15" customHeight="1" x14ac:dyDescent="0.3"/>
  </sheetData>
  <pageMargins left="0.7" right="0.7" top="0.75" bottom="0.75" header="0.3" footer="0.3"/>
  <drawing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B7BC4-74E1-4444-A669-42B63289C8E4}">
  <dimension ref="A1:F19"/>
  <sheetViews>
    <sheetView workbookViewId="0">
      <selection activeCell="N3" sqref="N3"/>
    </sheetView>
  </sheetViews>
  <sheetFormatPr baseColWidth="10" defaultColWidth="28.44140625" defaultRowHeight="14.4" x14ac:dyDescent="0.3"/>
  <cols>
    <col min="1" max="1" width="9.44140625" customWidth="1"/>
    <col min="2" max="2" width="7.44140625" customWidth="1"/>
    <col min="3" max="3" width="10.44140625" customWidth="1"/>
    <col min="4" max="4" width="11.44140625" customWidth="1"/>
    <col min="5" max="5" width="10.44140625" customWidth="1"/>
    <col min="6" max="10" width="8.44140625" customWidth="1"/>
  </cols>
  <sheetData>
    <row r="1" spans="1:6" x14ac:dyDescent="0.3">
      <c r="A1" t="s">
        <v>355</v>
      </c>
      <c r="B1">
        <v>17</v>
      </c>
    </row>
    <row r="2" spans="1:6" x14ac:dyDescent="0.3">
      <c r="A2" t="s">
        <v>5</v>
      </c>
      <c r="B2" t="s">
        <v>229</v>
      </c>
    </row>
    <row r="4" spans="1:6" x14ac:dyDescent="0.3">
      <c r="A4" s="42"/>
    </row>
    <row r="5" spans="1:6" ht="16.8" x14ac:dyDescent="0.3">
      <c r="A5" s="210"/>
      <c r="B5" s="210" t="s">
        <v>1913</v>
      </c>
      <c r="C5" s="210" t="s">
        <v>498</v>
      </c>
      <c r="D5" s="210" t="s">
        <v>1914</v>
      </c>
      <c r="E5" s="210" t="s">
        <v>1915</v>
      </c>
      <c r="F5" s="316" t="s">
        <v>1916</v>
      </c>
    </row>
    <row r="6" spans="1:6" ht="16.8" x14ac:dyDescent="0.3">
      <c r="A6" s="304" t="s">
        <v>422</v>
      </c>
      <c r="B6" s="303">
        <v>0</v>
      </c>
      <c r="C6" s="303">
        <v>17</v>
      </c>
      <c r="D6" s="303">
        <v>21</v>
      </c>
      <c r="E6" s="303">
        <v>148</v>
      </c>
      <c r="F6" s="303"/>
    </row>
    <row r="7" spans="1:6" ht="16.8" x14ac:dyDescent="0.3">
      <c r="A7" s="304" t="s">
        <v>423</v>
      </c>
      <c r="B7" s="303">
        <v>5</v>
      </c>
      <c r="C7" s="303">
        <v>23</v>
      </c>
      <c r="D7" s="303">
        <v>31</v>
      </c>
      <c r="E7" s="303">
        <v>148</v>
      </c>
      <c r="F7" s="303"/>
    </row>
    <row r="8" spans="1:6" ht="16.8" x14ac:dyDescent="0.3">
      <c r="A8" s="304" t="s">
        <v>424</v>
      </c>
      <c r="B8" s="303">
        <v>6</v>
      </c>
      <c r="C8" s="303">
        <v>22</v>
      </c>
      <c r="D8" s="303">
        <v>31</v>
      </c>
      <c r="E8" s="303">
        <v>147</v>
      </c>
      <c r="F8" s="303"/>
    </row>
    <row r="9" spans="1:6" ht="16.8" x14ac:dyDescent="0.3">
      <c r="A9" s="304" t="s">
        <v>425</v>
      </c>
      <c r="B9" s="303">
        <v>4</v>
      </c>
      <c r="C9" s="303">
        <v>22</v>
      </c>
      <c r="D9" s="303">
        <v>41</v>
      </c>
      <c r="E9" s="303">
        <v>158</v>
      </c>
      <c r="F9" s="303"/>
    </row>
    <row r="10" spans="1:6" ht="16.8" x14ac:dyDescent="0.3">
      <c r="A10" s="304" t="s">
        <v>426</v>
      </c>
      <c r="B10" s="303">
        <v>5</v>
      </c>
      <c r="C10" s="303">
        <v>22</v>
      </c>
      <c r="D10" s="303">
        <v>42</v>
      </c>
      <c r="E10" s="303">
        <v>164</v>
      </c>
      <c r="F10" s="303"/>
    </row>
    <row r="11" spans="1:6" ht="16.8" x14ac:dyDescent="0.3">
      <c r="A11" s="304" t="s">
        <v>427</v>
      </c>
      <c r="B11" s="303">
        <v>6</v>
      </c>
      <c r="C11" s="303">
        <v>21</v>
      </c>
      <c r="D11" s="303">
        <v>41</v>
      </c>
      <c r="E11" s="303">
        <v>176</v>
      </c>
      <c r="F11" s="303"/>
    </row>
    <row r="12" spans="1:6" ht="16.8" x14ac:dyDescent="0.3">
      <c r="A12" s="304" t="s">
        <v>428</v>
      </c>
      <c r="B12" s="303">
        <v>9</v>
      </c>
      <c r="C12" s="303">
        <v>23</v>
      </c>
      <c r="D12" s="303">
        <v>54</v>
      </c>
      <c r="E12" s="303">
        <v>156</v>
      </c>
      <c r="F12" s="303"/>
    </row>
    <row r="13" spans="1:6" ht="16.8" x14ac:dyDescent="0.3">
      <c r="A13" s="304" t="s">
        <v>429</v>
      </c>
      <c r="B13" s="303">
        <v>8</v>
      </c>
      <c r="C13" s="303">
        <v>23</v>
      </c>
      <c r="D13" s="303">
        <v>47</v>
      </c>
      <c r="E13" s="303">
        <v>161</v>
      </c>
      <c r="F13" s="303"/>
    </row>
    <row r="14" spans="1:6" ht="16.8" x14ac:dyDescent="0.3">
      <c r="A14" s="304" t="s">
        <v>430</v>
      </c>
      <c r="B14" s="303">
        <v>8</v>
      </c>
      <c r="C14" s="303">
        <v>24</v>
      </c>
      <c r="D14" s="303">
        <v>55</v>
      </c>
      <c r="E14" s="303">
        <v>164</v>
      </c>
      <c r="F14" s="303"/>
    </row>
    <row r="15" spans="1:6" ht="16.8" x14ac:dyDescent="0.3">
      <c r="A15" s="304" t="s">
        <v>358</v>
      </c>
      <c r="B15" s="303">
        <v>5</v>
      </c>
      <c r="C15" s="303">
        <v>26</v>
      </c>
      <c r="D15" s="303">
        <v>71</v>
      </c>
      <c r="E15" s="303">
        <v>155</v>
      </c>
      <c r="F15" s="303"/>
    </row>
    <row r="16" spans="1:6" ht="16.8" x14ac:dyDescent="0.3">
      <c r="A16" s="304" t="s">
        <v>359</v>
      </c>
      <c r="B16" s="303">
        <v>5</v>
      </c>
      <c r="C16" s="303">
        <v>25</v>
      </c>
      <c r="D16" s="303">
        <v>70</v>
      </c>
      <c r="E16" s="303">
        <v>154</v>
      </c>
      <c r="F16" s="303">
        <v>6</v>
      </c>
    </row>
    <row r="17" spans="1:6" ht="16.8" x14ac:dyDescent="0.3">
      <c r="A17" s="304" t="s">
        <v>360</v>
      </c>
      <c r="B17" s="303">
        <v>5</v>
      </c>
      <c r="C17" s="303">
        <v>25</v>
      </c>
      <c r="D17" s="303">
        <v>68</v>
      </c>
      <c r="E17" s="303">
        <v>148</v>
      </c>
      <c r="F17" s="303">
        <v>9</v>
      </c>
    </row>
    <row r="18" spans="1:6" ht="16.8" x14ac:dyDescent="0.3">
      <c r="A18" s="304" t="s">
        <v>361</v>
      </c>
      <c r="B18" s="303">
        <v>7</v>
      </c>
      <c r="C18" s="303">
        <v>26</v>
      </c>
      <c r="D18" s="303">
        <v>74</v>
      </c>
      <c r="E18" s="303">
        <v>130</v>
      </c>
      <c r="F18" s="303">
        <v>10</v>
      </c>
    </row>
    <row r="19" spans="1:6" ht="16.8" x14ac:dyDescent="0.3">
      <c r="A19" s="304" t="s">
        <v>362</v>
      </c>
      <c r="B19" s="303">
        <v>6</v>
      </c>
      <c r="C19" s="303">
        <v>30</v>
      </c>
      <c r="D19" s="303">
        <v>66</v>
      </c>
      <c r="E19" s="303">
        <v>124</v>
      </c>
      <c r="F19" s="303">
        <v>20</v>
      </c>
    </row>
  </sheetData>
  <pageMargins left="0.7" right="0.7" top="0.75" bottom="0.75" header="0.3" footer="0.3"/>
  <drawing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26B8-D327-4FAA-9A88-54FF09E8E8A2}">
  <dimension ref="A1:O8"/>
  <sheetViews>
    <sheetView workbookViewId="0">
      <selection activeCell="P14" sqref="P14"/>
    </sheetView>
  </sheetViews>
  <sheetFormatPr baseColWidth="10" defaultColWidth="28.44140625" defaultRowHeight="14.4" x14ac:dyDescent="0.3"/>
  <cols>
    <col min="1" max="1" width="16.44140625" customWidth="1"/>
    <col min="2" max="2" width="11.44140625" customWidth="1"/>
    <col min="3" max="13" width="5.6640625" bestFit="1" customWidth="1"/>
    <col min="14" max="15" width="6.6640625" customWidth="1"/>
  </cols>
  <sheetData>
    <row r="1" spans="1:15" x14ac:dyDescent="0.3">
      <c r="A1" t="s">
        <v>355</v>
      </c>
      <c r="B1">
        <v>181</v>
      </c>
    </row>
    <row r="2" spans="1:15" x14ac:dyDescent="0.3">
      <c r="A2" t="s">
        <v>5</v>
      </c>
      <c r="B2" t="s">
        <v>231</v>
      </c>
    </row>
    <row r="3" spans="1:15" ht="15" thickBot="1" x14ac:dyDescent="0.35"/>
    <row r="4" spans="1:15" ht="24.6" thickBot="1" x14ac:dyDescent="0.35">
      <c r="A4" s="211" t="s">
        <v>1917</v>
      </c>
      <c r="B4" s="211" t="s">
        <v>422</v>
      </c>
      <c r="C4" s="211" t="s">
        <v>423</v>
      </c>
      <c r="D4" s="211" t="s">
        <v>424</v>
      </c>
      <c r="E4" s="211" t="s">
        <v>425</v>
      </c>
      <c r="F4" s="211" t="s">
        <v>426</v>
      </c>
      <c r="G4" s="211" t="s">
        <v>427</v>
      </c>
      <c r="H4" s="211" t="s">
        <v>428</v>
      </c>
      <c r="I4" s="211" t="s">
        <v>429</v>
      </c>
      <c r="J4" s="211" t="s">
        <v>430</v>
      </c>
      <c r="K4" s="211" t="s">
        <v>358</v>
      </c>
      <c r="L4" s="215" t="s">
        <v>359</v>
      </c>
      <c r="M4" s="215" t="s">
        <v>360</v>
      </c>
      <c r="N4" s="215" t="s">
        <v>361</v>
      </c>
      <c r="O4" s="215" t="s">
        <v>362</v>
      </c>
    </row>
    <row r="5" spans="1:15" ht="15" thickBot="1" x14ac:dyDescent="0.35">
      <c r="A5" s="212" t="s">
        <v>431</v>
      </c>
      <c r="B5" s="19">
        <v>216</v>
      </c>
      <c r="C5" s="19">
        <v>236</v>
      </c>
      <c r="D5" s="19">
        <v>231</v>
      </c>
      <c r="E5" s="19">
        <v>371</v>
      </c>
      <c r="F5" s="19">
        <v>355</v>
      </c>
      <c r="G5" s="19">
        <v>436</v>
      </c>
      <c r="H5" s="19">
        <v>503</v>
      </c>
      <c r="I5" s="19">
        <v>499</v>
      </c>
      <c r="J5" s="19">
        <v>536</v>
      </c>
      <c r="K5" s="19">
        <v>594</v>
      </c>
      <c r="L5" s="19">
        <v>591</v>
      </c>
      <c r="M5" s="19">
        <v>649</v>
      </c>
      <c r="N5" s="19">
        <v>666</v>
      </c>
      <c r="O5" s="19">
        <v>690</v>
      </c>
    </row>
    <row r="6" spans="1:15" ht="15" thickBot="1" x14ac:dyDescent="0.35">
      <c r="A6" s="213" t="s">
        <v>432</v>
      </c>
      <c r="B6" s="19">
        <v>47</v>
      </c>
      <c r="C6" s="19">
        <v>50</v>
      </c>
      <c r="D6" s="19">
        <v>68</v>
      </c>
      <c r="E6" s="19">
        <v>118</v>
      </c>
      <c r="F6" s="19">
        <v>100</v>
      </c>
      <c r="G6" s="19">
        <v>133</v>
      </c>
      <c r="H6" s="19">
        <v>136</v>
      </c>
      <c r="I6" s="19">
        <v>183</v>
      </c>
      <c r="J6" s="19">
        <v>165</v>
      </c>
      <c r="K6" s="19">
        <v>195</v>
      </c>
      <c r="L6" s="19">
        <v>180</v>
      </c>
      <c r="M6" s="19">
        <v>273</v>
      </c>
      <c r="N6" s="19">
        <v>276</v>
      </c>
      <c r="O6" s="19">
        <v>329</v>
      </c>
    </row>
    <row r="7" spans="1:15" ht="15" thickBot="1" x14ac:dyDescent="0.35">
      <c r="A7" s="213" t="s">
        <v>433</v>
      </c>
      <c r="B7" s="19">
        <v>1016</v>
      </c>
      <c r="C7" s="19">
        <v>948</v>
      </c>
      <c r="D7" s="19">
        <v>704</v>
      </c>
      <c r="E7" s="19">
        <v>342</v>
      </c>
      <c r="F7" s="19">
        <v>397</v>
      </c>
      <c r="G7" s="19">
        <v>303</v>
      </c>
      <c r="H7" s="19">
        <v>222</v>
      </c>
      <c r="I7" s="19">
        <v>190</v>
      </c>
      <c r="J7" s="19">
        <v>179</v>
      </c>
      <c r="K7" s="19">
        <v>199</v>
      </c>
      <c r="L7" s="19">
        <v>153</v>
      </c>
      <c r="M7" s="19">
        <v>136</v>
      </c>
      <c r="N7" s="19">
        <v>96</v>
      </c>
      <c r="O7" s="19">
        <v>63</v>
      </c>
    </row>
    <row r="8" spans="1:15" ht="15" thickBot="1" x14ac:dyDescent="0.35">
      <c r="A8" s="213" t="s">
        <v>466</v>
      </c>
      <c r="B8" s="214">
        <v>1279</v>
      </c>
      <c r="C8" s="214">
        <v>1234</v>
      </c>
      <c r="D8" s="214">
        <v>1003</v>
      </c>
      <c r="E8" s="214">
        <v>831</v>
      </c>
      <c r="F8" s="214">
        <v>852</v>
      </c>
      <c r="G8" s="214">
        <v>872</v>
      </c>
      <c r="H8" s="214">
        <v>861</v>
      </c>
      <c r="I8" s="214">
        <v>872</v>
      </c>
      <c r="J8" s="214">
        <v>880</v>
      </c>
      <c r="K8" s="214">
        <v>988</v>
      </c>
      <c r="L8" s="214">
        <f>L5+L6+L7</f>
        <v>924</v>
      </c>
      <c r="M8" s="214">
        <f>M5+M6+M7</f>
        <v>1058</v>
      </c>
      <c r="N8" s="214">
        <v>1038</v>
      </c>
      <c r="O8" s="214">
        <f>SUM(O5:O7)</f>
        <v>1082</v>
      </c>
    </row>
  </sheetData>
  <pageMargins left="0.7" right="0.7" top="0.75" bottom="0.75" header="0.3" footer="0.3"/>
  <drawing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737B8-9853-4680-BE15-25760985B80F}">
  <dimension ref="A1:O14"/>
  <sheetViews>
    <sheetView workbookViewId="0">
      <selection activeCell="O14" sqref="O14"/>
    </sheetView>
  </sheetViews>
  <sheetFormatPr baseColWidth="10" defaultColWidth="28.44140625" defaultRowHeight="14.4" x14ac:dyDescent="0.3"/>
  <cols>
    <col min="1" max="1" width="16.44140625" customWidth="1"/>
    <col min="2" max="2" width="11.44140625" customWidth="1"/>
    <col min="3" max="10" width="8.44140625" customWidth="1"/>
    <col min="11" max="11" width="10.44140625" customWidth="1"/>
    <col min="12" max="12" width="6.44140625" bestFit="1" customWidth="1"/>
    <col min="13" max="15" width="10.44140625" customWidth="1"/>
  </cols>
  <sheetData>
    <row r="1" spans="1:15" x14ac:dyDescent="0.3">
      <c r="A1" t="s">
        <v>355</v>
      </c>
      <c r="B1">
        <v>18</v>
      </c>
    </row>
    <row r="2" spans="1:15" x14ac:dyDescent="0.3">
      <c r="A2" t="s">
        <v>5</v>
      </c>
      <c r="B2" t="s">
        <v>231</v>
      </c>
    </row>
    <row r="4" spans="1:15" ht="15" thickBot="1" x14ac:dyDescent="0.35"/>
    <row r="5" spans="1:15" ht="15" thickBot="1" x14ac:dyDescent="0.35">
      <c r="A5" s="211"/>
      <c r="B5" s="211" t="s">
        <v>422</v>
      </c>
      <c r="C5" s="211" t="s">
        <v>423</v>
      </c>
      <c r="D5" s="211" t="s">
        <v>424</v>
      </c>
      <c r="E5" s="211" t="s">
        <v>425</v>
      </c>
      <c r="F5" s="211" t="s">
        <v>426</v>
      </c>
      <c r="G5" s="211" t="s">
        <v>427</v>
      </c>
      <c r="H5" s="211" t="s">
        <v>428</v>
      </c>
      <c r="I5" s="211" t="s">
        <v>429</v>
      </c>
      <c r="J5" s="211" t="s">
        <v>430</v>
      </c>
      <c r="K5" s="211" t="s">
        <v>358</v>
      </c>
      <c r="L5" s="215" t="s">
        <v>359</v>
      </c>
      <c r="M5" s="215" t="s">
        <v>360</v>
      </c>
      <c r="N5" s="215" t="s">
        <v>361</v>
      </c>
      <c r="O5" s="215" t="s">
        <v>362</v>
      </c>
    </row>
    <row r="6" spans="1:15" ht="15" thickBot="1" x14ac:dyDescent="0.35">
      <c r="A6" s="212" t="s">
        <v>431</v>
      </c>
      <c r="B6" s="19">
        <v>216</v>
      </c>
      <c r="C6" s="19">
        <v>236</v>
      </c>
      <c r="D6" s="19">
        <v>231</v>
      </c>
      <c r="E6" s="19">
        <v>371</v>
      </c>
      <c r="F6" s="19">
        <v>355</v>
      </c>
      <c r="G6" s="19">
        <v>436</v>
      </c>
      <c r="H6" s="19">
        <v>503</v>
      </c>
      <c r="I6" s="19">
        <v>499</v>
      </c>
      <c r="J6" s="19">
        <v>536</v>
      </c>
      <c r="K6" s="19">
        <v>594</v>
      </c>
      <c r="L6" s="19">
        <v>591</v>
      </c>
      <c r="M6" s="19">
        <v>649</v>
      </c>
      <c r="N6" s="19">
        <v>666</v>
      </c>
      <c r="O6" s="19">
        <v>690</v>
      </c>
    </row>
    <row r="7" spans="1:15" ht="15" thickBot="1" x14ac:dyDescent="0.35">
      <c r="A7" s="213" t="s">
        <v>432</v>
      </c>
      <c r="B7" s="19">
        <v>47</v>
      </c>
      <c r="C7" s="19">
        <v>50</v>
      </c>
      <c r="D7" s="19">
        <v>68</v>
      </c>
      <c r="E7" s="19">
        <v>118</v>
      </c>
      <c r="F7" s="19">
        <v>100</v>
      </c>
      <c r="G7" s="19">
        <v>133</v>
      </c>
      <c r="H7" s="19">
        <v>136</v>
      </c>
      <c r="I7" s="19">
        <v>183</v>
      </c>
      <c r="J7" s="19">
        <v>165</v>
      </c>
      <c r="K7" s="19">
        <v>195</v>
      </c>
      <c r="L7" s="19">
        <v>180</v>
      </c>
      <c r="M7" s="19">
        <v>273</v>
      </c>
      <c r="N7" s="19">
        <v>276</v>
      </c>
      <c r="O7" s="19">
        <v>329</v>
      </c>
    </row>
    <row r="8" spans="1:15" ht="15" thickBot="1" x14ac:dyDescent="0.35">
      <c r="A8" s="213" t="s">
        <v>433</v>
      </c>
      <c r="B8" s="19">
        <v>1016</v>
      </c>
      <c r="C8" s="19">
        <v>948</v>
      </c>
      <c r="D8" s="19">
        <v>704</v>
      </c>
      <c r="E8" s="19">
        <v>342</v>
      </c>
      <c r="F8" s="19">
        <v>397</v>
      </c>
      <c r="G8" s="19">
        <v>303</v>
      </c>
      <c r="H8" s="19">
        <v>222</v>
      </c>
      <c r="I8" s="19">
        <v>190</v>
      </c>
      <c r="J8" s="19">
        <v>179</v>
      </c>
      <c r="K8" s="19">
        <v>199</v>
      </c>
      <c r="L8" s="19">
        <v>153</v>
      </c>
      <c r="M8" s="19">
        <v>136</v>
      </c>
      <c r="N8" s="19">
        <v>96</v>
      </c>
      <c r="O8" s="19">
        <v>63</v>
      </c>
    </row>
    <row r="9" spans="1:15" ht="15" thickBot="1" x14ac:dyDescent="0.35">
      <c r="A9" s="213" t="s">
        <v>466</v>
      </c>
      <c r="B9" s="214">
        <v>1279</v>
      </c>
      <c r="C9" s="214">
        <v>1234</v>
      </c>
      <c r="D9" s="214">
        <v>1003</v>
      </c>
      <c r="E9" s="214">
        <v>831</v>
      </c>
      <c r="F9" s="214">
        <v>852</v>
      </c>
      <c r="G9" s="214">
        <v>872</v>
      </c>
      <c r="H9" s="214">
        <v>861</v>
      </c>
      <c r="I9" s="214">
        <v>872</v>
      </c>
      <c r="J9" s="214">
        <v>880</v>
      </c>
      <c r="K9" s="214">
        <v>988</v>
      </c>
      <c r="L9" s="214">
        <f>L6+L7+L8</f>
        <v>924</v>
      </c>
      <c r="M9" s="214">
        <f>M6+M7+M8</f>
        <v>1058</v>
      </c>
      <c r="N9" s="214">
        <v>1038</v>
      </c>
      <c r="O9" s="214">
        <f>SUM(O6:O8)</f>
        <v>1082</v>
      </c>
    </row>
    <row r="10" spans="1:15" ht="15" thickBot="1" x14ac:dyDescent="0.35"/>
    <row r="11" spans="1:15" ht="15" thickBot="1" x14ac:dyDescent="0.35">
      <c r="A11" s="211"/>
      <c r="B11" s="211" t="s">
        <v>422</v>
      </c>
      <c r="C11" s="211" t="s">
        <v>423</v>
      </c>
      <c r="D11" s="211" t="s">
        <v>424</v>
      </c>
      <c r="E11" s="211" t="s">
        <v>425</v>
      </c>
      <c r="F11" s="211" t="s">
        <v>426</v>
      </c>
      <c r="G11" s="211" t="s">
        <v>427</v>
      </c>
      <c r="H11" s="211" t="s">
        <v>428</v>
      </c>
      <c r="I11" s="211" t="s">
        <v>429</v>
      </c>
      <c r="J11" s="211" t="s">
        <v>430</v>
      </c>
      <c r="K11" s="211" t="s">
        <v>358</v>
      </c>
      <c r="L11" s="215" t="s">
        <v>359</v>
      </c>
      <c r="M11" s="215" t="s">
        <v>360</v>
      </c>
      <c r="N11" s="215" t="s">
        <v>361</v>
      </c>
      <c r="O11" s="215" t="s">
        <v>362</v>
      </c>
    </row>
    <row r="12" spans="1:15" ht="15" thickBot="1" x14ac:dyDescent="0.35">
      <c r="A12" s="212" t="s">
        <v>431</v>
      </c>
      <c r="B12" s="383">
        <f>+B6/B$9</f>
        <v>0.16888193901485535</v>
      </c>
      <c r="C12" s="383">
        <f t="shared" ref="C12:L12" si="0">+C6/C$9</f>
        <v>0.19124797406807131</v>
      </c>
      <c r="D12" s="383">
        <f t="shared" si="0"/>
        <v>0.23030907278165502</v>
      </c>
      <c r="E12" s="383">
        <f t="shared" si="0"/>
        <v>0.44645006016847172</v>
      </c>
      <c r="F12" s="383">
        <f t="shared" si="0"/>
        <v>0.41666666666666669</v>
      </c>
      <c r="G12" s="383">
        <f t="shared" si="0"/>
        <v>0.5</v>
      </c>
      <c r="H12" s="383">
        <f t="shared" si="0"/>
        <v>0.58420441347270613</v>
      </c>
      <c r="I12" s="383">
        <f t="shared" si="0"/>
        <v>0.57224770642201839</v>
      </c>
      <c r="J12" s="383">
        <f t="shared" si="0"/>
        <v>0.60909090909090913</v>
      </c>
      <c r="K12" s="383">
        <f t="shared" si="0"/>
        <v>0.60121457489878538</v>
      </c>
      <c r="L12" s="383">
        <f t="shared" si="0"/>
        <v>0.63961038961038963</v>
      </c>
      <c r="M12" s="383">
        <f t="shared" ref="M12" si="1">+M6/M$9</f>
        <v>0.61342155009451793</v>
      </c>
      <c r="N12" s="383">
        <f t="shared" ref="N12:O14" si="2">+N6/N$9</f>
        <v>0.64161849710982655</v>
      </c>
      <c r="O12" s="383">
        <f t="shared" si="2"/>
        <v>0.63770794824399257</v>
      </c>
    </row>
    <row r="13" spans="1:15" ht="15" thickBot="1" x14ac:dyDescent="0.35">
      <c r="A13" s="213" t="s">
        <v>432</v>
      </c>
      <c r="B13" s="383">
        <f t="shared" ref="B13:L14" si="3">+B7/B$9</f>
        <v>3.6747458952306487E-2</v>
      </c>
      <c r="C13" s="383">
        <f t="shared" si="3"/>
        <v>4.0518638573743923E-2</v>
      </c>
      <c r="D13" s="383">
        <f t="shared" si="3"/>
        <v>6.7796610169491525E-2</v>
      </c>
      <c r="E13" s="383">
        <f t="shared" si="3"/>
        <v>0.14199759326113118</v>
      </c>
      <c r="F13" s="383">
        <f t="shared" si="3"/>
        <v>0.11737089201877934</v>
      </c>
      <c r="G13" s="383">
        <f t="shared" si="3"/>
        <v>0.15252293577981652</v>
      </c>
      <c r="H13" s="383">
        <f t="shared" si="3"/>
        <v>0.15795586527293845</v>
      </c>
      <c r="I13" s="383">
        <f t="shared" si="3"/>
        <v>0.20986238532110091</v>
      </c>
      <c r="J13" s="383">
        <f t="shared" si="3"/>
        <v>0.1875</v>
      </c>
      <c r="K13" s="383">
        <f t="shared" si="3"/>
        <v>0.19736842105263158</v>
      </c>
      <c r="L13" s="383">
        <f t="shared" si="3"/>
        <v>0.19480519480519481</v>
      </c>
      <c r="M13" s="383">
        <f t="shared" ref="M13" si="4">+M7/M$9</f>
        <v>0.25803402646502838</v>
      </c>
      <c r="N13" s="383">
        <f t="shared" si="2"/>
        <v>0.26589595375722541</v>
      </c>
      <c r="O13" s="383">
        <f t="shared" si="2"/>
        <v>0.30406654343807765</v>
      </c>
    </row>
    <row r="14" spans="1:15" ht="15" thickBot="1" x14ac:dyDescent="0.35">
      <c r="A14" s="213" t="s">
        <v>433</v>
      </c>
      <c r="B14" s="383">
        <f t="shared" si="3"/>
        <v>0.79437060203283816</v>
      </c>
      <c r="C14" s="383">
        <f t="shared" si="3"/>
        <v>0.7682333873581848</v>
      </c>
      <c r="D14" s="383">
        <f t="shared" si="3"/>
        <v>0.70189431704885341</v>
      </c>
      <c r="E14" s="383">
        <f t="shared" si="3"/>
        <v>0.41155234657039713</v>
      </c>
      <c r="F14" s="383">
        <f t="shared" si="3"/>
        <v>0.465962441314554</v>
      </c>
      <c r="G14" s="383">
        <f t="shared" si="3"/>
        <v>0.34747706422018348</v>
      </c>
      <c r="H14" s="383">
        <f t="shared" si="3"/>
        <v>0.25783972125435539</v>
      </c>
      <c r="I14" s="383">
        <f t="shared" si="3"/>
        <v>0.21788990825688073</v>
      </c>
      <c r="J14" s="383">
        <f t="shared" si="3"/>
        <v>0.2034090909090909</v>
      </c>
      <c r="K14" s="383">
        <f t="shared" si="3"/>
        <v>0.20141700404858301</v>
      </c>
      <c r="L14" s="383">
        <f t="shared" si="3"/>
        <v>0.16558441558441558</v>
      </c>
      <c r="M14" s="383">
        <f t="shared" ref="M14" si="5">+M8/M$9</f>
        <v>0.12854442344045369</v>
      </c>
      <c r="N14" s="383">
        <f t="shared" si="2"/>
        <v>9.2485549132947972E-2</v>
      </c>
      <c r="O14" s="383">
        <f t="shared" si="2"/>
        <v>5.8225508317929761E-2</v>
      </c>
    </row>
  </sheetData>
  <pageMargins left="0.7" right="0.7" top="0.75" bottom="0.75" header="0.3" footer="0.3"/>
  <drawing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E4AB1-4D69-4484-B344-B050E02987B0}">
  <dimension ref="A1:P10"/>
  <sheetViews>
    <sheetView zoomScale="115" zoomScaleNormal="115" workbookViewId="0">
      <selection activeCell="A5" sqref="A5:A6"/>
    </sheetView>
  </sheetViews>
  <sheetFormatPr baseColWidth="10" defaultColWidth="28.44140625" defaultRowHeight="14.4" x14ac:dyDescent="0.3"/>
  <cols>
    <col min="1" max="1" width="16.44140625" customWidth="1"/>
    <col min="2" max="2" width="11.44140625" customWidth="1"/>
    <col min="3" max="10" width="8.44140625" customWidth="1"/>
    <col min="11" max="16" width="10.44140625" customWidth="1"/>
  </cols>
  <sheetData>
    <row r="1" spans="1:16" x14ac:dyDescent="0.3">
      <c r="A1" t="s">
        <v>355</v>
      </c>
      <c r="B1">
        <v>182</v>
      </c>
    </row>
    <row r="2" spans="1:16" x14ac:dyDescent="0.3">
      <c r="A2" t="s">
        <v>5</v>
      </c>
      <c r="B2" t="s">
        <v>232</v>
      </c>
    </row>
    <row r="3" spans="1:16" ht="15" thickBot="1" x14ac:dyDescent="0.35"/>
    <row r="4" spans="1:16" ht="15" thickBot="1" x14ac:dyDescent="0.35">
      <c r="A4" s="216" t="s">
        <v>1917</v>
      </c>
      <c r="B4" s="211" t="s">
        <v>1918</v>
      </c>
      <c r="C4" s="211" t="s">
        <v>422</v>
      </c>
      <c r="D4" s="211" t="s">
        <v>423</v>
      </c>
      <c r="E4" s="211" t="s">
        <v>424</v>
      </c>
      <c r="F4" s="211" t="s">
        <v>425</v>
      </c>
      <c r="G4" s="211" t="s">
        <v>426</v>
      </c>
      <c r="H4" s="211" t="s">
        <v>427</v>
      </c>
      <c r="I4" s="211" t="s">
        <v>428</v>
      </c>
      <c r="J4" s="211" t="s">
        <v>429</v>
      </c>
      <c r="K4" s="211" t="s">
        <v>430</v>
      </c>
      <c r="L4" s="211" t="s">
        <v>358</v>
      </c>
      <c r="M4" s="211" t="s">
        <v>359</v>
      </c>
      <c r="N4" s="211" t="s">
        <v>360</v>
      </c>
      <c r="O4" s="211" t="s">
        <v>361</v>
      </c>
      <c r="P4" s="211" t="s">
        <v>362</v>
      </c>
    </row>
    <row r="5" spans="1:16" ht="15" thickBot="1" x14ac:dyDescent="0.35">
      <c r="A5" s="668" t="s">
        <v>431</v>
      </c>
      <c r="B5" s="26" t="s">
        <v>1919</v>
      </c>
      <c r="C5" s="26">
        <v>207</v>
      </c>
      <c r="D5" s="26">
        <v>226</v>
      </c>
      <c r="E5" s="26">
        <v>220</v>
      </c>
      <c r="F5" s="26">
        <v>232</v>
      </c>
      <c r="G5" s="26">
        <v>239</v>
      </c>
      <c r="H5" s="26">
        <v>249</v>
      </c>
      <c r="I5" s="26">
        <v>246</v>
      </c>
      <c r="J5" s="26">
        <v>243</v>
      </c>
      <c r="K5" s="26">
        <v>254</v>
      </c>
      <c r="L5" s="26">
        <v>263</v>
      </c>
      <c r="M5" s="26">
        <v>260</v>
      </c>
      <c r="N5" s="26">
        <v>255</v>
      </c>
      <c r="O5" s="26">
        <v>247</v>
      </c>
      <c r="P5" s="26">
        <v>246</v>
      </c>
    </row>
    <row r="6" spans="1:16" ht="15" thickBot="1" x14ac:dyDescent="0.35">
      <c r="A6" s="669"/>
      <c r="B6" s="26" t="s">
        <v>1920</v>
      </c>
      <c r="C6" s="26">
        <v>0</v>
      </c>
      <c r="D6" s="26">
        <v>0</v>
      </c>
      <c r="E6" s="26">
        <v>0</v>
      </c>
      <c r="F6" s="26">
        <v>0</v>
      </c>
      <c r="G6" s="26">
        <v>0</v>
      </c>
      <c r="H6" s="26">
        <v>3</v>
      </c>
      <c r="I6" s="26">
        <v>10</v>
      </c>
      <c r="J6" s="26">
        <v>44</v>
      </c>
      <c r="K6" s="26">
        <v>56</v>
      </c>
      <c r="L6" s="26">
        <v>81</v>
      </c>
      <c r="M6" s="26">
        <v>80</v>
      </c>
      <c r="N6" s="26">
        <v>175</v>
      </c>
      <c r="O6" s="26">
        <v>177</v>
      </c>
      <c r="P6" s="26">
        <v>245</v>
      </c>
    </row>
    <row r="7" spans="1:16" ht="15" thickBot="1" x14ac:dyDescent="0.35">
      <c r="A7" s="670" t="s">
        <v>1921</v>
      </c>
      <c r="B7" s="26" t="s">
        <v>1919</v>
      </c>
      <c r="C7" s="26">
        <v>1</v>
      </c>
      <c r="D7" s="26">
        <v>1</v>
      </c>
      <c r="E7" s="26">
        <v>1</v>
      </c>
      <c r="F7" s="26">
        <v>1</v>
      </c>
      <c r="G7" s="26">
        <v>1</v>
      </c>
      <c r="H7" s="26">
        <v>1</v>
      </c>
      <c r="I7" s="26">
        <v>1</v>
      </c>
      <c r="J7" s="26">
        <v>1</v>
      </c>
      <c r="K7" s="26">
        <v>1</v>
      </c>
      <c r="L7" s="26">
        <v>0</v>
      </c>
      <c r="M7" s="26">
        <v>0</v>
      </c>
      <c r="N7" s="26">
        <v>0</v>
      </c>
      <c r="O7" s="26">
        <v>0</v>
      </c>
      <c r="P7" s="26">
        <v>0</v>
      </c>
    </row>
    <row r="8" spans="1:16" ht="15" thickBot="1" x14ac:dyDescent="0.35">
      <c r="A8" s="669"/>
      <c r="B8" s="26" t="s">
        <v>1920</v>
      </c>
      <c r="C8" s="26">
        <v>0</v>
      </c>
      <c r="D8" s="26">
        <v>0</v>
      </c>
      <c r="E8" s="26">
        <v>0</v>
      </c>
      <c r="F8" s="26">
        <v>0</v>
      </c>
      <c r="G8" s="26">
        <v>0</v>
      </c>
      <c r="H8" s="26">
        <v>0</v>
      </c>
      <c r="I8" s="26">
        <v>1</v>
      </c>
      <c r="J8" s="26">
        <v>14</v>
      </c>
      <c r="K8" s="26">
        <v>30</v>
      </c>
      <c r="L8" s="26">
        <v>32</v>
      </c>
      <c r="M8" s="26">
        <v>31</v>
      </c>
      <c r="N8" s="26">
        <v>68</v>
      </c>
      <c r="O8" s="26">
        <v>65</v>
      </c>
      <c r="P8" s="26">
        <v>66</v>
      </c>
    </row>
    <row r="9" spans="1:16" ht="15" thickBot="1" x14ac:dyDescent="0.35">
      <c r="A9" s="213" t="s">
        <v>1105</v>
      </c>
      <c r="B9" s="26" t="s">
        <v>1105</v>
      </c>
      <c r="C9" s="26">
        <f>+'Tabla 181'!B7</f>
        <v>1016</v>
      </c>
      <c r="D9" s="26">
        <f>+'Tabla 181'!C7</f>
        <v>948</v>
      </c>
      <c r="E9" s="26">
        <f>+'Tabla 181'!D7</f>
        <v>704</v>
      </c>
      <c r="F9" s="26">
        <f>+'Tabla 181'!E7</f>
        <v>342</v>
      </c>
      <c r="G9" s="26">
        <f>+'Tabla 181'!F7</f>
        <v>397</v>
      </c>
      <c r="H9" s="26">
        <f>+'Tabla 181'!G7</f>
        <v>303</v>
      </c>
      <c r="I9" s="26">
        <f>+'Tabla 181'!H7</f>
        <v>222</v>
      </c>
      <c r="J9" s="26">
        <f>+'Tabla 181'!I7</f>
        <v>190</v>
      </c>
      <c r="K9" s="26">
        <f>+'Tabla 181'!J7</f>
        <v>179</v>
      </c>
      <c r="L9" s="26">
        <f>+'Tabla 181'!K7</f>
        <v>199</v>
      </c>
      <c r="M9" s="26">
        <f>+'Tabla 181'!L7</f>
        <v>153</v>
      </c>
      <c r="N9" s="26">
        <v>136</v>
      </c>
      <c r="O9" s="26">
        <v>96</v>
      </c>
      <c r="P9" s="26">
        <v>63</v>
      </c>
    </row>
    <row r="10" spans="1:16" ht="15" thickBot="1" x14ac:dyDescent="0.35">
      <c r="A10" s="671" t="s">
        <v>466</v>
      </c>
      <c r="B10" s="671"/>
      <c r="C10" s="209">
        <f t="shared" ref="C10:P10" si="0">+SUM(C5:C8)</f>
        <v>208</v>
      </c>
      <c r="D10" s="209">
        <f t="shared" si="0"/>
        <v>227</v>
      </c>
      <c r="E10" s="209">
        <f t="shared" si="0"/>
        <v>221</v>
      </c>
      <c r="F10" s="209">
        <f t="shared" si="0"/>
        <v>233</v>
      </c>
      <c r="G10" s="209">
        <f t="shared" si="0"/>
        <v>240</v>
      </c>
      <c r="H10" s="209">
        <f t="shared" si="0"/>
        <v>253</v>
      </c>
      <c r="I10" s="209">
        <f t="shared" si="0"/>
        <v>258</v>
      </c>
      <c r="J10" s="209">
        <f t="shared" si="0"/>
        <v>302</v>
      </c>
      <c r="K10" s="209">
        <f t="shared" si="0"/>
        <v>341</v>
      </c>
      <c r="L10" s="209">
        <f t="shared" si="0"/>
        <v>376</v>
      </c>
      <c r="M10" s="209">
        <f t="shared" si="0"/>
        <v>371</v>
      </c>
      <c r="N10" s="209">
        <f t="shared" si="0"/>
        <v>498</v>
      </c>
      <c r="O10" s="209">
        <f t="shared" si="0"/>
        <v>489</v>
      </c>
      <c r="P10" s="209">
        <f t="shared" si="0"/>
        <v>557</v>
      </c>
    </row>
  </sheetData>
  <mergeCells count="3">
    <mergeCell ref="A5:A6"/>
    <mergeCell ref="A7:A8"/>
    <mergeCell ref="A10:B10"/>
  </mergeCells>
  <pageMargins left="0.7" right="0.7" top="0.75" bottom="0.75" header="0.3" footer="0.3"/>
  <drawing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D8B44-124E-48A0-9862-15A8F9AA7116}">
  <dimension ref="A1:P14"/>
  <sheetViews>
    <sheetView workbookViewId="0">
      <selection activeCell="B4" sqref="B4"/>
    </sheetView>
  </sheetViews>
  <sheetFormatPr baseColWidth="10" defaultColWidth="28.44140625" defaultRowHeight="14.4" x14ac:dyDescent="0.3"/>
  <cols>
    <col min="1" max="1" width="16.44140625" customWidth="1"/>
    <col min="2" max="2" width="11.44140625" customWidth="1"/>
    <col min="3" max="10" width="8.44140625" customWidth="1"/>
    <col min="11" max="11" width="5.44140625" bestFit="1" customWidth="1"/>
    <col min="12" max="17" width="5.44140625" customWidth="1"/>
  </cols>
  <sheetData>
    <row r="1" spans="1:16" x14ac:dyDescent="0.3">
      <c r="A1" t="s">
        <v>355</v>
      </c>
      <c r="B1">
        <v>183</v>
      </c>
    </row>
    <row r="2" spans="1:16" x14ac:dyDescent="0.3">
      <c r="A2" t="s">
        <v>5</v>
      </c>
      <c r="B2" t="s">
        <v>233</v>
      </c>
    </row>
    <row r="3" spans="1:16" ht="15" thickBot="1" x14ac:dyDescent="0.35"/>
    <row r="4" spans="1:16" ht="15" thickBot="1" x14ac:dyDescent="0.35">
      <c r="A4" s="217" t="s">
        <v>467</v>
      </c>
      <c r="B4" s="217" t="s">
        <v>1917</v>
      </c>
      <c r="C4" s="218" t="s">
        <v>422</v>
      </c>
      <c r="D4" s="218" t="s">
        <v>423</v>
      </c>
      <c r="E4" s="218" t="s">
        <v>424</v>
      </c>
      <c r="F4" s="218" t="s">
        <v>425</v>
      </c>
      <c r="G4" s="218" t="s">
        <v>426</v>
      </c>
      <c r="H4" s="218" t="s">
        <v>427</v>
      </c>
      <c r="I4" s="218" t="s">
        <v>428</v>
      </c>
      <c r="J4" s="218" t="s">
        <v>429</v>
      </c>
      <c r="K4" s="218" t="s">
        <v>430</v>
      </c>
      <c r="L4" s="218" t="s">
        <v>358</v>
      </c>
      <c r="M4" s="218" t="s">
        <v>359</v>
      </c>
      <c r="N4" s="218" t="s">
        <v>360</v>
      </c>
      <c r="O4" s="218" t="s">
        <v>361</v>
      </c>
      <c r="P4" s="218" t="s">
        <v>1922</v>
      </c>
    </row>
    <row r="5" spans="1:16" ht="21" thickBot="1" x14ac:dyDescent="0.35">
      <c r="A5" s="673" t="s">
        <v>1923</v>
      </c>
      <c r="B5" s="6" t="s">
        <v>431</v>
      </c>
      <c r="C5" s="6">
        <v>56</v>
      </c>
      <c r="D5" s="6">
        <v>61</v>
      </c>
      <c r="E5" s="6">
        <v>58</v>
      </c>
      <c r="F5" s="6">
        <v>120</v>
      </c>
      <c r="G5" s="6">
        <v>105</v>
      </c>
      <c r="H5" s="6">
        <v>128</v>
      </c>
      <c r="I5" s="6">
        <v>160</v>
      </c>
      <c r="J5" s="6">
        <v>153</v>
      </c>
      <c r="K5" s="6">
        <v>157</v>
      </c>
      <c r="L5" s="6">
        <v>157</v>
      </c>
      <c r="M5" s="6">
        <v>149</v>
      </c>
      <c r="N5" s="6">
        <v>156</v>
      </c>
      <c r="O5" s="6">
        <v>156</v>
      </c>
      <c r="P5" s="6">
        <v>167</v>
      </c>
    </row>
    <row r="6" spans="1:16" ht="15" thickBot="1" x14ac:dyDescent="0.35">
      <c r="A6" s="610"/>
      <c r="B6" s="6" t="s">
        <v>432</v>
      </c>
      <c r="C6" s="6">
        <v>6</v>
      </c>
      <c r="D6" s="6">
        <v>7</v>
      </c>
      <c r="E6" s="6">
        <v>8</v>
      </c>
      <c r="F6" s="6">
        <v>17</v>
      </c>
      <c r="G6" s="6">
        <v>18</v>
      </c>
      <c r="H6" s="6">
        <v>25</v>
      </c>
      <c r="I6" s="6">
        <v>27</v>
      </c>
      <c r="J6" s="6">
        <v>21</v>
      </c>
      <c r="K6" s="6">
        <v>16</v>
      </c>
      <c r="L6" s="6">
        <v>20</v>
      </c>
      <c r="M6" s="6">
        <v>14</v>
      </c>
      <c r="N6" s="6">
        <v>49</v>
      </c>
      <c r="O6" s="6">
        <v>47</v>
      </c>
      <c r="P6" s="6">
        <v>63</v>
      </c>
    </row>
    <row r="7" spans="1:16" ht="15" thickBot="1" x14ac:dyDescent="0.35">
      <c r="A7" s="608"/>
      <c r="B7" s="6" t="s">
        <v>1105</v>
      </c>
      <c r="C7" s="6">
        <v>309</v>
      </c>
      <c r="D7" s="6">
        <v>302</v>
      </c>
      <c r="E7" s="6">
        <v>255</v>
      </c>
      <c r="F7" s="6">
        <v>148</v>
      </c>
      <c r="G7" s="6">
        <v>172</v>
      </c>
      <c r="H7" s="6">
        <v>113</v>
      </c>
      <c r="I7" s="6">
        <v>68</v>
      </c>
      <c r="J7" s="6">
        <v>67</v>
      </c>
      <c r="K7" s="6">
        <v>49</v>
      </c>
      <c r="L7" s="6">
        <v>61</v>
      </c>
      <c r="M7" s="6">
        <v>52</v>
      </c>
      <c r="N7" s="6">
        <v>48</v>
      </c>
      <c r="O7" s="6">
        <v>42</v>
      </c>
      <c r="P7" s="6">
        <v>29</v>
      </c>
    </row>
    <row r="8" spans="1:16" ht="21" thickBot="1" x14ac:dyDescent="0.35">
      <c r="A8" s="609" t="s">
        <v>479</v>
      </c>
      <c r="B8" s="6" t="s">
        <v>431</v>
      </c>
      <c r="C8" s="6">
        <v>103</v>
      </c>
      <c r="D8" s="6">
        <v>113</v>
      </c>
      <c r="E8" s="6">
        <v>117</v>
      </c>
      <c r="F8" s="6">
        <v>170</v>
      </c>
      <c r="G8" s="6">
        <v>149</v>
      </c>
      <c r="H8" s="6">
        <v>171</v>
      </c>
      <c r="I8" s="6">
        <v>203</v>
      </c>
      <c r="J8" s="6">
        <v>206</v>
      </c>
      <c r="K8" s="6">
        <v>234</v>
      </c>
      <c r="L8" s="6">
        <v>275</v>
      </c>
      <c r="M8" s="6">
        <v>279</v>
      </c>
      <c r="N8" s="6">
        <v>320</v>
      </c>
      <c r="O8" s="6">
        <v>331</v>
      </c>
      <c r="P8" s="6">
        <v>343</v>
      </c>
    </row>
    <row r="9" spans="1:16" ht="15" thickBot="1" x14ac:dyDescent="0.35">
      <c r="A9" s="610"/>
      <c r="B9" s="6" t="s">
        <v>432</v>
      </c>
      <c r="C9" s="6">
        <v>31</v>
      </c>
      <c r="D9" s="6">
        <v>33</v>
      </c>
      <c r="E9" s="6">
        <v>48</v>
      </c>
      <c r="F9" s="6">
        <v>55</v>
      </c>
      <c r="G9" s="6">
        <v>42</v>
      </c>
      <c r="H9" s="6">
        <v>70</v>
      </c>
      <c r="I9" s="6">
        <v>73</v>
      </c>
      <c r="J9" s="6">
        <v>111</v>
      </c>
      <c r="K9" s="6">
        <v>105</v>
      </c>
      <c r="L9" s="6">
        <v>114</v>
      </c>
      <c r="M9" s="6">
        <v>107</v>
      </c>
      <c r="N9" s="6">
        <v>127</v>
      </c>
      <c r="O9" s="6">
        <v>139</v>
      </c>
      <c r="P9" s="6">
        <v>166</v>
      </c>
    </row>
    <row r="10" spans="1:16" ht="15" thickBot="1" x14ac:dyDescent="0.35">
      <c r="A10" s="608"/>
      <c r="B10" s="6" t="s">
        <v>1105</v>
      </c>
      <c r="C10" s="6">
        <v>432</v>
      </c>
      <c r="D10" s="6">
        <v>408</v>
      </c>
      <c r="E10" s="6">
        <v>274</v>
      </c>
      <c r="F10" s="6">
        <v>161</v>
      </c>
      <c r="G10" s="6">
        <v>177</v>
      </c>
      <c r="H10" s="6">
        <v>133</v>
      </c>
      <c r="I10" s="6">
        <v>101</v>
      </c>
      <c r="J10" s="6">
        <v>85</v>
      </c>
      <c r="K10" s="6">
        <v>87</v>
      </c>
      <c r="L10" s="6">
        <v>93</v>
      </c>
      <c r="M10" s="6">
        <v>73</v>
      </c>
      <c r="N10" s="6">
        <v>72</v>
      </c>
      <c r="O10" s="6">
        <v>45</v>
      </c>
      <c r="P10" s="6">
        <v>28</v>
      </c>
    </row>
    <row r="11" spans="1:16" ht="21" thickBot="1" x14ac:dyDescent="0.35">
      <c r="A11" s="609" t="s">
        <v>470</v>
      </c>
      <c r="B11" s="6" t="s">
        <v>431</v>
      </c>
      <c r="C11" s="6">
        <v>57</v>
      </c>
      <c r="D11" s="6">
        <v>62</v>
      </c>
      <c r="E11" s="6">
        <v>56</v>
      </c>
      <c r="F11" s="6">
        <v>81</v>
      </c>
      <c r="G11" s="6">
        <v>101</v>
      </c>
      <c r="H11" s="6">
        <v>137</v>
      </c>
      <c r="I11" s="6">
        <v>140</v>
      </c>
      <c r="J11" s="6">
        <v>140</v>
      </c>
      <c r="K11" s="6">
        <v>145</v>
      </c>
      <c r="L11" s="6">
        <v>162</v>
      </c>
      <c r="M11" s="6">
        <v>163</v>
      </c>
      <c r="N11" s="6">
        <v>173</v>
      </c>
      <c r="O11" s="6">
        <v>179</v>
      </c>
      <c r="P11" s="6">
        <v>180</v>
      </c>
    </row>
    <row r="12" spans="1:16" ht="15" thickBot="1" x14ac:dyDescent="0.35">
      <c r="A12" s="610"/>
      <c r="B12" s="6" t="s">
        <v>432</v>
      </c>
      <c r="C12" s="6">
        <v>10</v>
      </c>
      <c r="D12" s="6">
        <v>10</v>
      </c>
      <c r="E12" s="6">
        <v>12</v>
      </c>
      <c r="F12" s="6">
        <v>46</v>
      </c>
      <c r="G12" s="6">
        <v>40</v>
      </c>
      <c r="H12" s="6">
        <v>38</v>
      </c>
      <c r="I12" s="6">
        <v>36</v>
      </c>
      <c r="J12" s="6">
        <v>51</v>
      </c>
      <c r="K12" s="6">
        <v>44</v>
      </c>
      <c r="L12" s="6">
        <v>61</v>
      </c>
      <c r="M12" s="6">
        <v>59</v>
      </c>
      <c r="N12" s="6">
        <v>97</v>
      </c>
      <c r="O12" s="6">
        <v>90</v>
      </c>
      <c r="P12" s="6">
        <v>100</v>
      </c>
    </row>
    <row r="13" spans="1:16" ht="15" thickBot="1" x14ac:dyDescent="0.35">
      <c r="A13" s="608"/>
      <c r="B13" s="6" t="s">
        <v>1105</v>
      </c>
      <c r="C13" s="6">
        <v>275</v>
      </c>
      <c r="D13" s="6">
        <v>238</v>
      </c>
      <c r="E13" s="6">
        <v>175</v>
      </c>
      <c r="F13" s="6">
        <v>33</v>
      </c>
      <c r="G13" s="6">
        <v>48</v>
      </c>
      <c r="H13" s="6">
        <v>57</v>
      </c>
      <c r="I13" s="6">
        <v>53</v>
      </c>
      <c r="J13" s="6">
        <v>38</v>
      </c>
      <c r="K13" s="6">
        <v>43</v>
      </c>
      <c r="L13" s="6">
        <v>45</v>
      </c>
      <c r="M13" s="6">
        <v>28</v>
      </c>
      <c r="N13" s="6">
        <v>16</v>
      </c>
      <c r="O13" s="6">
        <v>9</v>
      </c>
      <c r="P13" s="6">
        <v>6</v>
      </c>
    </row>
    <row r="14" spans="1:16" ht="15" thickBot="1" x14ac:dyDescent="0.35">
      <c r="A14" s="672" t="s">
        <v>466</v>
      </c>
      <c r="B14" s="672"/>
      <c r="C14" s="219">
        <v>1279</v>
      </c>
      <c r="D14" s="219">
        <v>1234</v>
      </c>
      <c r="E14" s="219">
        <v>1003</v>
      </c>
      <c r="F14" s="219">
        <v>831</v>
      </c>
      <c r="G14" s="219">
        <v>852</v>
      </c>
      <c r="H14" s="219">
        <v>872</v>
      </c>
      <c r="I14" s="219">
        <v>861</v>
      </c>
      <c r="J14" s="219">
        <v>872</v>
      </c>
      <c r="K14" s="219">
        <v>880</v>
      </c>
      <c r="L14" s="219">
        <v>988</v>
      </c>
      <c r="M14" s="219">
        <f>SUM(M5:M13)</f>
        <v>924</v>
      </c>
      <c r="N14" s="219">
        <f>SUM(N5:N13)</f>
        <v>1058</v>
      </c>
      <c r="O14" s="219">
        <f>SUM(O5:O13)</f>
        <v>1038</v>
      </c>
      <c r="P14" s="219">
        <f>SUM(P5:P13)</f>
        <v>1082</v>
      </c>
    </row>
  </sheetData>
  <mergeCells count="4">
    <mergeCell ref="A14:B14"/>
    <mergeCell ref="A5:A7"/>
    <mergeCell ref="A8:A10"/>
    <mergeCell ref="A11:A13"/>
  </mergeCells>
  <pageMargins left="0.7" right="0.7" top="0.75" bottom="0.75" header="0.3" footer="0.3"/>
  <drawing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2DA98-14AF-466B-BAA3-A1ED786087F2}">
  <dimension ref="A1:P15"/>
  <sheetViews>
    <sheetView workbookViewId="0">
      <selection activeCell="K5" sqref="K5"/>
    </sheetView>
  </sheetViews>
  <sheetFormatPr baseColWidth="10" defaultColWidth="28.44140625" defaultRowHeight="14.4" x14ac:dyDescent="0.3"/>
  <cols>
    <col min="1" max="1" width="16.44140625" customWidth="1"/>
    <col min="2" max="2" width="11.44140625" customWidth="1"/>
    <col min="3" max="10" width="8.44140625" customWidth="1"/>
    <col min="11" max="11" width="7.44140625" customWidth="1"/>
    <col min="12" max="12" width="9" customWidth="1"/>
    <col min="13" max="16" width="8.6640625" customWidth="1"/>
  </cols>
  <sheetData>
    <row r="1" spans="1:16" x14ac:dyDescent="0.3">
      <c r="A1" t="s">
        <v>355</v>
      </c>
      <c r="B1">
        <v>19</v>
      </c>
    </row>
    <row r="2" spans="1:16" x14ac:dyDescent="0.3">
      <c r="A2" t="s">
        <v>5</v>
      </c>
      <c r="B2" t="s">
        <v>234</v>
      </c>
    </row>
    <row r="4" spans="1:16" ht="15" thickBot="1" x14ac:dyDescent="0.35"/>
    <row r="5" spans="1:16" ht="15" thickBot="1" x14ac:dyDescent="0.35">
      <c r="A5" s="216" t="s">
        <v>1917</v>
      </c>
      <c r="B5" s="211" t="s">
        <v>1918</v>
      </c>
      <c r="C5" s="211" t="s">
        <v>422</v>
      </c>
      <c r="D5" s="211" t="s">
        <v>423</v>
      </c>
      <c r="E5" s="211" t="s">
        <v>424</v>
      </c>
      <c r="F5" s="211" t="s">
        <v>425</v>
      </c>
      <c r="G5" s="211" t="s">
        <v>426</v>
      </c>
      <c r="H5" s="211" t="s">
        <v>427</v>
      </c>
      <c r="I5" s="211" t="s">
        <v>428</v>
      </c>
      <c r="J5" s="211" t="s">
        <v>429</v>
      </c>
      <c r="K5" s="211" t="s">
        <v>430</v>
      </c>
      <c r="L5" s="211" t="s">
        <v>358</v>
      </c>
      <c r="M5" s="211" t="s">
        <v>359</v>
      </c>
      <c r="N5" s="211" t="s">
        <v>360</v>
      </c>
      <c r="O5" s="211" t="s">
        <v>361</v>
      </c>
      <c r="P5" s="211" t="s">
        <v>362</v>
      </c>
    </row>
    <row r="6" spans="1:16" ht="15" thickBot="1" x14ac:dyDescent="0.35">
      <c r="A6" s="668" t="s">
        <v>431</v>
      </c>
      <c r="B6" s="26" t="s">
        <v>1919</v>
      </c>
      <c r="C6" s="26">
        <v>207</v>
      </c>
      <c r="D6" s="26">
        <v>226</v>
      </c>
      <c r="E6" s="26">
        <v>220</v>
      </c>
      <c r="F6" s="26">
        <v>232</v>
      </c>
      <c r="G6" s="26">
        <v>239</v>
      </c>
      <c r="H6" s="26">
        <v>249</v>
      </c>
      <c r="I6" s="26">
        <v>246</v>
      </c>
      <c r="J6" s="26">
        <v>243</v>
      </c>
      <c r="K6" s="26">
        <v>254</v>
      </c>
      <c r="L6" s="26">
        <v>263</v>
      </c>
      <c r="M6" s="26">
        <v>260</v>
      </c>
      <c r="N6" s="26">
        <v>255</v>
      </c>
      <c r="O6" s="26">
        <v>247</v>
      </c>
      <c r="P6" s="26">
        <v>246</v>
      </c>
    </row>
    <row r="7" spans="1:16" ht="15" thickBot="1" x14ac:dyDescent="0.35">
      <c r="A7" s="669"/>
      <c r="B7" s="26" t="s">
        <v>1920</v>
      </c>
      <c r="C7" s="26">
        <v>0</v>
      </c>
      <c r="D7" s="26">
        <v>0</v>
      </c>
      <c r="E7" s="26">
        <v>0</v>
      </c>
      <c r="F7" s="26">
        <v>0</v>
      </c>
      <c r="G7" s="26">
        <v>0</v>
      </c>
      <c r="H7" s="26">
        <v>3</v>
      </c>
      <c r="I7" s="26">
        <v>10</v>
      </c>
      <c r="J7" s="26">
        <v>44</v>
      </c>
      <c r="K7" s="26">
        <v>56</v>
      </c>
      <c r="L7" s="26">
        <v>81</v>
      </c>
      <c r="M7" s="26">
        <v>80</v>
      </c>
      <c r="N7" s="26">
        <v>175</v>
      </c>
      <c r="O7" s="26">
        <v>177</v>
      </c>
      <c r="P7" s="26">
        <v>245</v>
      </c>
    </row>
    <row r="8" spans="1:16" ht="15" thickBot="1" x14ac:dyDescent="0.35">
      <c r="A8" s="670" t="s">
        <v>1921</v>
      </c>
      <c r="B8" s="26" t="s">
        <v>1919</v>
      </c>
      <c r="C8" s="26">
        <v>1</v>
      </c>
      <c r="D8" s="26">
        <v>1</v>
      </c>
      <c r="E8" s="26">
        <v>1</v>
      </c>
      <c r="F8" s="26">
        <v>1</v>
      </c>
      <c r="G8" s="26">
        <v>1</v>
      </c>
      <c r="H8" s="26">
        <v>1</v>
      </c>
      <c r="I8" s="26">
        <v>1</v>
      </c>
      <c r="J8" s="26">
        <v>1</v>
      </c>
      <c r="K8" s="26">
        <v>1</v>
      </c>
      <c r="L8" s="26">
        <v>0</v>
      </c>
      <c r="M8" s="26">
        <v>0</v>
      </c>
      <c r="N8" s="26">
        <v>0</v>
      </c>
      <c r="O8" s="26">
        <v>0</v>
      </c>
      <c r="P8" s="26">
        <v>0</v>
      </c>
    </row>
    <row r="9" spans="1:16" ht="15" thickBot="1" x14ac:dyDescent="0.35">
      <c r="A9" s="669"/>
      <c r="B9" s="26" t="s">
        <v>1920</v>
      </c>
      <c r="C9" s="26">
        <v>0</v>
      </c>
      <c r="D9" s="26">
        <v>0</v>
      </c>
      <c r="E9" s="26">
        <v>0</v>
      </c>
      <c r="F9" s="26">
        <v>0</v>
      </c>
      <c r="G9" s="26">
        <v>0</v>
      </c>
      <c r="H9" s="26">
        <v>0</v>
      </c>
      <c r="I9" s="26">
        <v>1</v>
      </c>
      <c r="J9" s="26">
        <v>14</v>
      </c>
      <c r="K9" s="26">
        <v>30</v>
      </c>
      <c r="L9" s="26">
        <v>32</v>
      </c>
      <c r="M9" s="26">
        <v>31</v>
      </c>
      <c r="N9" s="26">
        <v>68</v>
      </c>
      <c r="O9" s="26">
        <v>65</v>
      </c>
      <c r="P9" s="26">
        <v>66</v>
      </c>
    </row>
    <row r="10" spans="1:16" ht="15" thickBot="1" x14ac:dyDescent="0.35">
      <c r="A10" s="213"/>
      <c r="B10" s="26"/>
      <c r="C10" s="26">
        <f>+'Tabla 181'!B8</f>
        <v>1279</v>
      </c>
      <c r="D10" s="26">
        <f>+'Tabla 181'!C8</f>
        <v>1234</v>
      </c>
      <c r="E10" s="26">
        <f>+'Tabla 181'!D8</f>
        <v>1003</v>
      </c>
      <c r="F10" s="26">
        <f>+'Tabla 181'!E8</f>
        <v>831</v>
      </c>
      <c r="G10" s="26">
        <f>+'Tabla 181'!F8</f>
        <v>852</v>
      </c>
      <c r="H10" s="26">
        <f>+'Tabla 181'!G8</f>
        <v>872</v>
      </c>
      <c r="I10" s="26">
        <f>+'Tabla 181'!H8</f>
        <v>861</v>
      </c>
      <c r="J10" s="26">
        <f>+'Tabla 181'!I8</f>
        <v>872</v>
      </c>
      <c r="K10" s="26">
        <f>+'Tabla 181'!J8</f>
        <v>880</v>
      </c>
      <c r="L10" s="26">
        <f>+'Tabla 181'!K8</f>
        <v>988</v>
      </c>
      <c r="M10" s="26">
        <f>+'Tabla 181'!L8</f>
        <v>924</v>
      </c>
      <c r="N10" s="26">
        <v>136</v>
      </c>
      <c r="O10" s="26">
        <v>96</v>
      </c>
      <c r="P10" s="26">
        <v>63</v>
      </c>
    </row>
    <row r="11" spans="1:16" ht="15" thickBot="1" x14ac:dyDescent="0.35">
      <c r="A11" s="671" t="s">
        <v>466</v>
      </c>
      <c r="B11" s="671"/>
      <c r="C11" s="209">
        <f>+SUM(C6:C9)</f>
        <v>208</v>
      </c>
      <c r="D11" s="209">
        <f t="shared" ref="D11:P11" si="0">+SUM(D6:D9)</f>
        <v>227</v>
      </c>
      <c r="E11" s="209">
        <f t="shared" si="0"/>
        <v>221</v>
      </c>
      <c r="F11" s="209">
        <f t="shared" si="0"/>
        <v>233</v>
      </c>
      <c r="G11" s="209">
        <f t="shared" si="0"/>
        <v>240</v>
      </c>
      <c r="H11" s="209">
        <f t="shared" si="0"/>
        <v>253</v>
      </c>
      <c r="I11" s="209">
        <f t="shared" si="0"/>
        <v>258</v>
      </c>
      <c r="J11" s="209">
        <f t="shared" si="0"/>
        <v>302</v>
      </c>
      <c r="K11" s="209">
        <f t="shared" si="0"/>
        <v>341</v>
      </c>
      <c r="L11" s="209">
        <f t="shared" si="0"/>
        <v>376</v>
      </c>
      <c r="M11" s="209">
        <f t="shared" si="0"/>
        <v>371</v>
      </c>
      <c r="N11" s="209">
        <f t="shared" si="0"/>
        <v>498</v>
      </c>
      <c r="O11" s="209">
        <f t="shared" si="0"/>
        <v>489</v>
      </c>
      <c r="P11" s="209">
        <f t="shared" si="0"/>
        <v>557</v>
      </c>
    </row>
    <row r="14" spans="1:16" x14ac:dyDescent="0.3">
      <c r="B14" s="384"/>
      <c r="C14" s="381"/>
      <c r="D14" s="381"/>
      <c r="E14" s="381"/>
      <c r="F14" s="381"/>
      <c r="G14" s="381"/>
      <c r="H14" s="381"/>
      <c r="I14" s="381"/>
      <c r="J14" s="381"/>
      <c r="K14" s="381"/>
      <c r="L14" s="381"/>
      <c r="M14" s="381"/>
      <c r="N14" s="381"/>
      <c r="O14" s="381"/>
      <c r="P14" s="381"/>
    </row>
    <row r="15" spans="1:16" x14ac:dyDescent="0.3">
      <c r="B15" s="384"/>
      <c r="C15" s="381"/>
      <c r="D15" s="381"/>
      <c r="E15" s="381"/>
      <c r="F15" s="381"/>
      <c r="G15" s="381"/>
      <c r="H15" s="381"/>
      <c r="I15" s="381"/>
      <c r="J15" s="381"/>
      <c r="K15" s="381"/>
      <c r="L15" s="381"/>
      <c r="M15" s="381"/>
      <c r="N15" s="381"/>
      <c r="O15" s="381"/>
      <c r="P15" s="381"/>
    </row>
  </sheetData>
  <mergeCells count="3">
    <mergeCell ref="A6:A7"/>
    <mergeCell ref="A8:A9"/>
    <mergeCell ref="A11:B11"/>
  </mergeCells>
  <pageMargins left="0.7" right="0.7" top="0.75" bottom="0.75" header="0.3" footer="0.3"/>
  <drawing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4D587-6CD8-4631-88B4-A466F425E773}">
  <dimension ref="A1:O7"/>
  <sheetViews>
    <sheetView workbookViewId="0">
      <selection activeCell="O5" sqref="A4:O5"/>
    </sheetView>
  </sheetViews>
  <sheetFormatPr baseColWidth="10" defaultColWidth="28.44140625" defaultRowHeight="14.4" x14ac:dyDescent="0.3"/>
  <cols>
    <col min="1" max="1" width="16.44140625" customWidth="1"/>
    <col min="2" max="2" width="11.44140625" customWidth="1"/>
    <col min="3" max="10" width="8.44140625" customWidth="1"/>
    <col min="11" max="13" width="7.44140625" customWidth="1"/>
    <col min="14" max="15" width="10.33203125" bestFit="1" customWidth="1"/>
    <col min="16" max="16" width="5.44140625" customWidth="1"/>
  </cols>
  <sheetData>
    <row r="1" spans="1:15" x14ac:dyDescent="0.3">
      <c r="A1" t="s">
        <v>355</v>
      </c>
      <c r="B1">
        <v>184</v>
      </c>
    </row>
    <row r="2" spans="1:15" x14ac:dyDescent="0.3">
      <c r="A2" t="s">
        <v>5</v>
      </c>
      <c r="B2" t="s">
        <v>235</v>
      </c>
    </row>
    <row r="3" spans="1:15" ht="15" thickBot="1" x14ac:dyDescent="0.35"/>
    <row r="4" spans="1:15" x14ac:dyDescent="0.3">
      <c r="A4" s="522" t="s">
        <v>1917</v>
      </c>
      <c r="B4" s="512" t="s">
        <v>422</v>
      </c>
      <c r="C4" s="512" t="s">
        <v>423</v>
      </c>
      <c r="D4" s="512" t="s">
        <v>424</v>
      </c>
      <c r="E4" s="512" t="s">
        <v>425</v>
      </c>
      <c r="F4" s="512" t="s">
        <v>426</v>
      </c>
      <c r="G4" s="512" t="s">
        <v>427</v>
      </c>
      <c r="H4" s="512" t="s">
        <v>428</v>
      </c>
      <c r="I4" s="512" t="s">
        <v>429</v>
      </c>
      <c r="J4" s="512" t="s">
        <v>430</v>
      </c>
      <c r="K4" s="512" t="s">
        <v>358</v>
      </c>
      <c r="L4" s="512" t="s">
        <v>359</v>
      </c>
      <c r="M4" s="512" t="s">
        <v>360</v>
      </c>
      <c r="N4" s="512" t="s">
        <v>361</v>
      </c>
      <c r="O4" s="512" t="s">
        <v>362</v>
      </c>
    </row>
    <row r="5" spans="1:15" ht="15" thickBot="1" x14ac:dyDescent="0.35">
      <c r="A5" s="523" t="s">
        <v>1924</v>
      </c>
      <c r="B5" s="220">
        <v>246.33253012048192</v>
      </c>
      <c r="C5" s="220">
        <v>234.90066225165563</v>
      </c>
      <c r="D5" s="220">
        <v>222.80272108843536</v>
      </c>
      <c r="E5" s="220">
        <v>212.86881720430108</v>
      </c>
      <c r="F5" s="220">
        <v>196.21711899791231</v>
      </c>
      <c r="G5" s="220">
        <v>192.9108910891089</v>
      </c>
      <c r="H5" s="220">
        <v>186.30350194552528</v>
      </c>
      <c r="I5" s="220">
        <v>166.37011884550085</v>
      </c>
      <c r="J5" s="220">
        <v>150.15360983102917</v>
      </c>
      <c r="K5" s="220">
        <v>138.78055555555557</v>
      </c>
      <c r="L5" s="220">
        <v>139.0295358649789</v>
      </c>
      <c r="M5" s="220">
        <v>115.82112068965517</v>
      </c>
      <c r="N5" s="220" t="s">
        <v>1925</v>
      </c>
      <c r="O5" s="524" t="s">
        <v>1926</v>
      </c>
    </row>
    <row r="7" spans="1:15" x14ac:dyDescent="0.3">
      <c r="B7" s="513"/>
      <c r="C7" s="513"/>
      <c r="D7" s="513"/>
      <c r="E7" s="513"/>
      <c r="F7" s="513"/>
      <c r="G7" s="513"/>
      <c r="H7" s="513"/>
      <c r="I7" s="513"/>
      <c r="J7" s="513"/>
      <c r="K7" s="513"/>
      <c r="L7" s="513"/>
      <c r="M7" s="513"/>
    </row>
  </sheetData>
  <pageMargins left="0.7" right="0.7" top="0.75" bottom="0.75" header="0.3" footer="0.3"/>
  <drawing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D8727-337E-451A-9F22-87BABCE4F30F}">
  <dimension ref="A1:O5"/>
  <sheetViews>
    <sheetView workbookViewId="0">
      <selection activeCell="G14" sqref="G14"/>
    </sheetView>
  </sheetViews>
  <sheetFormatPr baseColWidth="10" defaultColWidth="28.44140625" defaultRowHeight="14.4" x14ac:dyDescent="0.3"/>
  <cols>
    <col min="1" max="1" width="16.44140625" customWidth="1"/>
    <col min="2" max="15" width="7.88671875" customWidth="1"/>
    <col min="16" max="16" width="5.44140625" customWidth="1"/>
  </cols>
  <sheetData>
    <row r="1" spans="1:15" x14ac:dyDescent="0.3">
      <c r="A1" t="s">
        <v>355</v>
      </c>
      <c r="B1">
        <v>185</v>
      </c>
    </row>
    <row r="2" spans="1:15" x14ac:dyDescent="0.3">
      <c r="A2" t="s">
        <v>5</v>
      </c>
      <c r="B2" t="s">
        <v>236</v>
      </c>
    </row>
    <row r="3" spans="1:15" ht="15" thickBot="1" x14ac:dyDescent="0.35"/>
    <row r="4" spans="1:15" x14ac:dyDescent="0.3">
      <c r="A4" s="522" t="s">
        <v>1917</v>
      </c>
      <c r="B4" s="512" t="s">
        <v>422</v>
      </c>
      <c r="C4" s="512" t="s">
        <v>423</v>
      </c>
      <c r="D4" s="512" t="s">
        <v>424</v>
      </c>
      <c r="E4" s="512" t="s">
        <v>425</v>
      </c>
      <c r="F4" s="512" t="s">
        <v>426</v>
      </c>
      <c r="G4" s="512" t="s">
        <v>427</v>
      </c>
      <c r="H4" s="512" t="s">
        <v>428</v>
      </c>
      <c r="I4" s="512" t="s">
        <v>429</v>
      </c>
      <c r="J4" s="512" t="s">
        <v>430</v>
      </c>
      <c r="K4" s="512" t="s">
        <v>358</v>
      </c>
      <c r="L4" s="512" t="s">
        <v>359</v>
      </c>
      <c r="M4" s="512" t="s">
        <v>360</v>
      </c>
      <c r="N4" s="512" t="s">
        <v>361</v>
      </c>
      <c r="O4" s="512" t="s">
        <v>362</v>
      </c>
    </row>
    <row r="5" spans="1:15" ht="15" thickBot="1" x14ac:dyDescent="0.35">
      <c r="A5" s="523" t="s">
        <v>1924</v>
      </c>
      <c r="B5" s="220" t="s">
        <v>1927</v>
      </c>
      <c r="C5" s="220" t="s">
        <v>1928</v>
      </c>
      <c r="D5" s="220" t="s">
        <v>1929</v>
      </c>
      <c r="E5" s="220" t="s">
        <v>1930</v>
      </c>
      <c r="F5" s="220" t="s">
        <v>1931</v>
      </c>
      <c r="G5" s="220" t="s">
        <v>1932</v>
      </c>
      <c r="H5" s="220" t="s">
        <v>1933</v>
      </c>
      <c r="I5" s="220" t="s">
        <v>1934</v>
      </c>
      <c r="J5" s="220" t="s">
        <v>1935</v>
      </c>
      <c r="K5" s="220" t="s">
        <v>1936</v>
      </c>
      <c r="L5" s="220" t="s">
        <v>1937</v>
      </c>
      <c r="M5" s="220" t="s">
        <v>1938</v>
      </c>
      <c r="N5" s="220" t="s">
        <v>1939</v>
      </c>
      <c r="O5" s="524" t="s">
        <v>1938</v>
      </c>
    </row>
  </sheetData>
  <pageMargins left="0.7" right="0.7" top="0.75" bottom="0.75" header="0.3" footer="0.3"/>
  <drawing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734EC-21CF-4324-807F-7E944EF340AC}">
  <dimension ref="A1:O9"/>
  <sheetViews>
    <sheetView workbookViewId="0">
      <selection activeCell="R16" sqref="R16"/>
    </sheetView>
  </sheetViews>
  <sheetFormatPr baseColWidth="10" defaultColWidth="28.44140625" defaultRowHeight="14.4" x14ac:dyDescent="0.3"/>
  <cols>
    <col min="1" max="1" width="16.44140625" customWidth="1"/>
    <col min="2" max="2" width="8.44140625" customWidth="1"/>
    <col min="3" max="13" width="6.44140625" bestFit="1" customWidth="1"/>
    <col min="14" max="15" width="7" customWidth="1"/>
    <col min="16" max="17" width="5.44140625" customWidth="1"/>
  </cols>
  <sheetData>
    <row r="1" spans="1:15" x14ac:dyDescent="0.3">
      <c r="A1" t="s">
        <v>355</v>
      </c>
      <c r="B1">
        <v>186</v>
      </c>
    </row>
    <row r="2" spans="1:15" x14ac:dyDescent="0.3">
      <c r="A2" t="s">
        <v>5</v>
      </c>
      <c r="B2" t="s">
        <v>27</v>
      </c>
    </row>
    <row r="3" spans="1:15" ht="15" thickBot="1" x14ac:dyDescent="0.35"/>
    <row r="4" spans="1:15" ht="15" thickBot="1" x14ac:dyDescent="0.35">
      <c r="A4" s="221" t="s">
        <v>464</v>
      </c>
      <c r="B4" s="221" t="s">
        <v>422</v>
      </c>
      <c r="C4" s="221" t="s">
        <v>423</v>
      </c>
      <c r="D4" s="221" t="s">
        <v>424</v>
      </c>
      <c r="E4" s="221" t="s">
        <v>425</v>
      </c>
      <c r="F4" s="221" t="s">
        <v>426</v>
      </c>
      <c r="G4" s="221" t="s">
        <v>427</v>
      </c>
      <c r="H4" s="221" t="s">
        <v>428</v>
      </c>
      <c r="I4" s="221" t="s">
        <v>429</v>
      </c>
      <c r="J4" s="221" t="s">
        <v>430</v>
      </c>
      <c r="K4" s="221" t="s">
        <v>358</v>
      </c>
      <c r="L4" s="221" t="s">
        <v>359</v>
      </c>
      <c r="M4" s="221" t="s">
        <v>360</v>
      </c>
      <c r="N4" s="221" t="s">
        <v>361</v>
      </c>
      <c r="O4" s="221" t="s">
        <v>362</v>
      </c>
    </row>
    <row r="5" spans="1:15" ht="15" thickBot="1" x14ac:dyDescent="0.35">
      <c r="A5" s="213" t="s">
        <v>461</v>
      </c>
      <c r="B5" s="26">
        <v>35</v>
      </c>
      <c r="C5" s="26">
        <v>41</v>
      </c>
      <c r="D5" s="26">
        <v>37</v>
      </c>
      <c r="E5" s="26">
        <v>47</v>
      </c>
      <c r="F5" s="26">
        <v>37</v>
      </c>
      <c r="G5" s="26">
        <v>51</v>
      </c>
      <c r="H5" s="26">
        <v>47</v>
      </c>
      <c r="I5" s="26">
        <v>46</v>
      </c>
      <c r="J5" s="26">
        <v>53</v>
      </c>
      <c r="K5" s="26">
        <v>71</v>
      </c>
      <c r="L5" s="26">
        <v>77</v>
      </c>
      <c r="M5" s="26">
        <v>94</v>
      </c>
      <c r="N5" s="26">
        <v>89</v>
      </c>
      <c r="O5" s="26">
        <v>85</v>
      </c>
    </row>
    <row r="6" spans="1:15" ht="15" thickBot="1" x14ac:dyDescent="0.35">
      <c r="A6" s="213" t="s">
        <v>457</v>
      </c>
      <c r="B6" s="26">
        <v>784</v>
      </c>
      <c r="C6" s="26">
        <v>830</v>
      </c>
      <c r="D6" s="26">
        <v>691</v>
      </c>
      <c r="E6" s="26">
        <v>604</v>
      </c>
      <c r="F6" s="26">
        <v>666</v>
      </c>
      <c r="G6" s="26">
        <v>593</v>
      </c>
      <c r="H6" s="26">
        <v>597</v>
      </c>
      <c r="I6" s="26">
        <v>686</v>
      </c>
      <c r="J6" s="26">
        <v>699</v>
      </c>
      <c r="K6" s="26">
        <v>766</v>
      </c>
      <c r="L6" s="26">
        <v>708</v>
      </c>
      <c r="M6" s="26">
        <v>819</v>
      </c>
      <c r="N6" s="26">
        <v>794</v>
      </c>
      <c r="O6" s="26">
        <v>829</v>
      </c>
    </row>
    <row r="7" spans="1:15" ht="15" thickBot="1" x14ac:dyDescent="0.35">
      <c r="A7" s="213" t="s">
        <v>456</v>
      </c>
      <c r="B7" s="26">
        <v>286</v>
      </c>
      <c r="C7" s="26">
        <v>233</v>
      </c>
      <c r="D7" s="26">
        <v>190</v>
      </c>
      <c r="E7" s="26">
        <v>122</v>
      </c>
      <c r="F7" s="26">
        <v>104</v>
      </c>
      <c r="G7" s="26">
        <v>188</v>
      </c>
      <c r="H7" s="26">
        <v>170</v>
      </c>
      <c r="I7" s="26">
        <v>95</v>
      </c>
      <c r="J7" s="26">
        <v>81</v>
      </c>
      <c r="K7" s="26">
        <v>91</v>
      </c>
      <c r="L7" s="26">
        <v>85</v>
      </c>
      <c r="M7" s="26">
        <v>83</v>
      </c>
      <c r="N7" s="26">
        <v>97</v>
      </c>
      <c r="O7" s="26">
        <v>98</v>
      </c>
    </row>
    <row r="8" spans="1:15" ht="15" thickBot="1" x14ac:dyDescent="0.35">
      <c r="A8" s="213" t="s">
        <v>462</v>
      </c>
      <c r="B8" s="26">
        <v>174</v>
      </c>
      <c r="C8" s="26">
        <v>130</v>
      </c>
      <c r="D8" s="26">
        <v>85</v>
      </c>
      <c r="E8" s="26">
        <v>58</v>
      </c>
      <c r="F8" s="26">
        <v>45</v>
      </c>
      <c r="G8" s="26">
        <v>40</v>
      </c>
      <c r="H8" s="26">
        <v>47</v>
      </c>
      <c r="I8" s="26">
        <v>45</v>
      </c>
      <c r="J8" s="26">
        <v>47</v>
      </c>
      <c r="K8" s="26">
        <v>60</v>
      </c>
      <c r="L8" s="26">
        <v>54</v>
      </c>
      <c r="M8" s="26">
        <v>62</v>
      </c>
      <c r="N8" s="26">
        <v>58</v>
      </c>
      <c r="O8" s="26">
        <v>70</v>
      </c>
    </row>
    <row r="9" spans="1:15" ht="15" thickBot="1" x14ac:dyDescent="0.35">
      <c r="A9" s="222" t="s">
        <v>466</v>
      </c>
      <c r="B9" s="222">
        <v>1279</v>
      </c>
      <c r="C9" s="222">
        <v>1234</v>
      </c>
      <c r="D9" s="222">
        <v>1003</v>
      </c>
      <c r="E9" s="222">
        <v>831</v>
      </c>
      <c r="F9" s="222">
        <v>852</v>
      </c>
      <c r="G9" s="222">
        <v>872</v>
      </c>
      <c r="H9" s="222">
        <v>861</v>
      </c>
      <c r="I9" s="222">
        <v>872</v>
      </c>
      <c r="J9" s="222">
        <v>880</v>
      </c>
      <c r="K9" s="222">
        <v>988</v>
      </c>
      <c r="L9" s="222">
        <f>SUM(L5:L8)</f>
        <v>924</v>
      </c>
      <c r="M9" s="222">
        <f>SUM(M5:M8)</f>
        <v>1058</v>
      </c>
      <c r="N9" s="222">
        <f t="shared" ref="N9:O9" si="0">SUM(N5:N8)</f>
        <v>1038</v>
      </c>
      <c r="O9" s="222">
        <f t="shared" si="0"/>
        <v>1082</v>
      </c>
    </row>
  </sheetData>
  <pageMargins left="0.7" right="0.7" top="0.75" bottom="0.75" header="0.3" footer="0.3"/>
  <drawing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C30CD-0455-48B8-9067-958DD98A068A}">
  <dimension ref="A1:P18"/>
  <sheetViews>
    <sheetView workbookViewId="0">
      <selection activeCell="P6" sqref="P6:P9"/>
    </sheetView>
  </sheetViews>
  <sheetFormatPr baseColWidth="10" defaultColWidth="28.44140625" defaultRowHeight="14.4" x14ac:dyDescent="0.3"/>
  <cols>
    <col min="1" max="1" width="16.44140625" customWidth="1"/>
    <col min="2" max="2" width="11.44140625" customWidth="1"/>
    <col min="3" max="6" width="5.88671875" bestFit="1" customWidth="1"/>
    <col min="7" max="7" width="7" customWidth="1"/>
    <col min="8" max="9" width="5.88671875" bestFit="1" customWidth="1"/>
    <col min="10" max="14" width="7" customWidth="1"/>
    <col min="15" max="15" width="6.88671875" customWidth="1"/>
    <col min="16" max="16" width="7.109375" customWidth="1"/>
  </cols>
  <sheetData>
    <row r="1" spans="1:16" x14ac:dyDescent="0.3">
      <c r="A1" t="s">
        <v>355</v>
      </c>
      <c r="B1">
        <v>187</v>
      </c>
    </row>
    <row r="2" spans="1:16" x14ac:dyDescent="0.3">
      <c r="A2" t="s">
        <v>5</v>
      </c>
      <c r="B2" t="s">
        <v>237</v>
      </c>
    </row>
    <row r="4" spans="1:16" ht="15" thickBot="1" x14ac:dyDescent="0.35"/>
    <row r="5" spans="1:16" ht="21" thickBot="1" x14ac:dyDescent="0.35">
      <c r="A5" s="223" t="s">
        <v>1917</v>
      </c>
      <c r="B5" s="223" t="s">
        <v>464</v>
      </c>
      <c r="C5" s="223" t="s">
        <v>422</v>
      </c>
      <c r="D5" s="223" t="s">
        <v>423</v>
      </c>
      <c r="E5" s="223" t="s">
        <v>424</v>
      </c>
      <c r="F5" s="226" t="s">
        <v>425</v>
      </c>
      <c r="G5" s="223" t="s">
        <v>426</v>
      </c>
      <c r="H5" s="226" t="s">
        <v>427</v>
      </c>
      <c r="I5" s="226" t="s">
        <v>428</v>
      </c>
      <c r="J5" s="223" t="s">
        <v>429</v>
      </c>
      <c r="K5" s="223" t="s">
        <v>430</v>
      </c>
      <c r="L5" s="223" t="s">
        <v>358</v>
      </c>
      <c r="M5" s="223" t="s">
        <v>359</v>
      </c>
      <c r="N5" s="7" t="s">
        <v>360</v>
      </c>
      <c r="O5" s="7" t="s">
        <v>361</v>
      </c>
      <c r="P5" s="7" t="s">
        <v>362</v>
      </c>
    </row>
    <row r="6" spans="1:16" ht="15" thickBot="1" x14ac:dyDescent="0.35">
      <c r="A6" s="595" t="s">
        <v>431</v>
      </c>
      <c r="B6" s="224" t="s">
        <v>461</v>
      </c>
      <c r="C6" s="224">
        <v>6</v>
      </c>
      <c r="D6" s="224">
        <v>9</v>
      </c>
      <c r="E6" s="224">
        <v>11</v>
      </c>
      <c r="F6" s="224">
        <v>21</v>
      </c>
      <c r="G6" s="224">
        <v>23</v>
      </c>
      <c r="H6" s="224">
        <v>26</v>
      </c>
      <c r="I6" s="224">
        <v>28</v>
      </c>
      <c r="J6" s="224">
        <v>29</v>
      </c>
      <c r="K6" s="224">
        <v>35</v>
      </c>
      <c r="L6" s="224">
        <v>48</v>
      </c>
      <c r="M6" s="224">
        <v>55</v>
      </c>
      <c r="N6" s="224">
        <v>63</v>
      </c>
      <c r="O6" s="224">
        <v>66</v>
      </c>
      <c r="P6" s="224">
        <v>62</v>
      </c>
    </row>
    <row r="7" spans="1:16" ht="15" thickBot="1" x14ac:dyDescent="0.35">
      <c r="A7" s="596"/>
      <c r="B7" s="6" t="s">
        <v>457</v>
      </c>
      <c r="C7" s="6">
        <v>155</v>
      </c>
      <c r="D7" s="6">
        <v>173</v>
      </c>
      <c r="E7" s="6">
        <v>172</v>
      </c>
      <c r="F7" s="6">
        <v>277</v>
      </c>
      <c r="G7" s="224">
        <v>286</v>
      </c>
      <c r="H7" s="6">
        <v>302</v>
      </c>
      <c r="I7" s="224">
        <v>358</v>
      </c>
      <c r="J7" s="224">
        <v>400</v>
      </c>
      <c r="K7" s="6">
        <v>425</v>
      </c>
      <c r="L7" s="6">
        <v>463</v>
      </c>
      <c r="M7" s="6">
        <v>458</v>
      </c>
      <c r="N7" s="6">
        <v>505</v>
      </c>
      <c r="O7" s="6">
        <v>517</v>
      </c>
      <c r="P7" s="6">
        <v>535</v>
      </c>
    </row>
    <row r="8" spans="1:16" ht="15" thickBot="1" x14ac:dyDescent="0.35">
      <c r="A8" s="596"/>
      <c r="B8" s="6" t="s">
        <v>456</v>
      </c>
      <c r="C8" s="6">
        <v>35</v>
      </c>
      <c r="D8" s="6">
        <v>34</v>
      </c>
      <c r="E8" s="6">
        <v>34</v>
      </c>
      <c r="F8" s="6">
        <v>54</v>
      </c>
      <c r="G8" s="224">
        <v>34</v>
      </c>
      <c r="H8" s="6">
        <v>88</v>
      </c>
      <c r="I8" s="224">
        <v>93</v>
      </c>
      <c r="J8" s="224">
        <v>47</v>
      </c>
      <c r="K8" s="6">
        <v>48</v>
      </c>
      <c r="L8" s="6">
        <v>51</v>
      </c>
      <c r="M8" s="6">
        <v>48</v>
      </c>
      <c r="N8" s="6">
        <v>49</v>
      </c>
      <c r="O8" s="6">
        <v>56</v>
      </c>
      <c r="P8" s="6">
        <v>58</v>
      </c>
    </row>
    <row r="9" spans="1:16" ht="15" thickBot="1" x14ac:dyDescent="0.35">
      <c r="A9" s="675"/>
      <c r="B9" s="6" t="s">
        <v>462</v>
      </c>
      <c r="C9" s="6">
        <v>20</v>
      </c>
      <c r="D9" s="6">
        <v>20</v>
      </c>
      <c r="E9" s="6">
        <v>14</v>
      </c>
      <c r="F9" s="6">
        <v>19</v>
      </c>
      <c r="G9" s="224">
        <v>12</v>
      </c>
      <c r="H9" s="6">
        <v>20</v>
      </c>
      <c r="I9" s="224">
        <v>24</v>
      </c>
      <c r="J9" s="224">
        <v>23</v>
      </c>
      <c r="K9" s="6">
        <v>28</v>
      </c>
      <c r="L9" s="6">
        <v>32</v>
      </c>
      <c r="M9" s="6">
        <v>30</v>
      </c>
      <c r="N9" s="6">
        <v>32</v>
      </c>
      <c r="O9" s="6">
        <v>27</v>
      </c>
      <c r="P9" s="6">
        <v>35</v>
      </c>
    </row>
    <row r="10" spans="1:16" ht="15" thickBot="1" x14ac:dyDescent="0.35">
      <c r="A10" s="674" t="s">
        <v>432</v>
      </c>
      <c r="B10" s="6" t="s">
        <v>461</v>
      </c>
      <c r="C10" s="6">
        <v>2</v>
      </c>
      <c r="D10" s="6">
        <v>2</v>
      </c>
      <c r="E10" s="6">
        <v>1</v>
      </c>
      <c r="F10" s="6">
        <v>3</v>
      </c>
      <c r="G10" s="224">
        <v>1</v>
      </c>
      <c r="H10" s="6">
        <v>5</v>
      </c>
      <c r="I10" s="224">
        <v>5</v>
      </c>
      <c r="J10" s="224">
        <v>9</v>
      </c>
      <c r="K10" s="6">
        <v>11</v>
      </c>
      <c r="L10" s="6">
        <v>11</v>
      </c>
      <c r="M10" s="6">
        <v>11</v>
      </c>
      <c r="N10" s="6">
        <v>18</v>
      </c>
      <c r="O10" s="6">
        <v>17</v>
      </c>
      <c r="P10" s="6">
        <v>19</v>
      </c>
    </row>
    <row r="11" spans="1:16" ht="15" thickBot="1" x14ac:dyDescent="0.35">
      <c r="A11" s="596"/>
      <c r="B11" s="6" t="s">
        <v>457</v>
      </c>
      <c r="C11" s="6">
        <v>34</v>
      </c>
      <c r="D11" s="6">
        <v>36</v>
      </c>
      <c r="E11" s="6">
        <v>45</v>
      </c>
      <c r="F11" s="6">
        <v>82</v>
      </c>
      <c r="G11" s="224">
        <v>78</v>
      </c>
      <c r="H11" s="6">
        <v>93</v>
      </c>
      <c r="I11" s="224">
        <v>103</v>
      </c>
      <c r="J11" s="224">
        <v>138</v>
      </c>
      <c r="K11" s="6">
        <v>129</v>
      </c>
      <c r="L11" s="6">
        <v>148</v>
      </c>
      <c r="M11" s="6">
        <v>137</v>
      </c>
      <c r="N11" s="6">
        <v>213</v>
      </c>
      <c r="O11" s="6">
        <v>211</v>
      </c>
      <c r="P11" s="6">
        <v>251</v>
      </c>
    </row>
    <row r="12" spans="1:16" ht="15" thickBot="1" x14ac:dyDescent="0.35">
      <c r="A12" s="596"/>
      <c r="B12" s="6" t="s">
        <v>456</v>
      </c>
      <c r="C12" s="6">
        <v>8</v>
      </c>
      <c r="D12" s="6">
        <v>8</v>
      </c>
      <c r="E12" s="6">
        <v>10</v>
      </c>
      <c r="F12" s="6">
        <v>23</v>
      </c>
      <c r="G12" s="224">
        <v>16</v>
      </c>
      <c r="H12" s="6">
        <v>26</v>
      </c>
      <c r="I12" s="224">
        <v>19</v>
      </c>
      <c r="J12" s="224">
        <v>22</v>
      </c>
      <c r="K12" s="6">
        <v>15</v>
      </c>
      <c r="L12" s="6">
        <v>19</v>
      </c>
      <c r="M12" s="6">
        <v>18</v>
      </c>
      <c r="N12" s="6">
        <v>19</v>
      </c>
      <c r="O12" s="6">
        <v>25</v>
      </c>
      <c r="P12" s="6">
        <v>28</v>
      </c>
    </row>
    <row r="13" spans="1:16" ht="15" thickBot="1" x14ac:dyDescent="0.35">
      <c r="A13" s="675"/>
      <c r="B13" s="6" t="s">
        <v>462</v>
      </c>
      <c r="C13" s="6">
        <v>3</v>
      </c>
      <c r="D13" s="6">
        <v>4</v>
      </c>
      <c r="E13" s="6">
        <v>12</v>
      </c>
      <c r="F13" s="6">
        <v>10</v>
      </c>
      <c r="G13" s="224">
        <v>5</v>
      </c>
      <c r="H13" s="6">
        <v>9</v>
      </c>
      <c r="I13" s="224">
        <v>9</v>
      </c>
      <c r="J13" s="224">
        <v>14</v>
      </c>
      <c r="K13" s="6">
        <v>10</v>
      </c>
      <c r="L13" s="6">
        <v>17</v>
      </c>
      <c r="M13" s="6">
        <v>14</v>
      </c>
      <c r="N13" s="6">
        <v>23</v>
      </c>
      <c r="O13" s="6">
        <v>23</v>
      </c>
      <c r="P13" s="6">
        <v>31</v>
      </c>
    </row>
    <row r="14" spans="1:16" ht="15" thickBot="1" x14ac:dyDescent="0.35">
      <c r="A14" s="674" t="s">
        <v>433</v>
      </c>
      <c r="B14" s="6" t="s">
        <v>461</v>
      </c>
      <c r="C14" s="6">
        <v>27</v>
      </c>
      <c r="D14" s="6">
        <v>30</v>
      </c>
      <c r="E14" s="6">
        <v>25</v>
      </c>
      <c r="F14" s="6">
        <v>23</v>
      </c>
      <c r="G14" s="224">
        <v>13</v>
      </c>
      <c r="H14" s="6">
        <v>20</v>
      </c>
      <c r="I14" s="224">
        <v>14</v>
      </c>
      <c r="J14" s="224">
        <v>8</v>
      </c>
      <c r="K14" s="6">
        <v>7</v>
      </c>
      <c r="L14" s="6">
        <v>12</v>
      </c>
      <c r="M14" s="6">
        <v>11</v>
      </c>
      <c r="N14" s="6">
        <v>13</v>
      </c>
      <c r="O14" s="6">
        <v>6</v>
      </c>
      <c r="P14" s="6">
        <v>4</v>
      </c>
    </row>
    <row r="15" spans="1:16" ht="15" thickBot="1" x14ac:dyDescent="0.35">
      <c r="A15" s="596"/>
      <c r="B15" s="6" t="s">
        <v>457</v>
      </c>
      <c r="C15" s="6">
        <v>595</v>
      </c>
      <c r="D15" s="6">
        <v>621</v>
      </c>
      <c r="E15" s="6">
        <v>474</v>
      </c>
      <c r="F15" s="6">
        <v>245</v>
      </c>
      <c r="G15" s="224">
        <v>302</v>
      </c>
      <c r="H15" s="6">
        <v>198</v>
      </c>
      <c r="I15" s="224">
        <v>136</v>
      </c>
      <c r="J15" s="224">
        <v>148</v>
      </c>
      <c r="K15" s="6">
        <v>145</v>
      </c>
      <c r="L15" s="6">
        <v>155</v>
      </c>
      <c r="M15" s="6">
        <v>113</v>
      </c>
      <c r="N15" s="6">
        <v>101</v>
      </c>
      <c r="O15" s="6">
        <v>66</v>
      </c>
      <c r="P15" s="6">
        <v>43</v>
      </c>
    </row>
    <row r="16" spans="1:16" ht="15" thickBot="1" x14ac:dyDescent="0.35">
      <c r="A16" s="596"/>
      <c r="B16" s="6" t="s">
        <v>456</v>
      </c>
      <c r="C16" s="6">
        <v>243</v>
      </c>
      <c r="D16" s="6">
        <v>191</v>
      </c>
      <c r="E16" s="6">
        <v>146</v>
      </c>
      <c r="F16" s="6">
        <v>45</v>
      </c>
      <c r="G16" s="224">
        <v>54</v>
      </c>
      <c r="H16" s="6">
        <v>74</v>
      </c>
      <c r="I16" s="224">
        <v>58</v>
      </c>
      <c r="J16" s="224">
        <v>26</v>
      </c>
      <c r="K16" s="6">
        <v>18</v>
      </c>
      <c r="L16" s="6">
        <v>21</v>
      </c>
      <c r="M16" s="6">
        <v>19</v>
      </c>
      <c r="N16" s="6">
        <v>15</v>
      </c>
      <c r="O16" s="6">
        <v>16</v>
      </c>
      <c r="P16" s="6">
        <v>12</v>
      </c>
    </row>
    <row r="17" spans="1:16" ht="15" thickBot="1" x14ac:dyDescent="0.35">
      <c r="A17" s="675"/>
      <c r="B17" s="6" t="s">
        <v>462</v>
      </c>
      <c r="C17" s="6">
        <v>151</v>
      </c>
      <c r="D17" s="6">
        <v>106</v>
      </c>
      <c r="E17" s="6">
        <v>59</v>
      </c>
      <c r="F17" s="6">
        <v>29</v>
      </c>
      <c r="G17" s="224">
        <v>28</v>
      </c>
      <c r="H17" s="6">
        <v>11</v>
      </c>
      <c r="I17" s="224">
        <v>14</v>
      </c>
      <c r="J17" s="224">
        <v>8</v>
      </c>
      <c r="K17" s="6">
        <v>9</v>
      </c>
      <c r="L17" s="6">
        <v>11</v>
      </c>
      <c r="M17" s="6">
        <v>10</v>
      </c>
      <c r="N17" s="6">
        <v>7</v>
      </c>
      <c r="O17" s="6">
        <v>8</v>
      </c>
      <c r="P17" s="6">
        <v>4</v>
      </c>
    </row>
    <row r="18" spans="1:16" ht="15" thickBot="1" x14ac:dyDescent="0.35">
      <c r="A18" s="608" t="s">
        <v>466</v>
      </c>
      <c r="B18" s="608"/>
      <c r="C18" s="40">
        <v>1279</v>
      </c>
      <c r="D18" s="40">
        <v>1234</v>
      </c>
      <c r="E18" s="40">
        <v>1003</v>
      </c>
      <c r="F18" s="40">
        <v>831</v>
      </c>
      <c r="G18" s="225">
        <v>852</v>
      </c>
      <c r="H18" s="40">
        <v>872</v>
      </c>
      <c r="I18" s="225">
        <v>861</v>
      </c>
      <c r="J18" s="225">
        <v>872</v>
      </c>
      <c r="K18" s="40">
        <v>880</v>
      </c>
      <c r="L18" s="40">
        <v>988</v>
      </c>
      <c r="M18" s="40">
        <f>SUM(M6:M17)</f>
        <v>924</v>
      </c>
      <c r="N18" s="40">
        <f>SUM(N6:N17)</f>
        <v>1058</v>
      </c>
      <c r="O18" s="40">
        <f t="shared" ref="O18:P18" si="0">SUM(O6:O17)</f>
        <v>1038</v>
      </c>
      <c r="P18" s="40">
        <f t="shared" si="0"/>
        <v>1082</v>
      </c>
    </row>
  </sheetData>
  <mergeCells count="4">
    <mergeCell ref="A18:B18"/>
    <mergeCell ref="A14:A17"/>
    <mergeCell ref="A10:A13"/>
    <mergeCell ref="A6:A9"/>
  </mergeCells>
  <pageMargins left="0.7" right="0.7" top="0.75" bottom="0.75" header="0.3" footer="0.3"/>
  <drawing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949C3-99B9-410E-A853-B8D436EC0CCF}">
  <dimension ref="A1:B8"/>
  <sheetViews>
    <sheetView workbookViewId="0">
      <selection activeCell="D5" sqref="D5"/>
    </sheetView>
  </sheetViews>
  <sheetFormatPr baseColWidth="10" defaultColWidth="28.44140625" defaultRowHeight="14.4" x14ac:dyDescent="0.3"/>
  <cols>
    <col min="1" max="1" width="31.44140625" customWidth="1"/>
    <col min="2" max="2" width="47.44140625" bestFit="1" customWidth="1"/>
    <col min="3" max="10" width="8.44140625" customWidth="1"/>
    <col min="11" max="11" width="5.44140625" bestFit="1" customWidth="1"/>
    <col min="12" max="15" width="5.44140625" customWidth="1"/>
  </cols>
  <sheetData>
    <row r="1" spans="1:2" x14ac:dyDescent="0.3">
      <c r="A1" t="s">
        <v>355</v>
      </c>
      <c r="B1">
        <v>188</v>
      </c>
    </row>
    <row r="2" spans="1:2" x14ac:dyDescent="0.3">
      <c r="A2" t="s">
        <v>5</v>
      </c>
      <c r="B2" t="s">
        <v>238</v>
      </c>
    </row>
    <row r="3" spans="1:2" ht="15" thickBot="1" x14ac:dyDescent="0.35"/>
    <row r="4" spans="1:2" x14ac:dyDescent="0.3">
      <c r="A4" s="227" t="s">
        <v>1940</v>
      </c>
      <c r="B4" s="227" t="s">
        <v>1941</v>
      </c>
    </row>
    <row r="5" spans="1:2" x14ac:dyDescent="0.3">
      <c r="A5" s="3" t="s">
        <v>1942</v>
      </c>
      <c r="B5" s="228" t="s">
        <v>1943</v>
      </c>
    </row>
    <row r="6" spans="1:2" x14ac:dyDescent="0.3">
      <c r="A6" s="3" t="s">
        <v>1944</v>
      </c>
      <c r="B6" s="228" t="s">
        <v>1945</v>
      </c>
    </row>
    <row r="7" spans="1:2" x14ac:dyDescent="0.3">
      <c r="A7" s="3" t="s">
        <v>1946</v>
      </c>
      <c r="B7" s="228" t="s">
        <v>1947</v>
      </c>
    </row>
    <row r="8" spans="1:2" x14ac:dyDescent="0.3">
      <c r="A8" s="1" t="s">
        <v>536</v>
      </c>
      <c r="B8" s="229" t="s">
        <v>1948</v>
      </c>
    </row>
  </sheetData>
  <pageMargins left="0.7" right="0.7" top="0.75" bottom="0.75" header="0.3" footer="0.3"/>
  <drawing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566B1-0B24-46F5-AD8A-61671C8051F2}">
  <dimension ref="A1:C14"/>
  <sheetViews>
    <sheetView workbookViewId="0"/>
  </sheetViews>
  <sheetFormatPr baseColWidth="10" defaultColWidth="28.44140625" defaultRowHeight="14.4" x14ac:dyDescent="0.3"/>
  <cols>
    <col min="1" max="1" width="16.44140625" customWidth="1"/>
    <col min="2" max="2" width="30.44140625" customWidth="1"/>
    <col min="3" max="3" width="32.44140625" customWidth="1"/>
    <col min="4" max="10" width="8.44140625" customWidth="1"/>
    <col min="11" max="11" width="5.44140625" bestFit="1" customWidth="1"/>
    <col min="12" max="15" width="5.44140625" customWidth="1"/>
  </cols>
  <sheetData>
    <row r="1" spans="1:3" x14ac:dyDescent="0.3">
      <c r="A1" t="s">
        <v>355</v>
      </c>
      <c r="B1">
        <v>189</v>
      </c>
    </row>
    <row r="2" spans="1:3" x14ac:dyDescent="0.3">
      <c r="A2" t="s">
        <v>5</v>
      </c>
      <c r="B2" t="s">
        <v>240</v>
      </c>
    </row>
    <row r="5" spans="1:3" x14ac:dyDescent="0.3">
      <c r="A5" s="440" t="s">
        <v>1949</v>
      </c>
      <c r="B5" s="440" t="s">
        <v>1950</v>
      </c>
      <c r="C5" s="440" t="s">
        <v>1951</v>
      </c>
    </row>
    <row r="6" spans="1:3" x14ac:dyDescent="0.3">
      <c r="A6" s="676" t="s">
        <v>1952</v>
      </c>
      <c r="B6" s="439" t="s">
        <v>461</v>
      </c>
      <c r="C6" s="441" t="s">
        <v>1953</v>
      </c>
    </row>
    <row r="7" spans="1:3" x14ac:dyDescent="0.3">
      <c r="A7" s="676"/>
      <c r="B7" s="439" t="s">
        <v>1954</v>
      </c>
      <c r="C7" s="441" t="s">
        <v>1955</v>
      </c>
    </row>
    <row r="8" spans="1:3" x14ac:dyDescent="0.3">
      <c r="A8" s="676"/>
      <c r="B8" s="439" t="s">
        <v>456</v>
      </c>
      <c r="C8" s="441" t="s">
        <v>1956</v>
      </c>
    </row>
    <row r="9" spans="1:3" x14ac:dyDescent="0.3">
      <c r="A9" s="676"/>
      <c r="B9" s="439" t="s">
        <v>457</v>
      </c>
      <c r="C9" s="441" t="s">
        <v>1957</v>
      </c>
    </row>
    <row r="10" spans="1:3" x14ac:dyDescent="0.3">
      <c r="A10" s="677" t="s">
        <v>1958</v>
      </c>
      <c r="B10" s="439" t="s">
        <v>456</v>
      </c>
      <c r="C10" s="441" t="s">
        <v>1959</v>
      </c>
    </row>
    <row r="11" spans="1:3" x14ac:dyDescent="0.3">
      <c r="A11" s="678"/>
      <c r="B11" s="439" t="s">
        <v>457</v>
      </c>
      <c r="C11" s="441" t="s">
        <v>1960</v>
      </c>
    </row>
    <row r="12" spans="1:3" x14ac:dyDescent="0.3">
      <c r="A12" s="679"/>
      <c r="B12" s="439" t="s">
        <v>462</v>
      </c>
      <c r="C12" s="441" t="s">
        <v>1961</v>
      </c>
    </row>
    <row r="13" spans="1:3" x14ac:dyDescent="0.3">
      <c r="A13" s="677" t="s">
        <v>1962</v>
      </c>
      <c r="B13" s="439" t="s">
        <v>456</v>
      </c>
      <c r="C13" s="441" t="s">
        <v>1963</v>
      </c>
    </row>
    <row r="14" spans="1:3" x14ac:dyDescent="0.3">
      <c r="A14" s="679"/>
      <c r="B14" s="439" t="s">
        <v>457</v>
      </c>
      <c r="C14" s="441" t="s">
        <v>1964</v>
      </c>
    </row>
  </sheetData>
  <mergeCells count="3">
    <mergeCell ref="A6:A9"/>
    <mergeCell ref="A10:A12"/>
    <mergeCell ref="A13:A14"/>
  </mergeCells>
  <pageMargins left="0.7" right="0.7" top="0.75" bottom="0.75" header="0.3" footer="0.3"/>
  <drawing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4A9B2-D3D8-4081-BA52-2D4A82ACCCFC}">
  <dimension ref="A1:N13"/>
  <sheetViews>
    <sheetView workbookViewId="0">
      <selection activeCell="Q15" sqref="Q15"/>
    </sheetView>
  </sheetViews>
  <sheetFormatPr baseColWidth="10" defaultColWidth="28.44140625" defaultRowHeight="14.4" x14ac:dyDescent="0.3"/>
  <cols>
    <col min="1" max="1" width="16.44140625" customWidth="1"/>
    <col min="2" max="2" width="11.44140625" customWidth="1"/>
    <col min="3" max="12" width="8.44140625" customWidth="1"/>
    <col min="13" max="14" width="7.109375" customWidth="1"/>
    <col min="15" max="17" width="5.44140625" customWidth="1"/>
  </cols>
  <sheetData>
    <row r="1" spans="1:14" x14ac:dyDescent="0.3">
      <c r="A1" t="s">
        <v>355</v>
      </c>
      <c r="B1">
        <v>190</v>
      </c>
    </row>
    <row r="2" spans="1:14" x14ac:dyDescent="0.3">
      <c r="A2" t="s">
        <v>5</v>
      </c>
      <c r="B2" t="s">
        <v>241</v>
      </c>
    </row>
    <row r="5" spans="1:14" x14ac:dyDescent="0.3">
      <c r="A5" s="231" t="s">
        <v>1965</v>
      </c>
      <c r="B5" s="231">
        <v>20201</v>
      </c>
      <c r="C5" s="231">
        <v>20202</v>
      </c>
      <c r="D5" s="231">
        <v>20211</v>
      </c>
      <c r="E5" s="231">
        <v>20212</v>
      </c>
      <c r="F5" s="231">
        <v>20221</v>
      </c>
      <c r="G5" s="231">
        <v>20222</v>
      </c>
      <c r="H5" s="231">
        <v>20231</v>
      </c>
      <c r="I5" s="231">
        <v>20232</v>
      </c>
      <c r="J5" s="231">
        <v>20241</v>
      </c>
      <c r="K5" s="231">
        <v>20242</v>
      </c>
      <c r="L5" s="231">
        <v>20251</v>
      </c>
      <c r="M5" s="231">
        <v>20252</v>
      </c>
      <c r="N5" s="231">
        <v>20261</v>
      </c>
    </row>
    <row r="6" spans="1:14" ht="15" thickBot="1" x14ac:dyDescent="0.35">
      <c r="A6" s="19" t="s">
        <v>508</v>
      </c>
      <c r="B6" s="232">
        <v>1034</v>
      </c>
      <c r="C6" s="19">
        <v>540</v>
      </c>
      <c r="D6" s="232">
        <v>1717</v>
      </c>
      <c r="E6" s="232">
        <v>1187</v>
      </c>
      <c r="F6" s="232">
        <v>1802</v>
      </c>
      <c r="G6" s="232">
        <v>1900</v>
      </c>
      <c r="H6" s="232">
        <v>2997</v>
      </c>
      <c r="I6" s="232">
        <v>2309</v>
      </c>
      <c r="J6" s="232">
        <v>3349</v>
      </c>
      <c r="K6" s="232">
        <v>2587</v>
      </c>
      <c r="L6" s="428">
        <v>2683</v>
      </c>
      <c r="M6" s="428">
        <f>4915*61%</f>
        <v>2998.15</v>
      </c>
      <c r="N6" s="428">
        <v>3246.761087267525</v>
      </c>
    </row>
    <row r="7" spans="1:14" ht="15" thickBot="1" x14ac:dyDescent="0.35">
      <c r="A7" s="19" t="s">
        <v>1966</v>
      </c>
      <c r="B7" s="19">
        <v>909</v>
      </c>
      <c r="C7" s="19">
        <v>494</v>
      </c>
      <c r="D7" s="19">
        <v>574</v>
      </c>
      <c r="E7" s="19">
        <v>571</v>
      </c>
      <c r="F7" s="19">
        <v>460</v>
      </c>
      <c r="G7" s="19">
        <v>560</v>
      </c>
      <c r="H7" s="19">
        <v>908</v>
      </c>
      <c r="I7" s="232">
        <v>1716</v>
      </c>
      <c r="J7" s="19">
        <v>827</v>
      </c>
      <c r="K7" s="232">
        <v>2084</v>
      </c>
      <c r="L7" s="3">
        <v>2021</v>
      </c>
      <c r="M7" s="3">
        <v>2010</v>
      </c>
      <c r="N7" s="3">
        <v>1864</v>
      </c>
    </row>
    <row r="8" spans="1:14" ht="15" thickBot="1" x14ac:dyDescent="0.35">
      <c r="A8" s="19" t="s">
        <v>1967</v>
      </c>
      <c r="B8" s="19">
        <v>951</v>
      </c>
      <c r="C8" s="232">
        <v>1677</v>
      </c>
      <c r="D8" s="232">
        <v>2000</v>
      </c>
      <c r="E8" s="232">
        <v>2166</v>
      </c>
      <c r="F8" s="232">
        <v>2259</v>
      </c>
      <c r="G8" s="232">
        <v>4071</v>
      </c>
      <c r="H8" s="232">
        <v>2608</v>
      </c>
      <c r="I8" s="232">
        <v>2960</v>
      </c>
      <c r="J8" s="232">
        <v>3843</v>
      </c>
      <c r="K8" s="232">
        <v>4133</v>
      </c>
      <c r="L8" s="428">
        <v>4054</v>
      </c>
      <c r="M8" s="428">
        <v>3899</v>
      </c>
      <c r="N8" s="428">
        <v>4097</v>
      </c>
    </row>
    <row r="9" spans="1:14" ht="15" thickBot="1" x14ac:dyDescent="0.35">
      <c r="A9" s="19" t="s">
        <v>1968</v>
      </c>
      <c r="B9" s="19">
        <v>2</v>
      </c>
      <c r="C9" s="19">
        <v>44</v>
      </c>
      <c r="D9" s="19">
        <v>103</v>
      </c>
      <c r="E9" s="19">
        <v>252</v>
      </c>
      <c r="F9" s="19">
        <v>406</v>
      </c>
      <c r="G9" s="19">
        <v>510</v>
      </c>
      <c r="H9" s="19">
        <v>241</v>
      </c>
      <c r="I9" s="19">
        <v>559</v>
      </c>
      <c r="J9" s="19">
        <v>399</v>
      </c>
      <c r="K9" s="19">
        <v>160</v>
      </c>
      <c r="L9" s="3">
        <v>0</v>
      </c>
      <c r="M9" s="3">
        <v>176</v>
      </c>
      <c r="N9" s="564">
        <v>190.60371959942773</v>
      </c>
    </row>
    <row r="10" spans="1:14" ht="15" thickBot="1" x14ac:dyDescent="0.35">
      <c r="A10" s="19" t="s">
        <v>961</v>
      </c>
      <c r="B10" s="232">
        <v>1044</v>
      </c>
      <c r="C10" s="19">
        <v>611</v>
      </c>
      <c r="D10" s="232">
        <v>1091</v>
      </c>
      <c r="E10" s="232">
        <v>1087</v>
      </c>
      <c r="F10" s="232">
        <v>1285</v>
      </c>
      <c r="G10" s="232">
        <v>1547</v>
      </c>
      <c r="H10" s="232">
        <v>1550</v>
      </c>
      <c r="I10" s="232">
        <v>1093</v>
      </c>
      <c r="J10" s="232">
        <v>1843</v>
      </c>
      <c r="K10" s="232">
        <v>1944</v>
      </c>
      <c r="L10" s="428">
        <v>2117</v>
      </c>
      <c r="M10" s="428">
        <v>1899</v>
      </c>
      <c r="N10" s="428">
        <v>2056.5708154506437</v>
      </c>
    </row>
    <row r="11" spans="1:14" ht="15" thickBot="1" x14ac:dyDescent="0.35">
      <c r="A11" s="19" t="s">
        <v>1969</v>
      </c>
      <c r="B11" s="19">
        <v>324</v>
      </c>
      <c r="C11" s="19">
        <v>329</v>
      </c>
      <c r="D11" s="19">
        <v>536</v>
      </c>
      <c r="E11" s="19">
        <v>487</v>
      </c>
      <c r="F11" s="19">
        <v>716</v>
      </c>
      <c r="G11" s="19">
        <v>756</v>
      </c>
      <c r="H11" s="19">
        <v>904</v>
      </c>
      <c r="I11" s="232">
        <v>1737</v>
      </c>
      <c r="J11" s="232">
        <v>1288</v>
      </c>
      <c r="K11" s="232">
        <v>1277</v>
      </c>
      <c r="L11" s="428">
        <v>2024</v>
      </c>
      <c r="M11" s="428">
        <v>1917</v>
      </c>
      <c r="N11" s="428">
        <v>2076.0643776824036</v>
      </c>
    </row>
    <row r="12" spans="1:14" ht="15" thickBot="1" x14ac:dyDescent="0.35">
      <c r="A12" s="19" t="s">
        <v>1970</v>
      </c>
      <c r="B12" s="232">
        <v>5504</v>
      </c>
      <c r="C12" s="232">
        <v>6101</v>
      </c>
      <c r="D12" s="232">
        <v>9687</v>
      </c>
      <c r="E12" s="232">
        <v>7378</v>
      </c>
      <c r="F12" s="232">
        <v>8904</v>
      </c>
      <c r="G12" s="232">
        <v>12960</v>
      </c>
      <c r="H12" s="232">
        <v>14356</v>
      </c>
      <c r="I12" s="232">
        <v>14346</v>
      </c>
      <c r="J12" s="232">
        <v>16891</v>
      </c>
      <c r="K12" s="232">
        <v>17621</v>
      </c>
      <c r="L12" s="428">
        <v>20519</v>
      </c>
      <c r="M12" s="428">
        <v>21450</v>
      </c>
      <c r="N12" s="428">
        <v>23011</v>
      </c>
    </row>
    <row r="13" spans="1:14" ht="15" thickBot="1" x14ac:dyDescent="0.35">
      <c r="A13" s="233" t="s">
        <v>536</v>
      </c>
      <c r="B13" s="234">
        <v>9768</v>
      </c>
      <c r="C13" s="234">
        <v>9796</v>
      </c>
      <c r="D13" s="234">
        <v>15708</v>
      </c>
      <c r="E13" s="234">
        <v>13128</v>
      </c>
      <c r="F13" s="234">
        <v>15832</v>
      </c>
      <c r="G13" s="234">
        <v>22304</v>
      </c>
      <c r="H13" s="234">
        <v>23564</v>
      </c>
      <c r="I13" s="234">
        <v>24720</v>
      </c>
      <c r="J13" s="234">
        <v>28440</v>
      </c>
      <c r="K13" s="234">
        <f>SUM(K6:K12)</f>
        <v>29806</v>
      </c>
      <c r="L13" s="234">
        <f>SUM(L6:L12)</f>
        <v>33418</v>
      </c>
      <c r="M13" s="234">
        <f>SUM(M6:M12)</f>
        <v>34349.15</v>
      </c>
      <c r="N13" s="234">
        <f>SUM(N6:N12)</f>
        <v>36542</v>
      </c>
    </row>
  </sheetData>
  <pageMargins left="0.7" right="0.7" top="0.75" bottom="0.75" header="0.3" footer="0.3"/>
  <drawing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870F0-DC01-48A3-A13C-B763E677E42F}">
  <dimension ref="A1:N11"/>
  <sheetViews>
    <sheetView workbookViewId="0">
      <selection activeCell="M5" sqref="M5"/>
    </sheetView>
  </sheetViews>
  <sheetFormatPr baseColWidth="10" defaultColWidth="28.44140625" defaultRowHeight="14.4" x14ac:dyDescent="0.3"/>
  <cols>
    <col min="1" max="1" width="16.44140625" customWidth="1"/>
    <col min="2" max="2" width="11.44140625" customWidth="1"/>
    <col min="3" max="11" width="8.44140625" customWidth="1"/>
    <col min="12" max="12" width="9.44140625" customWidth="1"/>
    <col min="13" max="14" width="5.6640625" bestFit="1" customWidth="1"/>
    <col min="15" max="16" width="5.44140625" customWidth="1"/>
  </cols>
  <sheetData>
    <row r="1" spans="1:14" x14ac:dyDescent="0.3">
      <c r="A1" t="s">
        <v>355</v>
      </c>
      <c r="B1">
        <v>191</v>
      </c>
    </row>
    <row r="2" spans="1:14" x14ac:dyDescent="0.3">
      <c r="A2" t="s">
        <v>5</v>
      </c>
      <c r="B2" t="s">
        <v>242</v>
      </c>
    </row>
    <row r="5" spans="1:14" x14ac:dyDescent="0.3">
      <c r="A5" s="231" t="s">
        <v>1971</v>
      </c>
      <c r="B5" s="231">
        <v>20201</v>
      </c>
      <c r="C5" s="231">
        <v>20202</v>
      </c>
      <c r="D5" s="231">
        <v>20211</v>
      </c>
      <c r="E5" s="231">
        <v>20212</v>
      </c>
      <c r="F5" s="231">
        <v>20221</v>
      </c>
      <c r="G5" s="231">
        <v>20222</v>
      </c>
      <c r="H5" s="231">
        <v>20231</v>
      </c>
      <c r="I5" s="231">
        <v>20232</v>
      </c>
      <c r="J5" s="231">
        <v>20241</v>
      </c>
      <c r="K5" s="231">
        <v>20242</v>
      </c>
      <c r="L5" s="231" t="s">
        <v>360</v>
      </c>
      <c r="M5" s="231" t="s">
        <v>361</v>
      </c>
      <c r="N5" s="231" t="s">
        <v>362</v>
      </c>
    </row>
    <row r="6" spans="1:14" ht="15" thickBot="1" x14ac:dyDescent="0.35">
      <c r="A6" s="19" t="s">
        <v>957</v>
      </c>
      <c r="B6" s="19">
        <v>951</v>
      </c>
      <c r="C6" s="232">
        <v>1677</v>
      </c>
      <c r="D6" s="232">
        <v>2000</v>
      </c>
      <c r="E6" s="232">
        <v>2166</v>
      </c>
      <c r="F6" s="232">
        <v>2259</v>
      </c>
      <c r="G6" s="232">
        <v>4071</v>
      </c>
      <c r="H6" s="232">
        <v>2608</v>
      </c>
      <c r="I6" s="232">
        <v>2960</v>
      </c>
      <c r="J6" s="232">
        <v>3843</v>
      </c>
      <c r="K6" s="232">
        <v>4133</v>
      </c>
      <c r="L6" s="232">
        <v>4054</v>
      </c>
      <c r="M6" s="587">
        <v>3899</v>
      </c>
      <c r="N6" s="232">
        <v>4097</v>
      </c>
    </row>
    <row r="7" spans="1:14" ht="15" thickBot="1" x14ac:dyDescent="0.35">
      <c r="A7" s="19" t="s">
        <v>1972</v>
      </c>
      <c r="B7" s="19">
        <v>577</v>
      </c>
      <c r="C7" s="19">
        <v>459</v>
      </c>
      <c r="D7" s="19">
        <v>910</v>
      </c>
      <c r="E7" s="19">
        <v>918</v>
      </c>
      <c r="F7" s="232">
        <v>1173</v>
      </c>
      <c r="G7" s="232">
        <v>1375</v>
      </c>
      <c r="H7" s="232">
        <v>1053</v>
      </c>
      <c r="I7" s="19">
        <v>371</v>
      </c>
      <c r="J7" s="232">
        <v>1137</v>
      </c>
      <c r="K7" s="232">
        <v>1158</v>
      </c>
      <c r="L7" s="232">
        <v>2117</v>
      </c>
      <c r="M7" s="587">
        <v>1899</v>
      </c>
      <c r="N7" s="232">
        <v>2056.5708154506437</v>
      </c>
    </row>
    <row r="8" spans="1:14" ht="15" thickBot="1" x14ac:dyDescent="0.35">
      <c r="A8" s="19" t="s">
        <v>1973</v>
      </c>
      <c r="B8" s="232">
        <v>1825</v>
      </c>
      <c r="C8" s="19">
        <v>946</v>
      </c>
      <c r="D8" s="232">
        <v>2325</v>
      </c>
      <c r="E8" s="232">
        <v>1795</v>
      </c>
      <c r="F8" s="232">
        <v>2611</v>
      </c>
      <c r="G8" s="232">
        <v>2802</v>
      </c>
      <c r="H8" s="232">
        <v>3446</v>
      </c>
      <c r="I8" s="232">
        <v>4768</v>
      </c>
      <c r="J8" s="232">
        <v>4541</v>
      </c>
      <c r="K8" s="232">
        <v>4650</v>
      </c>
      <c r="L8" s="232">
        <v>4626</v>
      </c>
      <c r="M8" s="587">
        <v>4915.1499999999996</v>
      </c>
      <c r="N8" s="232">
        <v>5322.8254649499286</v>
      </c>
    </row>
    <row r="9" spans="1:14" ht="15" thickBot="1" x14ac:dyDescent="0.35">
      <c r="A9" s="19" t="s">
        <v>1974</v>
      </c>
      <c r="B9" s="19">
        <v>911</v>
      </c>
      <c r="C9" s="19">
        <v>613</v>
      </c>
      <c r="D9" s="19">
        <v>786</v>
      </c>
      <c r="E9" s="19">
        <v>871</v>
      </c>
      <c r="F9" s="19">
        <v>885</v>
      </c>
      <c r="G9" s="232">
        <v>1096</v>
      </c>
      <c r="H9" s="232">
        <v>2101</v>
      </c>
      <c r="I9" s="232">
        <v>2275</v>
      </c>
      <c r="J9" s="232">
        <v>2028</v>
      </c>
      <c r="K9" s="232">
        <v>2244</v>
      </c>
      <c r="L9" s="232">
        <v>2102</v>
      </c>
      <c r="M9" s="587">
        <v>2186</v>
      </c>
      <c r="N9" s="232">
        <v>2054.6037195994277</v>
      </c>
    </row>
    <row r="10" spans="1:14" ht="15" thickBot="1" x14ac:dyDescent="0.35">
      <c r="A10" s="19" t="s">
        <v>1970</v>
      </c>
      <c r="B10" s="232">
        <v>5504</v>
      </c>
      <c r="C10" s="232">
        <v>6101</v>
      </c>
      <c r="D10" s="232">
        <v>9687</v>
      </c>
      <c r="E10" s="232">
        <v>7378</v>
      </c>
      <c r="F10" s="232">
        <v>8904</v>
      </c>
      <c r="G10" s="232">
        <v>12960</v>
      </c>
      <c r="H10" s="232">
        <v>14356</v>
      </c>
      <c r="I10" s="232">
        <v>14346</v>
      </c>
      <c r="J10" s="232">
        <v>16891</v>
      </c>
      <c r="K10" s="232">
        <v>17621</v>
      </c>
      <c r="L10" s="232">
        <v>20519</v>
      </c>
      <c r="M10" s="428">
        <v>21450</v>
      </c>
      <c r="N10" s="232">
        <v>23011</v>
      </c>
    </row>
    <row r="11" spans="1:14" ht="15" thickBot="1" x14ac:dyDescent="0.35">
      <c r="A11" s="233" t="s">
        <v>536</v>
      </c>
      <c r="B11" s="234">
        <v>9768</v>
      </c>
      <c r="C11" s="234">
        <v>9796</v>
      </c>
      <c r="D11" s="234">
        <v>15708</v>
      </c>
      <c r="E11" s="234">
        <v>13128</v>
      </c>
      <c r="F11" s="234">
        <v>15832</v>
      </c>
      <c r="G11" s="234">
        <v>22304</v>
      </c>
      <c r="H11" s="234">
        <v>23564</v>
      </c>
      <c r="I11" s="234">
        <v>24720</v>
      </c>
      <c r="J11" s="234">
        <v>28440</v>
      </c>
      <c r="K11" s="234">
        <f>SUM(K6:K10)</f>
        <v>29806</v>
      </c>
      <c r="L11" s="234">
        <f>SUM(L6:L10)</f>
        <v>33418</v>
      </c>
      <c r="M11" s="234">
        <f>SUM(M6:M10)</f>
        <v>34349.15</v>
      </c>
      <c r="N11" s="234">
        <f>SUM(N6:N10)</f>
        <v>36542</v>
      </c>
    </row>
  </sheetData>
  <pageMargins left="0.7" right="0.7" top="0.75" bottom="0.75" header="0.3" footer="0.3"/>
  <drawing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C8D8E-1C3A-46FF-9048-858A9B72723B}">
  <dimension ref="A1:P15"/>
  <sheetViews>
    <sheetView workbookViewId="0">
      <selection activeCell="O15" sqref="B15:O15"/>
    </sheetView>
  </sheetViews>
  <sheetFormatPr baseColWidth="10" defaultColWidth="28.44140625" defaultRowHeight="14.4" x14ac:dyDescent="0.3"/>
  <cols>
    <col min="1" max="1" width="16.44140625" customWidth="1"/>
    <col min="2" max="2" width="11.44140625" customWidth="1"/>
    <col min="3" max="15" width="8.44140625" customWidth="1"/>
    <col min="16" max="16" width="11.44140625" bestFit="1" customWidth="1"/>
    <col min="17" max="20" width="5.44140625" customWidth="1"/>
  </cols>
  <sheetData>
    <row r="1" spans="1:16" x14ac:dyDescent="0.3">
      <c r="A1" t="s">
        <v>355</v>
      </c>
      <c r="B1">
        <v>193</v>
      </c>
    </row>
    <row r="2" spans="1:16" x14ac:dyDescent="0.3">
      <c r="A2" t="s">
        <v>5</v>
      </c>
      <c r="B2" t="s">
        <v>244</v>
      </c>
    </row>
    <row r="4" spans="1:16" ht="15" thickBot="1" x14ac:dyDescent="0.35"/>
    <row r="5" spans="1:16" ht="27" thickBot="1" x14ac:dyDescent="0.35">
      <c r="A5" s="235" t="s">
        <v>464</v>
      </c>
      <c r="B5" s="235" t="s">
        <v>422</v>
      </c>
      <c r="C5" s="235" t="s">
        <v>423</v>
      </c>
      <c r="D5" s="235" t="s">
        <v>424</v>
      </c>
      <c r="E5" s="235" t="s">
        <v>425</v>
      </c>
      <c r="F5" s="235" t="s">
        <v>426</v>
      </c>
      <c r="G5" s="235" t="s">
        <v>427</v>
      </c>
      <c r="H5" s="235" t="s">
        <v>428</v>
      </c>
      <c r="I5" s="235" t="s">
        <v>429</v>
      </c>
      <c r="J5" s="235" t="s">
        <v>430</v>
      </c>
      <c r="K5" s="235" t="s">
        <v>358</v>
      </c>
      <c r="L5" s="235" t="s">
        <v>359</v>
      </c>
      <c r="M5" s="235" t="s">
        <v>360</v>
      </c>
      <c r="N5" s="235" t="s">
        <v>361</v>
      </c>
      <c r="O5" s="235" t="s">
        <v>362</v>
      </c>
      <c r="P5" s="235" t="s">
        <v>1975</v>
      </c>
    </row>
    <row r="6" spans="1:16" ht="15" thickBot="1" x14ac:dyDescent="0.35">
      <c r="A6" s="29" t="s">
        <v>1105</v>
      </c>
      <c r="B6" s="29">
        <v>4.3</v>
      </c>
      <c r="C6" s="29">
        <v>4.4000000000000004</v>
      </c>
      <c r="D6" s="29">
        <v>4.7</v>
      </c>
      <c r="E6" s="29">
        <v>4.7</v>
      </c>
      <c r="F6" s="29">
        <v>4.5</v>
      </c>
      <c r="G6" s="29">
        <v>4.4000000000000004</v>
      </c>
      <c r="H6" s="29">
        <v>4.4000000000000004</v>
      </c>
      <c r="I6" s="29">
        <v>4.4000000000000004</v>
      </c>
      <c r="J6" s="29">
        <v>4.4000000000000004</v>
      </c>
      <c r="K6" s="29">
        <v>4.5</v>
      </c>
      <c r="L6" s="29">
        <v>4.5999999999999996</v>
      </c>
      <c r="M6" s="29">
        <v>4.5</v>
      </c>
      <c r="N6" s="29">
        <v>4.5999999999999996</v>
      </c>
      <c r="O6" s="29">
        <v>4.49</v>
      </c>
      <c r="P6" s="317">
        <f>AVERAGE(B6:O6)</f>
        <v>4.4921428571428574</v>
      </c>
    </row>
    <row r="7" spans="1:16" ht="15" thickBot="1" x14ac:dyDescent="0.35">
      <c r="A7" s="29" t="s">
        <v>1106</v>
      </c>
      <c r="B7" s="29">
        <v>4.4000000000000004</v>
      </c>
      <c r="C7" s="29">
        <v>4.4000000000000004</v>
      </c>
      <c r="D7" s="29">
        <v>4.7</v>
      </c>
      <c r="E7" s="29">
        <v>4.5</v>
      </c>
      <c r="F7" s="29">
        <v>4.5999999999999996</v>
      </c>
      <c r="G7" s="29">
        <v>4.5999999999999996</v>
      </c>
      <c r="H7" s="29">
        <v>4.4000000000000004</v>
      </c>
      <c r="I7" s="29">
        <v>4.7</v>
      </c>
      <c r="J7" s="29">
        <v>4.7</v>
      </c>
      <c r="K7" s="29">
        <v>4.7</v>
      </c>
      <c r="L7" s="29">
        <v>4.7</v>
      </c>
      <c r="M7" s="29">
        <v>4.7</v>
      </c>
      <c r="N7" s="29">
        <v>4.7300000000000004</v>
      </c>
      <c r="O7" s="29">
        <v>4.7699999999999996</v>
      </c>
      <c r="P7" s="317">
        <f>AVERAGE(B7:O7)</f>
        <v>4.6142857142857148</v>
      </c>
    </row>
    <row r="9" spans="1:16" x14ac:dyDescent="0.3">
      <c r="B9">
        <f>AVERAGE(B6:B7)</f>
        <v>4.3499999999999996</v>
      </c>
      <c r="C9">
        <f t="shared" ref="C9:O9" si="0">AVERAGE(C6:C7)</f>
        <v>4.4000000000000004</v>
      </c>
      <c r="D9">
        <f t="shared" si="0"/>
        <v>4.7</v>
      </c>
      <c r="E9">
        <f t="shared" si="0"/>
        <v>4.5999999999999996</v>
      </c>
      <c r="F9">
        <f t="shared" si="0"/>
        <v>4.55</v>
      </c>
      <c r="G9">
        <f t="shared" si="0"/>
        <v>4.5</v>
      </c>
      <c r="H9">
        <f t="shared" si="0"/>
        <v>4.4000000000000004</v>
      </c>
      <c r="I9">
        <f t="shared" si="0"/>
        <v>4.5500000000000007</v>
      </c>
      <c r="J9">
        <f t="shared" si="0"/>
        <v>4.5500000000000007</v>
      </c>
      <c r="K9">
        <f t="shared" si="0"/>
        <v>4.5999999999999996</v>
      </c>
      <c r="L9">
        <f t="shared" si="0"/>
        <v>4.6500000000000004</v>
      </c>
      <c r="M9">
        <f t="shared" si="0"/>
        <v>4.5999999999999996</v>
      </c>
      <c r="N9" s="525">
        <f t="shared" si="0"/>
        <v>4.665</v>
      </c>
      <c r="O9">
        <f t="shared" si="0"/>
        <v>4.63</v>
      </c>
    </row>
    <row r="15" spans="1:16" x14ac:dyDescent="0.3">
      <c r="B15" s="525">
        <v>4.34</v>
      </c>
      <c r="C15">
        <v>4.3859999999999992</v>
      </c>
      <c r="D15">
        <v>4.7114076399790683</v>
      </c>
      <c r="E15">
        <v>4.5709999999999997</v>
      </c>
      <c r="F15">
        <v>4.6022877458675779</v>
      </c>
      <c r="G15">
        <v>4.6624657859258161</v>
      </c>
      <c r="H15">
        <v>4.654703567354356</v>
      </c>
      <c r="I15">
        <v>4.6769658656483113</v>
      </c>
      <c r="J15">
        <v>4.7110605589314627</v>
      </c>
      <c r="K15">
        <v>4.7007246683409143</v>
      </c>
      <c r="L15">
        <v>4.7268725605580002</v>
      </c>
      <c r="M15">
        <v>4.6832995819901706</v>
      </c>
      <c r="N15">
        <v>4.7426666666666666</v>
      </c>
      <c r="O15">
        <v>4.7653333333333325</v>
      </c>
    </row>
  </sheetData>
  <pageMargins left="0.7" right="0.7" top="0.75" bottom="0.75" header="0.3" footer="0.3"/>
  <drawing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8C717-C4D5-48B7-9988-AA33BADB1136}">
  <dimension ref="A1:O8"/>
  <sheetViews>
    <sheetView workbookViewId="0"/>
  </sheetViews>
  <sheetFormatPr baseColWidth="10" defaultColWidth="28.44140625" defaultRowHeight="14.4" x14ac:dyDescent="0.3"/>
  <cols>
    <col min="1" max="1" width="16.44140625" customWidth="1"/>
    <col min="2" max="2" width="11.44140625" customWidth="1"/>
    <col min="3" max="11" width="8.44140625" customWidth="1"/>
    <col min="12" max="13" width="10.44140625" customWidth="1"/>
    <col min="14" max="14" width="8.44140625" customWidth="1"/>
    <col min="15" max="15" width="8.33203125" customWidth="1"/>
    <col min="16" max="18" width="5.44140625" customWidth="1"/>
  </cols>
  <sheetData>
    <row r="1" spans="1:15" x14ac:dyDescent="0.3">
      <c r="A1" t="s">
        <v>355</v>
      </c>
      <c r="B1">
        <v>194</v>
      </c>
    </row>
    <row r="2" spans="1:15" x14ac:dyDescent="0.3">
      <c r="A2" t="s">
        <v>5</v>
      </c>
      <c r="B2" t="s">
        <v>246</v>
      </c>
    </row>
    <row r="3" spans="1:15" ht="15" thickBot="1" x14ac:dyDescent="0.35"/>
    <row r="4" spans="1:15" ht="15" thickBot="1" x14ac:dyDescent="0.35">
      <c r="A4" s="237" t="s">
        <v>1976</v>
      </c>
      <c r="B4" s="237" t="s">
        <v>422</v>
      </c>
      <c r="C4" s="237" t="s">
        <v>423</v>
      </c>
      <c r="D4" s="237" t="s">
        <v>424</v>
      </c>
      <c r="E4" s="237" t="s">
        <v>425</v>
      </c>
      <c r="F4" s="237" t="s">
        <v>426</v>
      </c>
      <c r="G4" s="237" t="s">
        <v>427</v>
      </c>
      <c r="H4" s="237" t="s">
        <v>428</v>
      </c>
      <c r="I4" s="237" t="s">
        <v>429</v>
      </c>
      <c r="J4" s="237" t="s">
        <v>430</v>
      </c>
      <c r="K4" s="319" t="s">
        <v>358</v>
      </c>
      <c r="L4" s="319" t="s">
        <v>359</v>
      </c>
      <c r="M4" s="319" t="s">
        <v>360</v>
      </c>
      <c r="N4" s="319" t="s">
        <v>361</v>
      </c>
      <c r="O4" s="319" t="s">
        <v>362</v>
      </c>
    </row>
    <row r="5" spans="1:15" ht="15" thickBot="1" x14ac:dyDescent="0.35">
      <c r="A5" s="238" t="s">
        <v>1977</v>
      </c>
      <c r="B5" s="238"/>
      <c r="C5" s="238"/>
      <c r="D5" s="238"/>
      <c r="E5" s="238">
        <v>4.38</v>
      </c>
      <c r="F5" s="238">
        <v>4.55</v>
      </c>
      <c r="G5" s="238">
        <v>4.7</v>
      </c>
      <c r="H5" s="238">
        <v>4.5</v>
      </c>
      <c r="I5" s="238">
        <v>4.72</v>
      </c>
      <c r="J5" s="238">
        <v>4.71</v>
      </c>
      <c r="K5" s="320">
        <v>4.7699999999999996</v>
      </c>
      <c r="L5" s="320">
        <v>4.88</v>
      </c>
      <c r="M5" s="320">
        <v>4.9000000000000004</v>
      </c>
      <c r="N5" s="320">
        <v>4.92</v>
      </c>
      <c r="O5" s="320">
        <v>4.91</v>
      </c>
    </row>
    <row r="6" spans="1:15" ht="15" thickBot="1" x14ac:dyDescent="0.35">
      <c r="A6" s="238" t="s">
        <v>1978</v>
      </c>
      <c r="B6" s="238">
        <v>4.4000000000000004</v>
      </c>
      <c r="C6" s="238">
        <v>4.4000000000000004</v>
      </c>
      <c r="D6" s="238">
        <v>4.7</v>
      </c>
      <c r="E6" s="238">
        <v>4.75</v>
      </c>
      <c r="F6" s="238">
        <v>4.8</v>
      </c>
      <c r="G6" s="238">
        <v>4.3600000000000003</v>
      </c>
      <c r="H6" s="238">
        <v>4.46</v>
      </c>
      <c r="I6" s="238">
        <v>4.55</v>
      </c>
      <c r="J6" s="238">
        <v>4.4000000000000004</v>
      </c>
      <c r="K6" s="320">
        <v>4.6399999999999997</v>
      </c>
      <c r="L6" s="320">
        <v>4.47</v>
      </c>
      <c r="M6" s="320">
        <v>4.54</v>
      </c>
      <c r="N6" s="320">
        <v>4.58</v>
      </c>
      <c r="O6" s="320">
        <v>4.5199999999999996</v>
      </c>
    </row>
    <row r="7" spans="1:15" ht="15" thickBot="1" x14ac:dyDescent="0.35">
      <c r="A7" s="238" t="s">
        <v>1979</v>
      </c>
      <c r="B7" s="238"/>
      <c r="C7" s="238"/>
      <c r="D7" s="238"/>
      <c r="E7" s="238">
        <v>4.58</v>
      </c>
      <c r="F7" s="238">
        <v>4.51</v>
      </c>
      <c r="G7" s="238">
        <v>4.32</v>
      </c>
      <c r="H7" s="238">
        <v>4.3</v>
      </c>
      <c r="I7" s="238">
        <v>4.41</v>
      </c>
      <c r="J7" s="238">
        <v>4.55</v>
      </c>
      <c r="K7" s="320">
        <v>4.47</v>
      </c>
      <c r="L7" s="320">
        <v>4.87</v>
      </c>
      <c r="M7" s="320">
        <v>4.82</v>
      </c>
      <c r="N7" s="320">
        <v>4.47</v>
      </c>
      <c r="O7" s="320">
        <v>4.47</v>
      </c>
    </row>
    <row r="8" spans="1:15" ht="15" thickBot="1" x14ac:dyDescent="0.35">
      <c r="A8" s="239" t="s">
        <v>466</v>
      </c>
      <c r="B8" s="239">
        <v>4.4000000000000004</v>
      </c>
      <c r="C8" s="239">
        <v>4.4000000000000004</v>
      </c>
      <c r="D8" s="239">
        <v>4.7</v>
      </c>
      <c r="E8" s="239">
        <v>4.5999999999999996</v>
      </c>
      <c r="F8" s="239">
        <v>4.5999999999999996</v>
      </c>
      <c r="G8" s="239">
        <v>4.5</v>
      </c>
      <c r="H8" s="239">
        <v>4.4000000000000004</v>
      </c>
      <c r="I8" s="239">
        <v>4.5999999999999996</v>
      </c>
      <c r="J8" s="239">
        <v>4.5999999999999996</v>
      </c>
      <c r="K8" s="321">
        <v>4.5999999999999996</v>
      </c>
      <c r="L8" s="429">
        <f>AVERAGE(L5:L7)</f>
        <v>4.7399999999999993</v>
      </c>
      <c r="M8" s="429">
        <f>AVERAGE(M5:M7)</f>
        <v>4.7533333333333339</v>
      </c>
      <c r="N8" s="429">
        <f t="shared" ref="N8:O8" si="0">AVERAGE(N5:N7)</f>
        <v>4.6566666666666663</v>
      </c>
      <c r="O8" s="429">
        <f t="shared" si="0"/>
        <v>4.6333333333333329</v>
      </c>
    </row>
  </sheetData>
  <pageMargins left="0.7" right="0.7" top="0.75" bottom="0.75" header="0.3" footer="0.3"/>
  <drawing r:id="rId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6F959-08B9-48CE-96FF-D4BD609DD837}">
  <dimension ref="A1:F20"/>
  <sheetViews>
    <sheetView zoomScale="85" zoomScaleNormal="85" workbookViewId="0">
      <selection activeCell="T29" sqref="T29"/>
    </sheetView>
  </sheetViews>
  <sheetFormatPr baseColWidth="10" defaultColWidth="28.44140625" defaultRowHeight="14.4" x14ac:dyDescent="0.3"/>
  <cols>
    <col min="1" max="1" width="16.44140625" customWidth="1"/>
    <col min="2" max="2" width="11.44140625" customWidth="1"/>
    <col min="3" max="12" width="8.44140625" customWidth="1"/>
    <col min="13" max="13" width="5.44140625" bestFit="1" customWidth="1"/>
    <col min="14" max="17" width="5.44140625" customWidth="1"/>
  </cols>
  <sheetData>
    <row r="1" spans="1:6" x14ac:dyDescent="0.3">
      <c r="A1" t="s">
        <v>355</v>
      </c>
      <c r="B1">
        <v>20</v>
      </c>
    </row>
    <row r="2" spans="1:6" x14ac:dyDescent="0.3">
      <c r="A2" t="s">
        <v>5</v>
      </c>
      <c r="B2" t="s">
        <v>247</v>
      </c>
    </row>
    <row r="4" spans="1:6" ht="28.8" x14ac:dyDescent="0.3">
      <c r="A4" s="490"/>
      <c r="B4" s="491" t="s">
        <v>1980</v>
      </c>
      <c r="C4" s="491" t="s">
        <v>1981</v>
      </c>
      <c r="D4" s="491" t="s">
        <v>1982</v>
      </c>
      <c r="E4" s="491" t="s">
        <v>1983</v>
      </c>
      <c r="F4" s="491" t="s">
        <v>1984</v>
      </c>
    </row>
    <row r="5" spans="1:6" x14ac:dyDescent="0.3">
      <c r="A5" s="491" t="s">
        <v>422</v>
      </c>
      <c r="B5" s="490">
        <v>4.54</v>
      </c>
      <c r="C5" s="490">
        <v>4.46</v>
      </c>
      <c r="D5" s="490">
        <v>4.18</v>
      </c>
      <c r="E5" s="490">
        <v>4.4000000000000004</v>
      </c>
      <c r="F5" s="490">
        <v>4.47</v>
      </c>
    </row>
    <row r="6" spans="1:6" x14ac:dyDescent="0.3">
      <c r="A6" s="491" t="s">
        <v>423</v>
      </c>
      <c r="B6" s="490">
        <v>4.78</v>
      </c>
      <c r="C6" s="490">
        <v>4.67</v>
      </c>
      <c r="D6" s="490">
        <v>4.71</v>
      </c>
      <c r="E6" s="490">
        <v>4.71</v>
      </c>
      <c r="F6" s="490">
        <v>4.8099999999999996</v>
      </c>
    </row>
    <row r="7" spans="1:6" x14ac:dyDescent="0.3">
      <c r="A7" s="491" t="s">
        <v>424</v>
      </c>
      <c r="B7" s="490">
        <v>4.71</v>
      </c>
      <c r="C7" s="490">
        <v>4.55</v>
      </c>
      <c r="D7" s="490">
        <v>4.6399999999999997</v>
      </c>
      <c r="E7" s="490">
        <v>4.66</v>
      </c>
      <c r="F7" s="490">
        <v>4.63</v>
      </c>
    </row>
    <row r="8" spans="1:6" x14ac:dyDescent="0.3">
      <c r="A8" s="491" t="s">
        <v>425</v>
      </c>
      <c r="B8" s="490">
        <v>4.75</v>
      </c>
      <c r="C8" s="490">
        <v>4.68</v>
      </c>
      <c r="D8" s="490">
        <v>4.59</v>
      </c>
      <c r="E8" s="490">
        <v>4.78</v>
      </c>
      <c r="F8" s="490">
        <v>4.68</v>
      </c>
    </row>
    <row r="9" spans="1:6" x14ac:dyDescent="0.3">
      <c r="A9" s="491" t="s">
        <v>426</v>
      </c>
      <c r="B9" s="490">
        <v>4.8</v>
      </c>
      <c r="C9" s="490">
        <v>4.71</v>
      </c>
      <c r="D9" s="490">
        <v>4.67</v>
      </c>
      <c r="E9" s="490">
        <v>4.76</v>
      </c>
      <c r="F9" s="490">
        <v>4.71</v>
      </c>
    </row>
    <row r="10" spans="1:6" x14ac:dyDescent="0.3">
      <c r="A10" s="491" t="s">
        <v>427</v>
      </c>
      <c r="B10" s="490">
        <v>4.79</v>
      </c>
      <c r="C10" s="490">
        <v>4.67</v>
      </c>
      <c r="D10" s="490">
        <v>4.67</v>
      </c>
      <c r="E10" s="490">
        <v>4.79</v>
      </c>
      <c r="F10" s="490">
        <v>4.71</v>
      </c>
    </row>
    <row r="11" spans="1:6" x14ac:dyDescent="0.3">
      <c r="A11" s="491" t="s">
        <v>428</v>
      </c>
      <c r="B11" s="490">
        <v>4.8099999999999996</v>
      </c>
      <c r="C11" s="490">
        <v>4.7300000000000004</v>
      </c>
      <c r="D11" s="490">
        <v>4.7300000000000004</v>
      </c>
      <c r="E11" s="490">
        <v>4.83</v>
      </c>
      <c r="F11" s="490">
        <v>4.5999999999999996</v>
      </c>
    </row>
    <row r="12" spans="1:6" x14ac:dyDescent="0.3">
      <c r="A12" s="491" t="s">
        <v>429</v>
      </c>
      <c r="B12" s="490">
        <v>4.74</v>
      </c>
      <c r="C12" s="490">
        <v>4.6900000000000004</v>
      </c>
      <c r="D12" s="490">
        <v>4.72</v>
      </c>
      <c r="E12" s="490">
        <v>4.76</v>
      </c>
      <c r="F12" s="490">
        <v>4.6500000000000004</v>
      </c>
    </row>
    <row r="13" spans="1:6" x14ac:dyDescent="0.3">
      <c r="A13" s="491" t="s">
        <v>430</v>
      </c>
      <c r="B13" s="490">
        <v>4.74</v>
      </c>
      <c r="C13" s="490">
        <v>4.6500000000000004</v>
      </c>
      <c r="D13" s="490">
        <v>4.6399999999999997</v>
      </c>
      <c r="E13" s="490">
        <v>4.7699999999999996</v>
      </c>
      <c r="F13" s="490">
        <v>4.7</v>
      </c>
    </row>
    <row r="14" spans="1:6" x14ac:dyDescent="0.3">
      <c r="A14" s="491" t="s">
        <v>358</v>
      </c>
      <c r="B14" s="490">
        <v>4.76</v>
      </c>
      <c r="C14" s="490">
        <v>4.6900000000000004</v>
      </c>
      <c r="D14" s="490">
        <v>4.6900000000000004</v>
      </c>
      <c r="E14" s="490">
        <v>4.78</v>
      </c>
      <c r="F14" s="490">
        <v>4.72</v>
      </c>
    </row>
    <row r="15" spans="1:6" x14ac:dyDescent="0.3">
      <c r="A15" s="491" t="s">
        <v>359</v>
      </c>
      <c r="B15" s="490">
        <v>4.72</v>
      </c>
      <c r="C15" s="490">
        <v>4.7</v>
      </c>
      <c r="D15" s="490">
        <v>4.5999999999999996</v>
      </c>
      <c r="E15" s="490">
        <v>4.6900000000000004</v>
      </c>
      <c r="F15" s="490">
        <v>4.71</v>
      </c>
    </row>
    <row r="16" spans="1:6" x14ac:dyDescent="0.3">
      <c r="A16" s="491" t="s">
        <v>360</v>
      </c>
      <c r="B16" s="490">
        <v>4.72</v>
      </c>
      <c r="C16" s="490">
        <v>4.7</v>
      </c>
      <c r="D16" s="490">
        <v>4.5999999999999996</v>
      </c>
      <c r="E16" s="490">
        <v>4.6900000000000004</v>
      </c>
      <c r="F16" s="490">
        <v>4.71</v>
      </c>
    </row>
    <row r="17" spans="1:6" x14ac:dyDescent="0.3">
      <c r="A17" s="491" t="s">
        <v>361</v>
      </c>
      <c r="B17" s="526">
        <f>AVERAGE(4.88,4.56,4.9)</f>
        <v>4.78</v>
      </c>
      <c r="C17" s="526">
        <f>AVERAGE(4.84,4.4,4.82)</f>
        <v>4.6866666666666665</v>
      </c>
      <c r="D17" s="526">
        <f>AVERAGE(4.8,4.4,4.91)</f>
        <v>4.7033333333333331</v>
      </c>
      <c r="E17" s="526">
        <f>AVERAGE(4.9,4.56,4.96)</f>
        <v>4.8066666666666675</v>
      </c>
      <c r="F17" s="526">
        <f>AVERAGE(4.9,4.65,4.66)</f>
        <v>4.7366666666666672</v>
      </c>
    </row>
    <row r="18" spans="1:6" x14ac:dyDescent="0.3">
      <c r="A18" s="491" t="s">
        <v>362</v>
      </c>
      <c r="B18" s="526">
        <f>AVERAGE(4.87,4.56,4.9)</f>
        <v>4.7766666666666664</v>
      </c>
      <c r="C18" s="526">
        <f>AVERAGE(4.87,4.41,4.83)</f>
        <v>4.703333333333334</v>
      </c>
      <c r="D18" s="526">
        <f>AVERAGE(4.84,4.43,4.91)</f>
        <v>4.7266666666666666</v>
      </c>
      <c r="E18" s="526">
        <f>AVERAGE(4.88,4.59,4.97)</f>
        <v>4.8133333333333326</v>
      </c>
      <c r="F18" s="526">
        <f>AVERAGE(4.9,4.64,4.88)</f>
        <v>4.8066666666666658</v>
      </c>
    </row>
    <row r="20" spans="1:6" x14ac:dyDescent="0.3">
      <c r="A20" s="42"/>
    </row>
  </sheetData>
  <pageMargins left="0.7" right="0.7" top="0.75" bottom="0.75" header="0.3" footer="0.3"/>
  <drawing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6DFC6-F7FF-46A4-A646-371FDE652AA1}">
  <dimension ref="A1:J18"/>
  <sheetViews>
    <sheetView workbookViewId="0"/>
  </sheetViews>
  <sheetFormatPr baseColWidth="10" defaultColWidth="28.44140625" defaultRowHeight="14.4" x14ac:dyDescent="0.3"/>
  <cols>
    <col min="1" max="1" width="16.44140625" customWidth="1"/>
    <col min="2" max="2" width="11.44140625" customWidth="1"/>
    <col min="3" max="8" width="8.44140625" customWidth="1"/>
    <col min="9" max="10" width="7.33203125" bestFit="1" customWidth="1"/>
  </cols>
  <sheetData>
    <row r="1" spans="1:10" x14ac:dyDescent="0.3">
      <c r="A1" t="s">
        <v>355</v>
      </c>
      <c r="B1">
        <v>21</v>
      </c>
    </row>
    <row r="2" spans="1:10" x14ac:dyDescent="0.3">
      <c r="A2" t="s">
        <v>5</v>
      </c>
      <c r="B2" t="s">
        <v>250</v>
      </c>
    </row>
    <row r="6" spans="1:10" ht="16.8" x14ac:dyDescent="0.3">
      <c r="A6" s="66" t="s">
        <v>535</v>
      </c>
      <c r="B6" s="66">
        <v>2019</v>
      </c>
      <c r="C6" s="66">
        <v>2020</v>
      </c>
      <c r="D6" s="66">
        <v>2021</v>
      </c>
      <c r="E6" s="66">
        <v>2022</v>
      </c>
      <c r="F6" s="66">
        <v>2023</v>
      </c>
      <c r="G6" s="66">
        <v>2024</v>
      </c>
      <c r="H6" s="66" t="s">
        <v>360</v>
      </c>
      <c r="I6" s="66" t="s">
        <v>361</v>
      </c>
      <c r="J6" s="66" t="s">
        <v>362</v>
      </c>
    </row>
    <row r="7" spans="1:10" ht="16.8" x14ac:dyDescent="0.3">
      <c r="A7" s="305" t="s">
        <v>483</v>
      </c>
      <c r="B7" s="183">
        <v>30</v>
      </c>
      <c r="C7" s="183">
        <v>55</v>
      </c>
      <c r="D7" s="183">
        <v>70</v>
      </c>
      <c r="E7" s="183">
        <v>81</v>
      </c>
      <c r="F7" s="183">
        <v>71</v>
      </c>
      <c r="G7" s="376">
        <v>52</v>
      </c>
      <c r="H7" s="376">
        <v>26</v>
      </c>
      <c r="I7" s="376">
        <v>29</v>
      </c>
      <c r="J7" s="376">
        <v>24</v>
      </c>
    </row>
    <row r="8" spans="1:10" ht="16.8" x14ac:dyDescent="0.3">
      <c r="A8" s="305" t="s">
        <v>1544</v>
      </c>
      <c r="B8" s="183">
        <v>31</v>
      </c>
      <c r="C8" s="183">
        <v>56</v>
      </c>
      <c r="D8" s="183">
        <v>65</v>
      </c>
      <c r="E8" s="183">
        <v>52</v>
      </c>
      <c r="F8" s="183">
        <v>63</v>
      </c>
      <c r="G8" s="376">
        <v>57</v>
      </c>
      <c r="H8" s="376">
        <v>28</v>
      </c>
      <c r="I8" s="376">
        <v>40</v>
      </c>
      <c r="J8" s="376">
        <v>39</v>
      </c>
    </row>
    <row r="9" spans="1:10" ht="16.8" x14ac:dyDescent="0.3">
      <c r="A9" s="305" t="s">
        <v>1545</v>
      </c>
      <c r="B9" s="183">
        <v>19</v>
      </c>
      <c r="C9" s="183">
        <v>30</v>
      </c>
      <c r="D9" s="183">
        <v>26</v>
      </c>
      <c r="E9" s="183">
        <v>23</v>
      </c>
      <c r="F9" s="183">
        <v>23</v>
      </c>
      <c r="G9" s="376">
        <v>64</v>
      </c>
      <c r="H9" s="376">
        <v>37</v>
      </c>
      <c r="I9" s="376">
        <v>58</v>
      </c>
      <c r="J9" s="376">
        <v>56</v>
      </c>
    </row>
    <row r="10" spans="1:10" ht="16.8" x14ac:dyDescent="0.3">
      <c r="A10" s="305" t="s">
        <v>1546</v>
      </c>
      <c r="B10" s="183">
        <v>40</v>
      </c>
      <c r="C10" s="183">
        <v>36</v>
      </c>
      <c r="D10" s="183">
        <v>34</v>
      </c>
      <c r="E10" s="183">
        <v>30</v>
      </c>
      <c r="F10" s="183">
        <v>39</v>
      </c>
      <c r="G10" s="376">
        <v>91</v>
      </c>
      <c r="H10" s="376">
        <v>60</v>
      </c>
      <c r="I10" s="376">
        <v>78</v>
      </c>
      <c r="J10" s="376">
        <v>76</v>
      </c>
    </row>
    <row r="11" spans="1:10" ht="16.8" x14ac:dyDescent="0.3">
      <c r="A11" s="305" t="s">
        <v>1547</v>
      </c>
      <c r="B11" s="183">
        <v>32</v>
      </c>
      <c r="C11" s="183">
        <v>53</v>
      </c>
      <c r="D11" s="183">
        <v>78</v>
      </c>
      <c r="E11" s="183">
        <v>87</v>
      </c>
      <c r="F11" s="183">
        <v>78</v>
      </c>
      <c r="G11" s="376">
        <v>76</v>
      </c>
      <c r="H11" s="376">
        <v>40</v>
      </c>
      <c r="I11" s="376">
        <v>49</v>
      </c>
      <c r="J11" s="376">
        <v>46</v>
      </c>
    </row>
    <row r="12" spans="1:10" ht="16.8" x14ac:dyDescent="0.3">
      <c r="A12" s="305" t="s">
        <v>1548</v>
      </c>
      <c r="B12" s="183">
        <v>8</v>
      </c>
      <c r="C12" s="183">
        <v>13</v>
      </c>
      <c r="D12" s="183">
        <v>22</v>
      </c>
      <c r="E12" s="183">
        <v>20</v>
      </c>
      <c r="F12" s="183">
        <v>19</v>
      </c>
      <c r="G12" s="376">
        <v>18</v>
      </c>
      <c r="H12" s="376">
        <v>14</v>
      </c>
      <c r="I12" s="376">
        <v>14</v>
      </c>
      <c r="J12" s="376">
        <v>14</v>
      </c>
    </row>
    <row r="14" spans="1:10" ht="16.8" x14ac:dyDescent="0.3">
      <c r="A14" s="305" t="s">
        <v>466</v>
      </c>
      <c r="B14">
        <f>SUM(B7:B12)</f>
        <v>160</v>
      </c>
      <c r="C14">
        <f t="shared" ref="C14:J14" si="0">SUM(C7:C12)</f>
        <v>243</v>
      </c>
      <c r="D14">
        <f t="shared" si="0"/>
        <v>295</v>
      </c>
      <c r="E14">
        <f t="shared" si="0"/>
        <v>293</v>
      </c>
      <c r="F14">
        <f t="shared" si="0"/>
        <v>293</v>
      </c>
      <c r="G14">
        <f t="shared" si="0"/>
        <v>358</v>
      </c>
      <c r="H14">
        <f t="shared" si="0"/>
        <v>205</v>
      </c>
      <c r="I14">
        <f t="shared" si="0"/>
        <v>268</v>
      </c>
      <c r="J14">
        <f t="shared" si="0"/>
        <v>255</v>
      </c>
    </row>
    <row r="16" spans="1:10" ht="16.8" x14ac:dyDescent="0.3">
      <c r="A16" s="305" t="s">
        <v>1985</v>
      </c>
      <c r="B16">
        <f t="shared" ref="B16:J16" si="1">SUM(B9:B12)</f>
        <v>99</v>
      </c>
      <c r="C16">
        <f t="shared" si="1"/>
        <v>132</v>
      </c>
      <c r="D16">
        <f t="shared" si="1"/>
        <v>160</v>
      </c>
      <c r="E16">
        <f t="shared" si="1"/>
        <v>160</v>
      </c>
      <c r="F16">
        <f t="shared" si="1"/>
        <v>159</v>
      </c>
      <c r="G16">
        <f t="shared" si="1"/>
        <v>249</v>
      </c>
      <c r="H16">
        <f t="shared" si="1"/>
        <v>151</v>
      </c>
      <c r="I16">
        <f t="shared" si="1"/>
        <v>199</v>
      </c>
      <c r="J16">
        <f t="shared" si="1"/>
        <v>192</v>
      </c>
    </row>
    <row r="18" spans="2:10" x14ac:dyDescent="0.3">
      <c r="B18" s="325">
        <f>B16/B14</f>
        <v>0.61875000000000002</v>
      </c>
      <c r="C18" s="325">
        <f t="shared" ref="C18:J18" si="2">C16/C14</f>
        <v>0.54320987654320985</v>
      </c>
      <c r="D18" s="325">
        <f t="shared" si="2"/>
        <v>0.5423728813559322</v>
      </c>
      <c r="E18" s="325">
        <f t="shared" si="2"/>
        <v>0.5460750853242321</v>
      </c>
      <c r="F18" s="325">
        <f t="shared" si="2"/>
        <v>0.5426621160409556</v>
      </c>
      <c r="G18" s="325">
        <f t="shared" si="2"/>
        <v>0.6955307262569832</v>
      </c>
      <c r="H18" s="325">
        <f t="shared" si="2"/>
        <v>0.73658536585365852</v>
      </c>
      <c r="I18" s="325">
        <f t="shared" si="2"/>
        <v>0.7425373134328358</v>
      </c>
      <c r="J18" s="325">
        <f t="shared" si="2"/>
        <v>0.75294117647058822</v>
      </c>
    </row>
  </sheetData>
  <pageMargins left="0.7" right="0.7" top="0.75" bottom="0.75" header="0.3" footer="0.3"/>
  <drawing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60E93-0708-4751-9D2A-A3D6AC8AD67A}">
  <dimension ref="A1:P31"/>
  <sheetViews>
    <sheetView workbookViewId="0">
      <selection activeCell="B3" sqref="B3"/>
    </sheetView>
  </sheetViews>
  <sheetFormatPr baseColWidth="10" defaultColWidth="28.44140625" defaultRowHeight="14.4" x14ac:dyDescent="0.3"/>
  <cols>
    <col min="1" max="1" width="16.44140625" customWidth="1"/>
    <col min="2" max="2" width="11.44140625" customWidth="1"/>
    <col min="3" max="14" width="8.44140625" customWidth="1"/>
    <col min="15" max="15" width="5.44140625" bestFit="1" customWidth="1"/>
    <col min="16" max="19" width="5.44140625" customWidth="1"/>
  </cols>
  <sheetData>
    <row r="1" spans="1:16" x14ac:dyDescent="0.3">
      <c r="A1" t="s">
        <v>355</v>
      </c>
      <c r="B1">
        <v>196</v>
      </c>
    </row>
    <row r="2" spans="1:16" x14ac:dyDescent="0.3">
      <c r="A2" t="s">
        <v>5</v>
      </c>
      <c r="B2" t="s">
        <v>1986</v>
      </c>
    </row>
    <row r="3" spans="1:16" ht="15" thickBot="1" x14ac:dyDescent="0.35"/>
    <row r="4" spans="1:16" ht="24.6" thickBot="1" x14ac:dyDescent="0.35">
      <c r="A4" s="241" t="s">
        <v>1179</v>
      </c>
      <c r="B4" s="242" t="s">
        <v>422</v>
      </c>
      <c r="C4" s="242" t="s">
        <v>423</v>
      </c>
      <c r="D4" s="242" t="s">
        <v>424</v>
      </c>
      <c r="E4" s="242" t="s">
        <v>425</v>
      </c>
      <c r="F4" s="242" t="s">
        <v>426</v>
      </c>
      <c r="G4" s="242" t="s">
        <v>427</v>
      </c>
      <c r="H4" s="242" t="s">
        <v>428</v>
      </c>
      <c r="I4" s="242" t="s">
        <v>429</v>
      </c>
      <c r="J4" s="242" t="s">
        <v>430</v>
      </c>
      <c r="K4" s="242" t="s">
        <v>358</v>
      </c>
      <c r="L4" s="208" t="s">
        <v>359</v>
      </c>
      <c r="M4" s="208" t="s">
        <v>360</v>
      </c>
      <c r="N4" s="401" t="s">
        <v>361</v>
      </c>
      <c r="O4" s="401" t="s">
        <v>362</v>
      </c>
      <c r="P4" s="243" t="s">
        <v>466</v>
      </c>
    </row>
    <row r="5" spans="1:16" ht="15" thickBot="1" x14ac:dyDescent="0.35">
      <c r="A5" s="6" t="s">
        <v>537</v>
      </c>
      <c r="B5" s="6">
        <v>0</v>
      </c>
      <c r="C5" s="6">
        <v>0</v>
      </c>
      <c r="D5" s="6">
        <v>58</v>
      </c>
      <c r="E5" s="6">
        <v>22</v>
      </c>
      <c r="F5" s="6">
        <v>54</v>
      </c>
      <c r="G5" s="6">
        <v>39</v>
      </c>
      <c r="H5" s="6">
        <v>27</v>
      </c>
      <c r="I5" s="6">
        <v>39</v>
      </c>
      <c r="J5" s="6">
        <v>24</v>
      </c>
      <c r="K5" s="6">
        <v>23</v>
      </c>
      <c r="L5" s="6">
        <v>27</v>
      </c>
      <c r="M5" s="6">
        <v>26</v>
      </c>
      <c r="N5" s="6">
        <v>54</v>
      </c>
      <c r="O5" s="6">
        <v>256</v>
      </c>
      <c r="P5" s="40">
        <f t="shared" ref="P5:P11" si="0">+SUM(B5:O5)</f>
        <v>649</v>
      </c>
    </row>
    <row r="6" spans="1:16" ht="15" thickBot="1" x14ac:dyDescent="0.35">
      <c r="A6" s="6" t="s">
        <v>538</v>
      </c>
      <c r="B6" s="6">
        <v>13</v>
      </c>
      <c r="C6" s="6">
        <v>197</v>
      </c>
      <c r="D6" s="6">
        <v>606</v>
      </c>
      <c r="E6" s="6">
        <v>7</v>
      </c>
      <c r="F6" s="6">
        <v>153</v>
      </c>
      <c r="G6" s="6">
        <v>128</v>
      </c>
      <c r="H6" s="6">
        <v>1283</v>
      </c>
      <c r="I6" s="6">
        <v>28</v>
      </c>
      <c r="J6" s="6">
        <v>418</v>
      </c>
      <c r="K6" s="6">
        <v>0</v>
      </c>
      <c r="L6" s="6">
        <v>392</v>
      </c>
      <c r="M6" s="6">
        <v>121</v>
      </c>
      <c r="N6" s="6">
        <v>68</v>
      </c>
      <c r="O6" s="6">
        <v>0</v>
      </c>
      <c r="P6" s="40">
        <f t="shared" si="0"/>
        <v>3414</v>
      </c>
    </row>
    <row r="7" spans="1:16" ht="15" thickBot="1" x14ac:dyDescent="0.35">
      <c r="A7" s="6" t="s">
        <v>539</v>
      </c>
      <c r="B7" s="6">
        <v>0</v>
      </c>
      <c r="C7" s="6">
        <v>273</v>
      </c>
      <c r="D7" s="6">
        <v>212</v>
      </c>
      <c r="E7" s="6">
        <v>953</v>
      </c>
      <c r="F7" s="6">
        <v>942</v>
      </c>
      <c r="G7" s="6">
        <v>515</v>
      </c>
      <c r="H7" s="6">
        <v>686</v>
      </c>
      <c r="I7" s="6">
        <v>421</v>
      </c>
      <c r="J7" s="6">
        <v>438</v>
      </c>
      <c r="K7" s="6">
        <v>75</v>
      </c>
      <c r="L7" s="6">
        <v>129</v>
      </c>
      <c r="M7" s="6">
        <v>97</v>
      </c>
      <c r="N7" s="6">
        <v>619</v>
      </c>
      <c r="O7" s="6">
        <v>20</v>
      </c>
      <c r="P7" s="40">
        <f t="shared" si="0"/>
        <v>5380</v>
      </c>
    </row>
    <row r="8" spans="1:16" ht="15" thickBot="1" x14ac:dyDescent="0.35">
      <c r="A8" s="6" t="s">
        <v>540</v>
      </c>
      <c r="B8" s="6">
        <v>2</v>
      </c>
      <c r="C8" s="6">
        <v>58</v>
      </c>
      <c r="D8" s="6">
        <v>363</v>
      </c>
      <c r="E8" s="6">
        <v>342</v>
      </c>
      <c r="F8" s="6">
        <v>570</v>
      </c>
      <c r="G8" s="6">
        <v>144</v>
      </c>
      <c r="H8" s="6">
        <v>19</v>
      </c>
      <c r="I8" s="6">
        <v>18</v>
      </c>
      <c r="J8" s="6">
        <v>1198</v>
      </c>
      <c r="K8" s="6">
        <v>112</v>
      </c>
      <c r="L8" s="6">
        <v>1490</v>
      </c>
      <c r="M8" s="6">
        <v>110</v>
      </c>
      <c r="N8" s="6">
        <v>182</v>
      </c>
      <c r="O8" s="6">
        <v>90</v>
      </c>
      <c r="P8" s="40">
        <f t="shared" si="0"/>
        <v>4698</v>
      </c>
    </row>
    <row r="9" spans="1:16" ht="31.2" thickBot="1" x14ac:dyDescent="0.35">
      <c r="A9" s="6" t="s">
        <v>1987</v>
      </c>
      <c r="B9" s="6">
        <v>37</v>
      </c>
      <c r="C9" s="6">
        <v>131</v>
      </c>
      <c r="D9" s="6">
        <v>143</v>
      </c>
      <c r="E9" s="6">
        <v>259</v>
      </c>
      <c r="F9" s="6">
        <v>216</v>
      </c>
      <c r="G9" s="6">
        <v>742</v>
      </c>
      <c r="H9" s="6">
        <v>638</v>
      </c>
      <c r="I9" s="6">
        <v>201</v>
      </c>
      <c r="J9" s="6">
        <v>162</v>
      </c>
      <c r="K9" s="6">
        <v>0</v>
      </c>
      <c r="L9" s="6">
        <v>375</v>
      </c>
      <c r="M9" s="6">
        <v>379</v>
      </c>
      <c r="N9" s="6">
        <v>169</v>
      </c>
      <c r="O9" s="6">
        <v>141</v>
      </c>
      <c r="P9" s="40">
        <f t="shared" si="0"/>
        <v>3593</v>
      </c>
    </row>
    <row r="10" spans="1:16" ht="15" thickBot="1" x14ac:dyDescent="0.35">
      <c r="A10" s="6" t="s">
        <v>542</v>
      </c>
      <c r="B10" s="6">
        <v>2</v>
      </c>
      <c r="C10" s="6">
        <v>95</v>
      </c>
      <c r="D10" s="6">
        <v>182</v>
      </c>
      <c r="E10" s="6">
        <v>553</v>
      </c>
      <c r="F10" s="6">
        <v>1100</v>
      </c>
      <c r="G10" s="6">
        <v>482</v>
      </c>
      <c r="H10" s="6">
        <v>395</v>
      </c>
      <c r="I10" s="6">
        <v>301</v>
      </c>
      <c r="J10" s="6">
        <v>1187</v>
      </c>
      <c r="K10" s="6">
        <v>949</v>
      </c>
      <c r="L10" s="6">
        <v>2096</v>
      </c>
      <c r="M10" s="6">
        <v>1338</v>
      </c>
      <c r="N10" s="6">
        <v>820</v>
      </c>
      <c r="O10" s="6">
        <v>422</v>
      </c>
      <c r="P10" s="40">
        <f t="shared" si="0"/>
        <v>9922</v>
      </c>
    </row>
    <row r="11" spans="1:16" ht="15" thickBot="1" x14ac:dyDescent="0.35">
      <c r="A11" s="6" t="s">
        <v>543</v>
      </c>
      <c r="B11" s="6">
        <v>2</v>
      </c>
      <c r="C11" s="6">
        <v>291</v>
      </c>
      <c r="D11" s="6">
        <v>1073</v>
      </c>
      <c r="E11" s="6">
        <v>514</v>
      </c>
      <c r="F11" s="6">
        <v>1290</v>
      </c>
      <c r="G11" s="6">
        <v>222</v>
      </c>
      <c r="H11" s="6">
        <v>257</v>
      </c>
      <c r="I11" s="6">
        <v>285</v>
      </c>
      <c r="J11" s="6">
        <v>257</v>
      </c>
      <c r="K11" s="6">
        <v>319</v>
      </c>
      <c r="L11" s="6">
        <v>1253</v>
      </c>
      <c r="M11" s="6">
        <v>146</v>
      </c>
      <c r="N11" s="6">
        <v>599</v>
      </c>
      <c r="O11" s="6">
        <v>585</v>
      </c>
      <c r="P11" s="40">
        <f t="shared" si="0"/>
        <v>7093</v>
      </c>
    </row>
    <row r="12" spans="1:16" ht="15" thickBot="1" x14ac:dyDescent="0.35">
      <c r="A12" s="40" t="s">
        <v>466</v>
      </c>
      <c r="B12" s="40">
        <v>56</v>
      </c>
      <c r="C12" s="40">
        <v>1045</v>
      </c>
      <c r="D12" s="40">
        <v>2637</v>
      </c>
      <c r="E12" s="40">
        <v>2650</v>
      </c>
      <c r="F12" s="40">
        <v>4325</v>
      </c>
      <c r="G12" s="40">
        <v>2272</v>
      </c>
      <c r="H12" s="40">
        <v>3305</v>
      </c>
      <c r="I12" s="40">
        <v>1293</v>
      </c>
      <c r="J12" s="40">
        <v>3684</v>
      </c>
      <c r="K12" s="40">
        <v>1478</v>
      </c>
      <c r="L12" s="40">
        <f>SUM(L5:L11)</f>
        <v>5762</v>
      </c>
      <c r="M12" s="40">
        <f>SUM(M5:M11)</f>
        <v>2217</v>
      </c>
      <c r="N12" s="40">
        <f>SUM(N5:N11)</f>
        <v>2511</v>
      </c>
      <c r="O12" s="40">
        <f>SUM(O5:O11)</f>
        <v>1514</v>
      </c>
      <c r="P12" s="40">
        <f>SUM(P5:P11)</f>
        <v>34749</v>
      </c>
    </row>
    <row r="20" spans="3:7" x14ac:dyDescent="0.3">
      <c r="G20" s="519"/>
    </row>
    <row r="21" spans="3:7" x14ac:dyDescent="0.3">
      <c r="G21" s="519"/>
    </row>
    <row r="22" spans="3:7" x14ac:dyDescent="0.3">
      <c r="G22" s="519"/>
    </row>
    <row r="23" spans="3:7" x14ac:dyDescent="0.3">
      <c r="G23" s="519"/>
    </row>
    <row r="24" spans="3:7" x14ac:dyDescent="0.3">
      <c r="G24" s="519"/>
    </row>
    <row r="25" spans="3:7" x14ac:dyDescent="0.3">
      <c r="G25" s="519"/>
    </row>
    <row r="26" spans="3:7" x14ac:dyDescent="0.3">
      <c r="C26" s="341"/>
      <c r="G26" s="519"/>
    </row>
    <row r="27" spans="3:7" x14ac:dyDescent="0.3">
      <c r="C27" s="341"/>
    </row>
    <row r="28" spans="3:7" x14ac:dyDescent="0.3">
      <c r="C28" s="341"/>
    </row>
    <row r="29" spans="3:7" x14ac:dyDescent="0.3">
      <c r="C29" s="341"/>
    </row>
    <row r="30" spans="3:7" x14ac:dyDescent="0.3">
      <c r="C30" s="341"/>
    </row>
    <row r="31" spans="3:7" x14ac:dyDescent="0.3">
      <c r="C31" s="341"/>
    </row>
  </sheetData>
  <pageMargins left="0.7" right="0.7" top="0.75" bottom="0.75" header="0.3" footer="0.3"/>
  <drawing r:id="rId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5853A-B652-4AFF-A041-D4C476F30A10}">
  <dimension ref="A1:G20"/>
  <sheetViews>
    <sheetView workbookViewId="0"/>
  </sheetViews>
  <sheetFormatPr baseColWidth="10" defaultColWidth="25.44140625" defaultRowHeight="14.4" x14ac:dyDescent="0.3"/>
  <cols>
    <col min="1" max="1" width="8.44140625" customWidth="1"/>
    <col min="2" max="2" width="13.44140625" customWidth="1"/>
    <col min="3" max="3" width="18.88671875" bestFit="1" customWidth="1"/>
    <col min="4" max="4" width="14" bestFit="1" customWidth="1"/>
    <col min="5" max="5" width="12.88671875" bestFit="1" customWidth="1"/>
    <col min="6" max="6" width="10.44140625" bestFit="1" customWidth="1"/>
    <col min="7" max="7" width="13.44140625" bestFit="1" customWidth="1"/>
    <col min="9" max="9" width="21.88671875" bestFit="1" customWidth="1"/>
    <col min="10" max="10" width="31.88671875" bestFit="1" customWidth="1"/>
  </cols>
  <sheetData>
    <row r="1" spans="1:7" x14ac:dyDescent="0.3">
      <c r="A1" t="s">
        <v>355</v>
      </c>
      <c r="B1">
        <v>197</v>
      </c>
    </row>
    <row r="2" spans="1:7" x14ac:dyDescent="0.3">
      <c r="A2" t="s">
        <v>5</v>
      </c>
      <c r="B2" t="s">
        <v>251</v>
      </c>
    </row>
    <row r="5" spans="1:7" x14ac:dyDescent="0.3">
      <c r="A5" s="244" t="s">
        <v>589</v>
      </c>
      <c r="B5" s="244" t="s">
        <v>1988</v>
      </c>
      <c r="C5" s="244" t="s">
        <v>1989</v>
      </c>
      <c r="D5" s="244" t="s">
        <v>1990</v>
      </c>
      <c r="E5" s="244" t="s">
        <v>1991</v>
      </c>
      <c r="F5" s="244" t="s">
        <v>373</v>
      </c>
      <c r="G5" s="244" t="s">
        <v>536</v>
      </c>
    </row>
    <row r="6" spans="1:7" x14ac:dyDescent="0.3">
      <c r="A6" s="442" t="s">
        <v>422</v>
      </c>
      <c r="B6" s="488">
        <v>73660257</v>
      </c>
      <c r="C6" s="488"/>
      <c r="D6" s="488">
        <v>885800</v>
      </c>
      <c r="E6" s="488">
        <v>53240519</v>
      </c>
      <c r="F6" s="488"/>
      <c r="G6" s="488">
        <v>127786576</v>
      </c>
    </row>
    <row r="7" spans="1:7" x14ac:dyDescent="0.3">
      <c r="A7" s="442" t="s">
        <v>423</v>
      </c>
      <c r="B7" s="488">
        <v>45794613.210000001</v>
      </c>
      <c r="C7" s="488"/>
      <c r="D7" s="488"/>
      <c r="E7" s="488">
        <v>12292199.5</v>
      </c>
      <c r="F7" s="488"/>
      <c r="G7" s="488">
        <v>58086812.710000001</v>
      </c>
    </row>
    <row r="8" spans="1:7" x14ac:dyDescent="0.3">
      <c r="A8" s="442" t="s">
        <v>424</v>
      </c>
      <c r="B8" s="488">
        <v>39558550</v>
      </c>
      <c r="C8" s="488">
        <v>82264609</v>
      </c>
      <c r="D8" s="488">
        <v>7108400</v>
      </c>
      <c r="E8" s="488">
        <v>992400</v>
      </c>
      <c r="F8" s="488"/>
      <c r="G8" s="488">
        <v>129923959</v>
      </c>
    </row>
    <row r="9" spans="1:7" x14ac:dyDescent="0.3">
      <c r="A9" s="442" t="s">
        <v>425</v>
      </c>
      <c r="B9" s="488">
        <v>32900000</v>
      </c>
      <c r="C9" s="488"/>
      <c r="D9" s="488">
        <v>309572874</v>
      </c>
      <c r="E9" s="488"/>
      <c r="F9" s="488"/>
      <c r="G9" s="488">
        <v>342472874</v>
      </c>
    </row>
    <row r="10" spans="1:7" x14ac:dyDescent="0.3">
      <c r="A10" s="442" t="s">
        <v>426</v>
      </c>
      <c r="B10" s="488">
        <v>74302631</v>
      </c>
      <c r="C10" s="488">
        <v>85500000</v>
      </c>
      <c r="D10" s="488"/>
      <c r="E10" s="488">
        <v>2044250</v>
      </c>
      <c r="F10" s="488"/>
      <c r="G10" s="488">
        <v>161846881</v>
      </c>
    </row>
    <row r="11" spans="1:7" ht="15" thickBot="1" x14ac:dyDescent="0.35">
      <c r="A11" s="442" t="s">
        <v>427</v>
      </c>
      <c r="B11" s="488">
        <v>46897122</v>
      </c>
      <c r="C11" s="488">
        <v>74160000</v>
      </c>
      <c r="D11" s="488"/>
      <c r="E11" s="488"/>
      <c r="F11" s="488"/>
      <c r="G11" s="488">
        <v>121057122</v>
      </c>
    </row>
    <row r="12" spans="1:7" ht="15" thickBot="1" x14ac:dyDescent="0.35">
      <c r="A12" s="442" t="s">
        <v>428</v>
      </c>
      <c r="B12" s="488">
        <v>54717598.549999997</v>
      </c>
      <c r="C12" s="488">
        <v>46062000</v>
      </c>
      <c r="D12" s="488"/>
      <c r="E12" s="488">
        <v>8973500</v>
      </c>
      <c r="F12" s="488"/>
      <c r="G12" s="488">
        <v>109753098.55</v>
      </c>
    </row>
    <row r="13" spans="1:7" ht="15" thickBot="1" x14ac:dyDescent="0.35">
      <c r="A13" s="442" t="s">
        <v>429</v>
      </c>
      <c r="B13" s="488">
        <v>50368465</v>
      </c>
      <c r="C13" s="488">
        <v>61073400</v>
      </c>
      <c r="D13" s="488"/>
      <c r="E13" s="488">
        <v>30121800</v>
      </c>
      <c r="F13" s="488"/>
      <c r="G13" s="488">
        <v>141563665</v>
      </c>
    </row>
    <row r="14" spans="1:7" ht="15" thickBot="1" x14ac:dyDescent="0.35">
      <c r="A14" s="442" t="s">
        <v>430</v>
      </c>
      <c r="B14" s="488">
        <v>30169161.25</v>
      </c>
      <c r="C14" s="488">
        <v>39000000</v>
      </c>
      <c r="D14" s="488">
        <v>2922000</v>
      </c>
      <c r="E14" s="488">
        <v>32463200</v>
      </c>
      <c r="F14" s="488"/>
      <c r="G14" s="488">
        <v>104554361.25</v>
      </c>
    </row>
    <row r="15" spans="1:7" ht="15" thickBot="1" x14ac:dyDescent="0.35">
      <c r="A15" s="442" t="s">
        <v>358</v>
      </c>
      <c r="B15" s="488">
        <v>44445768.950000003</v>
      </c>
      <c r="C15" s="488">
        <v>45500000</v>
      </c>
      <c r="D15" s="488"/>
      <c r="E15" s="488">
        <v>28694660</v>
      </c>
      <c r="F15" s="488"/>
      <c r="G15" s="488">
        <v>118640428.95</v>
      </c>
    </row>
    <row r="16" spans="1:7" ht="15" thickBot="1" x14ac:dyDescent="0.35">
      <c r="A16" s="442" t="s">
        <v>359</v>
      </c>
      <c r="B16" s="245"/>
      <c r="C16" s="488">
        <v>45000000</v>
      </c>
      <c r="D16" s="488"/>
      <c r="E16" s="488">
        <v>28162400</v>
      </c>
      <c r="F16" s="488"/>
      <c r="G16" s="488">
        <v>73162400</v>
      </c>
    </row>
    <row r="17" spans="1:7" ht="15" thickBot="1" x14ac:dyDescent="0.35">
      <c r="A17" s="442" t="s">
        <v>360</v>
      </c>
      <c r="B17" s="488">
        <v>51216701.75</v>
      </c>
      <c r="C17" s="488">
        <v>33750200</v>
      </c>
      <c r="D17" s="488">
        <v>15742000</v>
      </c>
      <c r="E17" s="488">
        <v>37625450</v>
      </c>
      <c r="F17" s="488">
        <v>1482250</v>
      </c>
      <c r="G17" s="488">
        <v>139816601.75</v>
      </c>
    </row>
    <row r="18" spans="1:7" ht="15" thickBot="1" x14ac:dyDescent="0.35">
      <c r="A18" s="442" t="s">
        <v>361</v>
      </c>
      <c r="B18" s="488"/>
      <c r="C18" s="488">
        <v>54000000</v>
      </c>
      <c r="D18" s="488">
        <v>8148800</v>
      </c>
      <c r="E18" s="488">
        <v>28521450</v>
      </c>
      <c r="F18" s="488">
        <v>1136000</v>
      </c>
      <c r="G18" s="488">
        <f>SUM(B18:F18)</f>
        <v>91806250</v>
      </c>
    </row>
    <row r="19" spans="1:7" ht="15" thickBot="1" x14ac:dyDescent="0.35">
      <c r="A19" s="442" t="s">
        <v>362</v>
      </c>
      <c r="B19" s="488">
        <v>35853723.600000001</v>
      </c>
      <c r="C19" s="488">
        <v>12000000</v>
      </c>
      <c r="D19" s="488">
        <v>6378000</v>
      </c>
      <c r="E19" s="488">
        <v>81838490</v>
      </c>
      <c r="F19" s="488"/>
      <c r="G19" s="488">
        <f>SUM(B19:F19)</f>
        <v>136070213.59999999</v>
      </c>
    </row>
    <row r="20" spans="1:7" ht="21" thickBot="1" x14ac:dyDescent="0.35">
      <c r="A20" s="40" t="s">
        <v>536</v>
      </c>
      <c r="B20" s="489">
        <f t="shared" ref="B20:G20" si="0">SUM(B6:B19)</f>
        <v>579884592.31000006</v>
      </c>
      <c r="C20" s="489">
        <f t="shared" si="0"/>
        <v>578310209</v>
      </c>
      <c r="D20" s="489">
        <f t="shared" si="0"/>
        <v>350757874</v>
      </c>
      <c r="E20" s="489">
        <f t="shared" si="0"/>
        <v>344970318.5</v>
      </c>
      <c r="F20" s="489">
        <f t="shared" si="0"/>
        <v>2618250</v>
      </c>
      <c r="G20" s="489">
        <f t="shared" si="0"/>
        <v>1856541243.8099999</v>
      </c>
    </row>
  </sheetData>
  <pageMargins left="0.7" right="0.7" top="0.75" bottom="0.75" header="0.3" footer="0.3"/>
  <drawing r:id="rId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6BE92-3C5C-4D8B-808B-34E29D5A3F14}">
  <dimension ref="A1:F20"/>
  <sheetViews>
    <sheetView workbookViewId="0"/>
  </sheetViews>
  <sheetFormatPr baseColWidth="10" defaultColWidth="28.44140625" defaultRowHeight="14.4" x14ac:dyDescent="0.3"/>
  <cols>
    <col min="1" max="1" width="16.44140625" customWidth="1"/>
    <col min="2" max="2" width="11.44140625" customWidth="1"/>
    <col min="3" max="3" width="20" customWidth="1"/>
    <col min="4" max="4" width="15.44140625" customWidth="1"/>
    <col min="5" max="12" width="8.44140625" customWidth="1"/>
    <col min="13" max="13" width="5.44140625" bestFit="1" customWidth="1"/>
    <col min="14" max="17" width="5.44140625" customWidth="1"/>
  </cols>
  <sheetData>
    <row r="1" spans="1:6" x14ac:dyDescent="0.3">
      <c r="A1" t="s">
        <v>355</v>
      </c>
      <c r="B1">
        <v>198</v>
      </c>
    </row>
    <row r="2" spans="1:6" x14ac:dyDescent="0.3">
      <c r="A2" t="s">
        <v>5</v>
      </c>
      <c r="B2" t="s">
        <v>253</v>
      </c>
    </row>
    <row r="4" spans="1:6" ht="15" thickBot="1" x14ac:dyDescent="0.35"/>
    <row r="5" spans="1:6" ht="15" thickBot="1" x14ac:dyDescent="0.35">
      <c r="A5" s="230" t="s">
        <v>589</v>
      </c>
      <c r="B5" s="230" t="s">
        <v>461</v>
      </c>
      <c r="C5" s="230" t="s">
        <v>1954</v>
      </c>
      <c r="D5" s="230" t="s">
        <v>456</v>
      </c>
      <c r="E5" s="230" t="s">
        <v>457</v>
      </c>
      <c r="F5" s="230" t="s">
        <v>466</v>
      </c>
    </row>
    <row r="6" spans="1:6" ht="15" thickBot="1" x14ac:dyDescent="0.35">
      <c r="A6" s="29" t="s">
        <v>422</v>
      </c>
      <c r="B6" s="29">
        <v>17</v>
      </c>
      <c r="C6" s="29"/>
      <c r="D6" s="29"/>
      <c r="E6" s="29">
        <v>8</v>
      </c>
      <c r="F6" s="29">
        <v>25</v>
      </c>
    </row>
    <row r="7" spans="1:6" ht="15" thickBot="1" x14ac:dyDescent="0.35">
      <c r="A7" s="29" t="s">
        <v>423</v>
      </c>
      <c r="B7" s="29">
        <v>12</v>
      </c>
      <c r="C7" s="29"/>
      <c r="D7" s="29"/>
      <c r="E7" s="29">
        <v>3</v>
      </c>
      <c r="F7" s="29">
        <v>15</v>
      </c>
    </row>
    <row r="8" spans="1:6" ht="15" thickBot="1" x14ac:dyDescent="0.35">
      <c r="A8" s="29" t="s">
        <v>424</v>
      </c>
      <c r="B8" s="29">
        <v>2</v>
      </c>
      <c r="C8" s="29">
        <v>94</v>
      </c>
      <c r="D8" s="29">
        <v>2</v>
      </c>
      <c r="E8" s="29">
        <v>1</v>
      </c>
      <c r="F8" s="29">
        <v>99</v>
      </c>
    </row>
    <row r="9" spans="1:6" ht="15" thickBot="1" x14ac:dyDescent="0.35">
      <c r="A9" s="29" t="s">
        <v>425</v>
      </c>
      <c r="B9" s="29">
        <v>7</v>
      </c>
      <c r="C9" s="29"/>
      <c r="D9" s="29">
        <v>60</v>
      </c>
      <c r="E9" s="29"/>
      <c r="F9" s="29">
        <v>67</v>
      </c>
    </row>
    <row r="10" spans="1:6" ht="15" thickBot="1" x14ac:dyDescent="0.35">
      <c r="A10" s="29" t="s">
        <v>426</v>
      </c>
      <c r="B10" s="29">
        <v>12</v>
      </c>
      <c r="C10" s="29">
        <v>58</v>
      </c>
      <c r="D10" s="29">
        <v>1</v>
      </c>
      <c r="E10" s="29">
        <v>1</v>
      </c>
      <c r="F10" s="29">
        <v>72</v>
      </c>
    </row>
    <row r="11" spans="1:6" ht="15" thickBot="1" x14ac:dyDescent="0.35">
      <c r="A11" s="29" t="s">
        <v>427</v>
      </c>
      <c r="B11" s="29">
        <v>10</v>
      </c>
      <c r="C11" s="29">
        <v>47</v>
      </c>
      <c r="D11" s="29"/>
      <c r="E11" s="29"/>
      <c r="F11" s="29">
        <v>57</v>
      </c>
    </row>
    <row r="12" spans="1:6" ht="15" thickBot="1" x14ac:dyDescent="0.35">
      <c r="A12" s="29" t="s">
        <v>428</v>
      </c>
      <c r="B12" s="29">
        <v>13</v>
      </c>
      <c r="C12" s="29">
        <v>30</v>
      </c>
      <c r="D12" s="29"/>
      <c r="E12" s="29">
        <v>3</v>
      </c>
      <c r="F12" s="29">
        <v>49</v>
      </c>
    </row>
    <row r="13" spans="1:6" ht="15" thickBot="1" x14ac:dyDescent="0.35">
      <c r="A13" s="29" t="s">
        <v>429</v>
      </c>
      <c r="B13" s="29">
        <v>13</v>
      </c>
      <c r="C13" s="29">
        <v>43</v>
      </c>
      <c r="D13" s="29"/>
      <c r="E13" s="29">
        <v>3</v>
      </c>
      <c r="F13" s="29">
        <v>59</v>
      </c>
    </row>
    <row r="14" spans="1:6" ht="15" thickBot="1" x14ac:dyDescent="0.35">
      <c r="A14" s="29" t="s">
        <v>430</v>
      </c>
      <c r="B14" s="29">
        <v>11</v>
      </c>
      <c r="C14" s="29">
        <v>29</v>
      </c>
      <c r="D14" s="29">
        <v>1</v>
      </c>
      <c r="E14" s="29">
        <v>6</v>
      </c>
      <c r="F14" s="29">
        <v>47</v>
      </c>
    </row>
    <row r="15" spans="1:6" ht="15" thickBot="1" x14ac:dyDescent="0.35">
      <c r="A15" s="29" t="s">
        <v>358</v>
      </c>
      <c r="B15" s="29">
        <v>16</v>
      </c>
      <c r="C15" s="29">
        <v>30</v>
      </c>
      <c r="D15" s="29"/>
      <c r="E15" s="29">
        <v>7</v>
      </c>
      <c r="F15" s="29">
        <v>53</v>
      </c>
    </row>
    <row r="16" spans="1:6" ht="15" thickBot="1" x14ac:dyDescent="0.35">
      <c r="A16" s="29" t="s">
        <v>359</v>
      </c>
      <c r="B16" s="29">
        <v>0</v>
      </c>
      <c r="C16" s="29">
        <v>30</v>
      </c>
      <c r="D16" s="29">
        <v>0</v>
      </c>
      <c r="E16" s="29">
        <v>8</v>
      </c>
      <c r="F16" s="29">
        <f>SUM(B16:E16)</f>
        <v>38</v>
      </c>
    </row>
    <row r="17" spans="1:6" ht="15" thickBot="1" x14ac:dyDescent="0.35">
      <c r="A17" s="29" t="s">
        <v>360</v>
      </c>
      <c r="B17" s="29"/>
      <c r="C17" s="29"/>
      <c r="D17" s="29"/>
      <c r="E17" s="29"/>
      <c r="F17" s="29"/>
    </row>
    <row r="18" spans="1:6" ht="15" thickBot="1" x14ac:dyDescent="0.35">
      <c r="A18" s="29" t="s">
        <v>361</v>
      </c>
      <c r="B18" s="29"/>
      <c r="C18" s="29"/>
      <c r="D18" s="29"/>
      <c r="E18" s="29"/>
      <c r="F18" s="29"/>
    </row>
    <row r="19" spans="1:6" ht="15" thickBot="1" x14ac:dyDescent="0.35">
      <c r="A19" s="29" t="s">
        <v>362</v>
      </c>
      <c r="B19" s="29"/>
      <c r="C19" s="29"/>
      <c r="D19" s="29"/>
      <c r="E19" s="29"/>
      <c r="F19" s="29"/>
    </row>
    <row r="20" spans="1:6" ht="15" thickBot="1" x14ac:dyDescent="0.35">
      <c r="A20" s="236" t="s">
        <v>466</v>
      </c>
      <c r="B20" s="236">
        <f>+SUM(B6:B19)</f>
        <v>113</v>
      </c>
      <c r="C20" s="236">
        <f t="shared" ref="C20:F20" si="0">+SUM(C6:C19)</f>
        <v>361</v>
      </c>
      <c r="D20" s="236">
        <f t="shared" si="0"/>
        <v>64</v>
      </c>
      <c r="E20" s="236">
        <f t="shared" si="0"/>
        <v>40</v>
      </c>
      <c r="F20" s="236">
        <f t="shared" si="0"/>
        <v>581</v>
      </c>
    </row>
  </sheetData>
  <pageMargins left="0.7" right="0.7" top="0.75" bottom="0.75" header="0.3" footer="0.3"/>
  <drawing r:id="rId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A3D83-541D-491C-B5AA-E670E4AC6AF3}">
  <dimension ref="A1:O15"/>
  <sheetViews>
    <sheetView zoomScale="117" workbookViewId="0">
      <selection activeCell="P6" sqref="P6"/>
    </sheetView>
  </sheetViews>
  <sheetFormatPr baseColWidth="10" defaultColWidth="28.44140625" defaultRowHeight="14.4" x14ac:dyDescent="0.3"/>
  <cols>
    <col min="1" max="1" width="16.44140625" customWidth="1"/>
    <col min="2" max="2" width="7" customWidth="1"/>
    <col min="3" max="16" width="8.44140625" customWidth="1"/>
    <col min="17" max="17" width="5.44140625" customWidth="1"/>
  </cols>
  <sheetData>
    <row r="1" spans="1:15" x14ac:dyDescent="0.3">
      <c r="A1" t="s">
        <v>355</v>
      </c>
      <c r="B1">
        <v>201</v>
      </c>
    </row>
    <row r="2" spans="1:15" ht="21.75" customHeight="1" x14ac:dyDescent="0.3">
      <c r="A2" t="s">
        <v>5</v>
      </c>
      <c r="B2" t="s">
        <v>257</v>
      </c>
    </row>
    <row r="4" spans="1:15" ht="15" thickBot="1" x14ac:dyDescent="0.35"/>
    <row r="5" spans="1:15" x14ac:dyDescent="0.3">
      <c r="A5" s="246"/>
      <c r="B5" s="246" t="s">
        <v>422</v>
      </c>
      <c r="C5" s="246" t="s">
        <v>423</v>
      </c>
      <c r="D5" s="246" t="s">
        <v>424</v>
      </c>
      <c r="E5" s="246" t="s">
        <v>425</v>
      </c>
      <c r="F5" s="246" t="s">
        <v>426</v>
      </c>
      <c r="G5" s="246" t="s">
        <v>427</v>
      </c>
      <c r="H5" s="246" t="s">
        <v>428</v>
      </c>
      <c r="I5" s="246" t="s">
        <v>429</v>
      </c>
      <c r="J5" s="246" t="s">
        <v>430</v>
      </c>
      <c r="K5" s="246" t="s">
        <v>358</v>
      </c>
      <c r="L5" s="246" t="s">
        <v>359</v>
      </c>
      <c r="M5" s="448" t="s">
        <v>360</v>
      </c>
      <c r="N5" s="448" t="s">
        <v>361</v>
      </c>
      <c r="O5" s="448" t="s">
        <v>362</v>
      </c>
    </row>
    <row r="6" spans="1:15" ht="15" thickBot="1" x14ac:dyDescent="0.35">
      <c r="A6" s="6" t="s">
        <v>1992</v>
      </c>
      <c r="B6" s="6"/>
      <c r="C6" s="6">
        <v>2</v>
      </c>
      <c r="D6" s="6">
        <v>1</v>
      </c>
      <c r="E6" s="6"/>
      <c r="F6" s="6"/>
      <c r="G6" s="6"/>
      <c r="H6" s="6"/>
      <c r="I6" s="6"/>
      <c r="J6" s="6"/>
      <c r="K6" s="6"/>
      <c r="L6" s="6"/>
      <c r="M6" s="6"/>
      <c r="N6" s="6"/>
      <c r="O6" s="6"/>
    </row>
    <row r="7" spans="1:15" ht="15" thickBot="1" x14ac:dyDescent="0.35">
      <c r="A7" s="6" t="s">
        <v>1993</v>
      </c>
      <c r="B7" s="6"/>
      <c r="C7" s="6">
        <v>3</v>
      </c>
      <c r="D7" s="6">
        <v>9</v>
      </c>
      <c r="E7" s="6">
        <v>38</v>
      </c>
      <c r="F7" s="6">
        <v>18</v>
      </c>
      <c r="G7" s="6">
        <v>11</v>
      </c>
      <c r="H7" s="6">
        <v>2</v>
      </c>
      <c r="I7" s="6">
        <v>10</v>
      </c>
      <c r="J7" s="6">
        <v>9</v>
      </c>
      <c r="K7" s="6">
        <v>11</v>
      </c>
      <c r="L7" s="6">
        <v>9</v>
      </c>
      <c r="M7" s="6">
        <v>35</v>
      </c>
      <c r="N7" s="6"/>
      <c r="O7" s="6"/>
    </row>
    <row r="8" spans="1:15" ht="15" thickBot="1" x14ac:dyDescent="0.35">
      <c r="A8" s="6" t="s">
        <v>1994</v>
      </c>
      <c r="B8" s="6"/>
      <c r="C8" s="6"/>
      <c r="D8" s="6">
        <v>1</v>
      </c>
      <c r="E8" s="6">
        <v>1</v>
      </c>
      <c r="F8" s="6">
        <v>1</v>
      </c>
      <c r="G8" s="6"/>
      <c r="H8" s="6"/>
      <c r="I8" s="6"/>
      <c r="J8" s="6">
        <v>1</v>
      </c>
      <c r="K8" s="6"/>
      <c r="L8" s="6">
        <v>2</v>
      </c>
      <c r="M8" s="6"/>
      <c r="N8" s="6"/>
      <c r="O8" s="6"/>
    </row>
    <row r="9" spans="1:15" ht="15" thickBot="1" x14ac:dyDescent="0.35">
      <c r="A9" s="6" t="s">
        <v>1995</v>
      </c>
      <c r="B9" s="6">
        <v>9</v>
      </c>
      <c r="C9" s="6">
        <v>30</v>
      </c>
      <c r="D9" s="6">
        <v>116</v>
      </c>
      <c r="E9" s="6">
        <v>61</v>
      </c>
      <c r="F9" s="6">
        <v>16</v>
      </c>
      <c r="G9" s="6">
        <v>122</v>
      </c>
      <c r="H9" s="6">
        <v>35</v>
      </c>
      <c r="I9" s="6">
        <v>1</v>
      </c>
      <c r="J9" s="6">
        <v>26</v>
      </c>
      <c r="K9" s="6">
        <v>4</v>
      </c>
      <c r="L9" s="6"/>
      <c r="M9" s="6"/>
      <c r="N9" s="6"/>
      <c r="O9" s="6"/>
    </row>
    <row r="10" spans="1:15" ht="15" thickBot="1" x14ac:dyDescent="0.35">
      <c r="A10" s="6" t="s">
        <v>1996</v>
      </c>
      <c r="B10" s="6"/>
      <c r="C10" s="6"/>
      <c r="D10" s="6">
        <v>2</v>
      </c>
      <c r="E10" s="6">
        <v>5</v>
      </c>
      <c r="F10" s="6">
        <v>4</v>
      </c>
      <c r="G10" s="6">
        <v>1</v>
      </c>
      <c r="H10" s="6">
        <v>2</v>
      </c>
      <c r="I10" s="6"/>
      <c r="J10" s="6">
        <v>2</v>
      </c>
      <c r="K10" s="6"/>
      <c r="L10" s="6">
        <v>4</v>
      </c>
      <c r="M10" s="6"/>
      <c r="N10" s="6"/>
      <c r="O10" s="6"/>
    </row>
    <row r="11" spans="1:15" ht="15" thickBot="1" x14ac:dyDescent="0.35">
      <c r="A11" s="6" t="s">
        <v>1997</v>
      </c>
      <c r="B11" s="6">
        <v>33</v>
      </c>
      <c r="C11" s="6">
        <v>1</v>
      </c>
      <c r="D11" s="6">
        <v>9</v>
      </c>
      <c r="E11" s="6">
        <v>15</v>
      </c>
      <c r="F11" s="6">
        <v>22</v>
      </c>
      <c r="G11" s="6">
        <v>18</v>
      </c>
      <c r="H11" s="6">
        <v>24</v>
      </c>
      <c r="I11" s="6">
        <v>18</v>
      </c>
      <c r="J11" s="6">
        <v>66</v>
      </c>
      <c r="K11" s="6">
        <v>29</v>
      </c>
      <c r="L11" s="6">
        <v>59</v>
      </c>
      <c r="M11" s="6">
        <v>29</v>
      </c>
      <c r="N11" s="6"/>
      <c r="O11" s="6"/>
    </row>
    <row r="12" spans="1:15" ht="15" thickBot="1" x14ac:dyDescent="0.35">
      <c r="A12" s="6" t="s">
        <v>1998</v>
      </c>
      <c r="B12" s="6">
        <v>11</v>
      </c>
      <c r="C12" s="6">
        <v>1</v>
      </c>
      <c r="D12" s="6"/>
      <c r="E12" s="6"/>
      <c r="F12" s="6">
        <v>1</v>
      </c>
      <c r="G12" s="6"/>
      <c r="H12" s="6">
        <v>4</v>
      </c>
      <c r="I12" s="6">
        <v>2</v>
      </c>
      <c r="J12" s="6">
        <v>6</v>
      </c>
      <c r="K12" s="6">
        <v>3</v>
      </c>
      <c r="L12" s="6">
        <v>6</v>
      </c>
      <c r="M12" s="6">
        <v>2</v>
      </c>
      <c r="N12" s="6"/>
      <c r="O12" s="6"/>
    </row>
    <row r="13" spans="1:15" x14ac:dyDescent="0.3">
      <c r="A13" t="s">
        <v>1999</v>
      </c>
    </row>
    <row r="15" spans="1:15" x14ac:dyDescent="0.3">
      <c r="A15" s="2" t="s">
        <v>371</v>
      </c>
      <c r="B15">
        <f>SUM(B6:B12)</f>
        <v>53</v>
      </c>
      <c r="C15">
        <f t="shared" ref="C15:M15" si="0">SUM(C6:C12)</f>
        <v>37</v>
      </c>
      <c r="D15">
        <f t="shared" si="0"/>
        <v>138</v>
      </c>
      <c r="E15">
        <f t="shared" si="0"/>
        <v>120</v>
      </c>
      <c r="F15">
        <f t="shared" si="0"/>
        <v>62</v>
      </c>
      <c r="G15">
        <f t="shared" si="0"/>
        <v>152</v>
      </c>
      <c r="H15">
        <f t="shared" si="0"/>
        <v>67</v>
      </c>
      <c r="I15">
        <f t="shared" si="0"/>
        <v>31</v>
      </c>
      <c r="J15">
        <f t="shared" si="0"/>
        <v>110</v>
      </c>
      <c r="K15">
        <f t="shared" si="0"/>
        <v>47</v>
      </c>
      <c r="L15">
        <f t="shared" si="0"/>
        <v>80</v>
      </c>
      <c r="M15">
        <f t="shared" si="0"/>
        <v>66</v>
      </c>
    </row>
  </sheetData>
  <pageMargins left="0.7" right="0.7" top="0.75" bottom="0.75" header="0.3" footer="0.3"/>
  <drawing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7B9B6-C94F-4BB3-83DE-4A5BD8CACB44}">
  <dimension ref="A1:O15"/>
  <sheetViews>
    <sheetView workbookViewId="0">
      <selection activeCell="O4" sqref="O4"/>
    </sheetView>
  </sheetViews>
  <sheetFormatPr baseColWidth="10" defaultColWidth="28.44140625" defaultRowHeight="14.4" x14ac:dyDescent="0.3"/>
  <cols>
    <col min="1" max="1" width="16.44140625" customWidth="1"/>
    <col min="2" max="2" width="11.44140625" customWidth="1"/>
    <col min="3" max="18" width="8.44140625" customWidth="1"/>
    <col min="19" max="19" width="5.44140625" customWidth="1"/>
  </cols>
  <sheetData>
    <row r="1" spans="1:15" x14ac:dyDescent="0.3">
      <c r="A1" t="s">
        <v>355</v>
      </c>
      <c r="B1">
        <v>204</v>
      </c>
    </row>
    <row r="2" spans="1:15" x14ac:dyDescent="0.3">
      <c r="A2" t="s">
        <v>5</v>
      </c>
      <c r="B2" t="s">
        <v>346</v>
      </c>
    </row>
    <row r="3" spans="1:15" ht="15" thickBot="1" x14ac:dyDescent="0.35"/>
    <row r="4" spans="1:15" ht="15" thickBot="1" x14ac:dyDescent="0.35">
      <c r="A4" s="247" t="s">
        <v>2000</v>
      </c>
      <c r="B4" s="187" t="s">
        <v>422</v>
      </c>
      <c r="C4" s="187" t="s">
        <v>423</v>
      </c>
      <c r="D4" s="187" t="s">
        <v>424</v>
      </c>
      <c r="E4" s="187" t="s">
        <v>425</v>
      </c>
      <c r="F4" s="187" t="s">
        <v>426</v>
      </c>
      <c r="G4" s="187" t="s">
        <v>427</v>
      </c>
      <c r="H4" s="187" t="s">
        <v>428</v>
      </c>
      <c r="I4" s="187" t="s">
        <v>429</v>
      </c>
      <c r="J4" s="187" t="s">
        <v>430</v>
      </c>
      <c r="K4" s="187" t="s">
        <v>358</v>
      </c>
      <c r="L4" s="187" t="s">
        <v>359</v>
      </c>
      <c r="M4" s="187" t="s">
        <v>360</v>
      </c>
      <c r="N4" s="187" t="s">
        <v>361</v>
      </c>
      <c r="O4" s="187" t="s">
        <v>362</v>
      </c>
    </row>
    <row r="5" spans="1:15" ht="24.6" thickBot="1" x14ac:dyDescent="0.35">
      <c r="A5" s="377" t="s">
        <v>2001</v>
      </c>
      <c r="B5" s="248"/>
      <c r="C5" s="248"/>
      <c r="D5" s="248"/>
      <c r="E5" s="248"/>
      <c r="F5" s="249">
        <v>2</v>
      </c>
      <c r="G5" s="248"/>
      <c r="H5" s="248"/>
      <c r="I5" s="249">
        <v>1</v>
      </c>
      <c r="J5" s="248"/>
      <c r="K5" s="249">
        <v>3</v>
      </c>
      <c r="L5" s="249"/>
      <c r="M5" s="249">
        <v>1</v>
      </c>
      <c r="N5" s="249"/>
      <c r="O5" s="249"/>
    </row>
    <row r="6" spans="1:15" ht="24.6" thickBot="1" x14ac:dyDescent="0.35">
      <c r="A6" s="378" t="s">
        <v>2002</v>
      </c>
      <c r="B6" s="250"/>
      <c r="C6" s="250"/>
      <c r="D6" s="250"/>
      <c r="E6" s="75">
        <v>2</v>
      </c>
      <c r="F6" s="75">
        <v>3</v>
      </c>
      <c r="G6" s="75">
        <v>7</v>
      </c>
      <c r="H6" s="75">
        <v>6</v>
      </c>
      <c r="I6" s="75">
        <v>5</v>
      </c>
      <c r="J6" s="75">
        <v>6</v>
      </c>
      <c r="K6" s="75">
        <v>4</v>
      </c>
      <c r="L6" s="75">
        <v>2</v>
      </c>
      <c r="M6" s="75">
        <v>8</v>
      </c>
      <c r="N6" s="75"/>
      <c r="O6" s="75"/>
    </row>
    <row r="7" spans="1:15" ht="15" thickBot="1" x14ac:dyDescent="0.35">
      <c r="A7" s="378" t="s">
        <v>2003</v>
      </c>
      <c r="B7" s="250"/>
      <c r="C7" s="250"/>
      <c r="D7" s="75">
        <v>1</v>
      </c>
      <c r="E7" s="250"/>
      <c r="F7" s="75">
        <v>2</v>
      </c>
      <c r="G7" s="75">
        <v>3</v>
      </c>
      <c r="H7" s="250"/>
      <c r="I7" s="75">
        <v>1</v>
      </c>
      <c r="J7" s="75">
        <v>3</v>
      </c>
      <c r="K7" s="75">
        <v>1</v>
      </c>
      <c r="L7" s="75"/>
      <c r="M7" s="75">
        <v>5</v>
      </c>
      <c r="N7" s="75"/>
      <c r="O7" s="75"/>
    </row>
    <row r="8" spans="1:15" ht="24.6" thickBot="1" x14ac:dyDescent="0.35">
      <c r="A8" s="378" t="s">
        <v>2004</v>
      </c>
      <c r="B8" s="250"/>
      <c r="C8" s="250"/>
      <c r="D8" s="250"/>
      <c r="E8" s="75">
        <v>8</v>
      </c>
      <c r="F8" s="75">
        <v>6</v>
      </c>
      <c r="G8" s="75">
        <v>41</v>
      </c>
      <c r="H8" s="75">
        <v>8</v>
      </c>
      <c r="I8" s="75">
        <v>8</v>
      </c>
      <c r="J8" s="75">
        <v>6</v>
      </c>
      <c r="K8" s="75">
        <v>7</v>
      </c>
      <c r="L8" s="75">
        <v>4</v>
      </c>
      <c r="M8" s="75">
        <v>12</v>
      </c>
      <c r="N8" s="75"/>
      <c r="O8" s="75"/>
    </row>
    <row r="9" spans="1:15" ht="24.6" thickBot="1" x14ac:dyDescent="0.35">
      <c r="A9" s="378" t="s">
        <v>2005</v>
      </c>
      <c r="B9" s="75">
        <v>1</v>
      </c>
      <c r="C9" s="250"/>
      <c r="D9" s="250"/>
      <c r="E9" s="75">
        <v>1</v>
      </c>
      <c r="F9" s="250"/>
      <c r="G9" s="250"/>
      <c r="H9" s="250"/>
      <c r="I9" s="75">
        <v>3</v>
      </c>
      <c r="J9" s="250"/>
      <c r="K9" s="75">
        <v>2</v>
      </c>
      <c r="L9" s="75"/>
      <c r="M9" s="75"/>
      <c r="N9" s="75"/>
      <c r="O9" s="75"/>
    </row>
    <row r="10" spans="1:15" ht="15" thickBot="1" x14ac:dyDescent="0.35">
      <c r="A10" s="378" t="s">
        <v>2006</v>
      </c>
      <c r="B10" s="75">
        <v>1</v>
      </c>
      <c r="C10" s="250"/>
      <c r="D10" s="250"/>
      <c r="E10" s="250"/>
      <c r="F10" s="75">
        <v>2</v>
      </c>
      <c r="G10" s="75">
        <v>32</v>
      </c>
      <c r="H10" s="250"/>
      <c r="I10" s="75">
        <v>4</v>
      </c>
      <c r="J10" s="75">
        <v>2</v>
      </c>
      <c r="K10" s="75">
        <v>1</v>
      </c>
      <c r="L10" s="75"/>
      <c r="M10" s="75">
        <v>3</v>
      </c>
      <c r="N10" s="75"/>
      <c r="O10" s="75"/>
    </row>
    <row r="11" spans="1:15" ht="15" thickBot="1" x14ac:dyDescent="0.35">
      <c r="A11" s="378" t="s">
        <v>2007</v>
      </c>
      <c r="B11" s="250"/>
      <c r="C11" s="250"/>
      <c r="D11" s="250"/>
      <c r="E11" s="250"/>
      <c r="F11" s="75">
        <v>1</v>
      </c>
      <c r="G11" s="75">
        <v>13</v>
      </c>
      <c r="H11" s="250"/>
      <c r="I11" s="75">
        <v>1</v>
      </c>
      <c r="J11" s="75">
        <v>1</v>
      </c>
      <c r="K11" s="250"/>
      <c r="L11" s="250"/>
      <c r="M11" s="75">
        <v>2</v>
      </c>
      <c r="N11" s="75"/>
      <c r="O11" s="75"/>
    </row>
    <row r="12" spans="1:15" ht="15" thickBot="1" x14ac:dyDescent="0.35">
      <c r="A12" s="378" t="s">
        <v>2008</v>
      </c>
      <c r="B12" s="75">
        <v>2</v>
      </c>
      <c r="C12" s="250"/>
      <c r="D12" s="75">
        <v>5</v>
      </c>
      <c r="E12" s="75">
        <v>9</v>
      </c>
      <c r="F12" s="75">
        <v>8</v>
      </c>
      <c r="G12" s="75">
        <v>8</v>
      </c>
      <c r="H12" s="75">
        <v>31</v>
      </c>
      <c r="I12" s="75">
        <v>20</v>
      </c>
      <c r="J12" s="75">
        <v>27</v>
      </c>
      <c r="K12" s="75">
        <v>24</v>
      </c>
      <c r="L12" s="75"/>
      <c r="M12" s="75">
        <v>1</v>
      </c>
      <c r="N12" s="75"/>
      <c r="O12" s="75"/>
    </row>
    <row r="13" spans="1:15" ht="15" thickBot="1" x14ac:dyDescent="0.35">
      <c r="A13" s="378" t="s">
        <v>2009</v>
      </c>
      <c r="B13" s="250"/>
      <c r="C13" s="250"/>
      <c r="D13" s="250"/>
      <c r="E13" s="250"/>
      <c r="F13" s="75">
        <v>1</v>
      </c>
      <c r="G13" s="250"/>
      <c r="H13" s="250"/>
      <c r="I13" s="250"/>
      <c r="J13" s="250"/>
      <c r="K13" s="250"/>
      <c r="L13" s="75">
        <v>12</v>
      </c>
      <c r="M13" s="75">
        <v>17</v>
      </c>
      <c r="N13" s="75"/>
      <c r="O13" s="75"/>
    </row>
    <row r="14" spans="1:15" ht="15" thickBot="1" x14ac:dyDescent="0.35">
      <c r="A14" s="378" t="s">
        <v>2010</v>
      </c>
      <c r="B14" s="250"/>
      <c r="C14" s="250"/>
      <c r="D14" s="250"/>
      <c r="E14" s="250"/>
      <c r="F14" s="250"/>
      <c r="G14" s="250"/>
      <c r="H14" s="250"/>
      <c r="I14" s="250"/>
      <c r="J14" s="250"/>
      <c r="K14" s="250"/>
      <c r="L14" s="250"/>
      <c r="M14" s="250"/>
      <c r="N14" s="250"/>
      <c r="O14" s="250"/>
    </row>
    <row r="15" spans="1:15" ht="15" thickBot="1" x14ac:dyDescent="0.35">
      <c r="A15" s="78" t="s">
        <v>466</v>
      </c>
      <c r="B15" s="78">
        <f t="shared" ref="B15:L15" si="0">SUM(B5:B14)</f>
        <v>4</v>
      </c>
      <c r="C15" s="78">
        <f t="shared" si="0"/>
        <v>0</v>
      </c>
      <c r="D15" s="78">
        <f t="shared" si="0"/>
        <v>6</v>
      </c>
      <c r="E15" s="78">
        <f t="shared" si="0"/>
        <v>20</v>
      </c>
      <c r="F15" s="78">
        <f t="shared" si="0"/>
        <v>25</v>
      </c>
      <c r="G15" s="78">
        <f t="shared" si="0"/>
        <v>104</v>
      </c>
      <c r="H15" s="78">
        <f t="shared" si="0"/>
        <v>45</v>
      </c>
      <c r="I15" s="78">
        <f t="shared" si="0"/>
        <v>43</v>
      </c>
      <c r="J15" s="78">
        <f t="shared" si="0"/>
        <v>45</v>
      </c>
      <c r="K15" s="78">
        <f t="shared" si="0"/>
        <v>42</v>
      </c>
      <c r="L15" s="78">
        <f t="shared" si="0"/>
        <v>18</v>
      </c>
      <c r="M15" s="78">
        <f>SUM(M5:M14)</f>
        <v>49</v>
      </c>
      <c r="N15" s="78"/>
      <c r="O15" s="78"/>
    </row>
  </sheetData>
  <pageMargins left="0.7" right="0.7" top="0.75" bottom="0.75" header="0.3" footer="0.3"/>
  <drawing r:id="rId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A52E9-BC4A-4646-99BD-4D8DFD4D849D}">
  <dimension ref="A1:E11"/>
  <sheetViews>
    <sheetView workbookViewId="0">
      <selection activeCell="D5" sqref="D5:E5"/>
    </sheetView>
  </sheetViews>
  <sheetFormatPr baseColWidth="10" defaultColWidth="28.44140625" defaultRowHeight="14.4" x14ac:dyDescent="0.3"/>
  <cols>
    <col min="1" max="1" width="16.44140625" customWidth="1"/>
    <col min="2" max="3" width="18.44140625" customWidth="1"/>
    <col min="4" max="6" width="8.44140625" customWidth="1"/>
    <col min="7" max="7" width="5.44140625" customWidth="1"/>
  </cols>
  <sheetData>
    <row r="1" spans="1:5" x14ac:dyDescent="0.3">
      <c r="A1" t="s">
        <v>355</v>
      </c>
      <c r="B1">
        <v>205</v>
      </c>
    </row>
    <row r="2" spans="1:5" x14ac:dyDescent="0.3">
      <c r="A2" t="s">
        <v>5</v>
      </c>
      <c r="B2" t="s">
        <v>261</v>
      </c>
    </row>
    <row r="3" spans="1:5" x14ac:dyDescent="0.3">
      <c r="B3" s="326" t="s">
        <v>2011</v>
      </c>
      <c r="C3" s="326"/>
    </row>
    <row r="4" spans="1:5" ht="15" thickBot="1" x14ac:dyDescent="0.35">
      <c r="B4" s="326" t="s">
        <v>360</v>
      </c>
      <c r="C4" s="326"/>
    </row>
    <row r="5" spans="1:5" ht="30.6" thickBot="1" x14ac:dyDescent="0.35">
      <c r="A5" s="251" t="s">
        <v>2012</v>
      </c>
      <c r="B5" s="252" t="s">
        <v>2013</v>
      </c>
      <c r="C5" s="252" t="s">
        <v>360</v>
      </c>
      <c r="D5" s="252" t="s">
        <v>361</v>
      </c>
      <c r="E5" s="252" t="s">
        <v>362</v>
      </c>
    </row>
    <row r="6" spans="1:5" ht="30.6" thickBot="1" x14ac:dyDescent="0.35">
      <c r="A6" s="253" t="s">
        <v>2014</v>
      </c>
      <c r="B6" s="253">
        <v>14</v>
      </c>
      <c r="C6" s="253">
        <v>14</v>
      </c>
      <c r="D6" s="253"/>
      <c r="E6" s="253"/>
    </row>
    <row r="7" spans="1:5" ht="30.6" thickBot="1" x14ac:dyDescent="0.35">
      <c r="A7" s="253" t="s">
        <v>2015</v>
      </c>
      <c r="B7" s="253">
        <v>62</v>
      </c>
      <c r="C7" s="253">
        <v>62</v>
      </c>
      <c r="D7" s="253"/>
      <c r="E7" s="253"/>
    </row>
    <row r="8" spans="1:5" ht="30.6" thickBot="1" x14ac:dyDescent="0.35">
      <c r="A8" s="253" t="s">
        <v>2016</v>
      </c>
      <c r="B8" s="253">
        <v>6</v>
      </c>
      <c r="C8" s="253">
        <v>6</v>
      </c>
      <c r="D8" s="253"/>
      <c r="E8" s="253"/>
    </row>
    <row r="9" spans="1:5" ht="45.6" thickBot="1" x14ac:dyDescent="0.35">
      <c r="A9" s="253" t="s">
        <v>2017</v>
      </c>
      <c r="B9" s="253">
        <v>247</v>
      </c>
      <c r="C9" s="253">
        <v>247</v>
      </c>
      <c r="D9" s="253"/>
      <c r="E9" s="253"/>
    </row>
    <row r="10" spans="1:5" ht="30.6" thickBot="1" x14ac:dyDescent="0.35">
      <c r="A10" s="253" t="s">
        <v>2018</v>
      </c>
      <c r="B10" s="253">
        <v>41</v>
      </c>
      <c r="C10" s="253">
        <v>41</v>
      </c>
      <c r="D10" s="253"/>
      <c r="E10" s="253"/>
    </row>
    <row r="11" spans="1:5" ht="15.6" thickBot="1" x14ac:dyDescent="0.35">
      <c r="A11" s="254" t="s">
        <v>371</v>
      </c>
      <c r="B11" s="254">
        <f>SUM(B6:B10)</f>
        <v>370</v>
      </c>
      <c r="C11" s="254">
        <f>SUM(C6:C10)</f>
        <v>370</v>
      </c>
      <c r="D11" s="254"/>
      <c r="E11" s="254"/>
    </row>
  </sheetData>
  <pageMargins left="0.7" right="0.7" top="0.75" bottom="0.75" header="0.3" footer="0.3"/>
  <drawing r:id="rId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5FF13-01E3-4D44-AB16-7902057EB639}">
  <dimension ref="A1:E11"/>
  <sheetViews>
    <sheetView workbookViewId="0">
      <selection activeCell="D5" sqref="D5:E5"/>
    </sheetView>
  </sheetViews>
  <sheetFormatPr baseColWidth="10" defaultColWidth="28.44140625" defaultRowHeight="14.4" x14ac:dyDescent="0.3"/>
  <cols>
    <col min="1" max="1" width="16.44140625" customWidth="1"/>
    <col min="2" max="3" width="22.44140625" customWidth="1"/>
    <col min="4" max="4" width="8.44140625" customWidth="1"/>
    <col min="5" max="5" width="10.88671875" customWidth="1"/>
  </cols>
  <sheetData>
    <row r="1" spans="1:5" x14ac:dyDescent="0.3">
      <c r="A1" t="s">
        <v>355</v>
      </c>
      <c r="B1">
        <v>206</v>
      </c>
    </row>
    <row r="2" spans="1:5" x14ac:dyDescent="0.3">
      <c r="A2" t="s">
        <v>5</v>
      </c>
      <c r="B2" t="s">
        <v>264</v>
      </c>
    </row>
    <row r="3" spans="1:5" x14ac:dyDescent="0.3">
      <c r="B3" t="s">
        <v>2019</v>
      </c>
    </row>
    <row r="4" spans="1:5" ht="15" thickBot="1" x14ac:dyDescent="0.35"/>
    <row r="5" spans="1:5" ht="30.6" thickBot="1" x14ac:dyDescent="0.35">
      <c r="A5" s="251" t="s">
        <v>2012</v>
      </c>
      <c r="B5" s="252" t="s">
        <v>2013</v>
      </c>
      <c r="C5" s="252" t="s">
        <v>360</v>
      </c>
      <c r="D5" s="252" t="s">
        <v>361</v>
      </c>
      <c r="E5" s="252" t="s">
        <v>362</v>
      </c>
    </row>
    <row r="6" spans="1:5" ht="30.6" thickBot="1" x14ac:dyDescent="0.35">
      <c r="A6" s="253" t="s">
        <v>2014</v>
      </c>
      <c r="B6" s="253">
        <v>146</v>
      </c>
      <c r="C6" s="253">
        <v>145</v>
      </c>
      <c r="D6" s="253"/>
      <c r="E6" s="253"/>
    </row>
    <row r="7" spans="1:5" ht="30.6" thickBot="1" x14ac:dyDescent="0.35">
      <c r="A7" s="253" t="s">
        <v>2015</v>
      </c>
      <c r="B7" s="253">
        <v>1714</v>
      </c>
      <c r="C7" s="253">
        <v>1713</v>
      </c>
      <c r="D7" s="253"/>
      <c r="E7" s="253"/>
    </row>
    <row r="8" spans="1:5" ht="30.6" thickBot="1" x14ac:dyDescent="0.35">
      <c r="A8" s="253" t="s">
        <v>2016</v>
      </c>
      <c r="B8" s="253">
        <v>299</v>
      </c>
      <c r="C8" s="253">
        <v>298</v>
      </c>
      <c r="D8" s="253"/>
      <c r="E8" s="253"/>
    </row>
    <row r="9" spans="1:5" ht="45.6" thickBot="1" x14ac:dyDescent="0.35">
      <c r="A9" s="253" t="s">
        <v>2017</v>
      </c>
      <c r="B9" s="253">
        <v>1553</v>
      </c>
      <c r="C9" s="253">
        <v>1552</v>
      </c>
      <c r="D9" s="253"/>
      <c r="E9" s="253"/>
    </row>
    <row r="10" spans="1:5" ht="30.6" thickBot="1" x14ac:dyDescent="0.35">
      <c r="A10" s="253" t="s">
        <v>2018</v>
      </c>
      <c r="B10" s="253">
        <v>980</v>
      </c>
      <c r="C10" s="253">
        <v>980</v>
      </c>
      <c r="D10" s="253"/>
      <c r="E10" s="253"/>
    </row>
    <row r="11" spans="1:5" ht="15.6" thickBot="1" x14ac:dyDescent="0.35">
      <c r="A11" s="254" t="s">
        <v>371</v>
      </c>
      <c r="B11" s="254">
        <f>SUM(B6:B10)</f>
        <v>4692</v>
      </c>
      <c r="C11" s="254">
        <f>SUM(C6:C10)</f>
        <v>4688</v>
      </c>
      <c r="D11" s="254"/>
      <c r="E11" s="254"/>
    </row>
  </sheetData>
  <pageMargins left="0.7" right="0.7" top="0.75" bottom="0.75" header="0.3" footer="0.3"/>
  <drawing r:id="rId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C31B8-4FCA-425D-B40A-3AEFF634AFED}">
  <dimension ref="A1:L10"/>
  <sheetViews>
    <sheetView workbookViewId="0">
      <selection activeCell="J5" sqref="J5:K5"/>
    </sheetView>
  </sheetViews>
  <sheetFormatPr baseColWidth="10" defaultColWidth="28.44140625" defaultRowHeight="14.4" x14ac:dyDescent="0.3"/>
  <cols>
    <col min="1" max="1" width="16.44140625" customWidth="1"/>
    <col min="2" max="2" width="11.44140625" customWidth="1"/>
    <col min="3" max="18" width="8.44140625" customWidth="1"/>
    <col min="19" max="19" width="5.44140625" customWidth="1"/>
  </cols>
  <sheetData>
    <row r="1" spans="1:12" x14ac:dyDescent="0.3">
      <c r="A1" t="s">
        <v>355</v>
      </c>
      <c r="B1">
        <v>208</v>
      </c>
    </row>
    <row r="2" spans="1:12" x14ac:dyDescent="0.3">
      <c r="A2" t="s">
        <v>5</v>
      </c>
      <c r="B2" t="s">
        <v>347</v>
      </c>
    </row>
    <row r="4" spans="1:12" ht="15" thickBot="1" x14ac:dyDescent="0.35"/>
    <row r="5" spans="1:12" ht="15.6" thickBot="1" x14ac:dyDescent="0.35">
      <c r="A5" s="255" t="s">
        <v>2020</v>
      </c>
      <c r="B5" s="256">
        <v>2019</v>
      </c>
      <c r="C5" s="256">
        <v>2020</v>
      </c>
      <c r="D5" s="256">
        <v>2021</v>
      </c>
      <c r="E5" s="256">
        <v>2022</v>
      </c>
      <c r="F5" s="256">
        <v>2023</v>
      </c>
      <c r="G5" s="256" t="s">
        <v>358</v>
      </c>
      <c r="H5" s="256" t="s">
        <v>359</v>
      </c>
      <c r="I5" s="256" t="s">
        <v>360</v>
      </c>
      <c r="J5" s="252" t="s">
        <v>361</v>
      </c>
      <c r="K5" s="252" t="s">
        <v>362</v>
      </c>
      <c r="L5" s="257" t="s">
        <v>466</v>
      </c>
    </row>
    <row r="6" spans="1:12" ht="15" thickBot="1" x14ac:dyDescent="0.35">
      <c r="A6" s="71" t="s">
        <v>2000</v>
      </c>
      <c r="B6" s="71">
        <v>58</v>
      </c>
      <c r="C6" s="71">
        <v>42</v>
      </c>
      <c r="D6" s="71">
        <v>38</v>
      </c>
      <c r="E6" s="71">
        <v>36</v>
      </c>
      <c r="F6" s="71">
        <v>50</v>
      </c>
      <c r="G6" s="71">
        <v>44</v>
      </c>
      <c r="H6" s="71">
        <v>144</v>
      </c>
      <c r="I6" s="71">
        <v>135</v>
      </c>
      <c r="J6" s="71"/>
      <c r="K6" s="71"/>
      <c r="L6" s="102">
        <f>+SUM(B6:I6)</f>
        <v>547</v>
      </c>
    </row>
    <row r="7" spans="1:12" ht="27" thickBot="1" x14ac:dyDescent="0.35">
      <c r="A7" s="71" t="s">
        <v>2021</v>
      </c>
      <c r="B7" s="71">
        <v>8</v>
      </c>
      <c r="C7" s="71">
        <v>3</v>
      </c>
      <c r="D7" s="71">
        <v>1</v>
      </c>
      <c r="E7" s="71">
        <v>4</v>
      </c>
      <c r="F7" s="71">
        <v>1</v>
      </c>
      <c r="G7" s="71">
        <v>0</v>
      </c>
      <c r="H7" s="71">
        <v>21</v>
      </c>
      <c r="I7" s="71">
        <v>14</v>
      </c>
      <c r="J7" s="71"/>
      <c r="K7" s="71"/>
      <c r="L7" s="102">
        <f t="shared" ref="L7:L10" si="0">+SUM(B7:I7)</f>
        <v>52</v>
      </c>
    </row>
    <row r="8" spans="1:12" ht="40.200000000000003" thickBot="1" x14ac:dyDescent="0.35">
      <c r="A8" s="71" t="s">
        <v>2017</v>
      </c>
      <c r="B8" s="71">
        <v>1</v>
      </c>
      <c r="C8" s="71">
        <v>2</v>
      </c>
      <c r="D8" s="71">
        <v>3</v>
      </c>
      <c r="E8" s="71">
        <v>3</v>
      </c>
      <c r="F8" s="71">
        <v>6</v>
      </c>
      <c r="G8" s="71">
        <v>7</v>
      </c>
      <c r="H8" s="71">
        <v>13</v>
      </c>
      <c r="I8" s="71">
        <v>17</v>
      </c>
      <c r="J8" s="71"/>
      <c r="K8" s="71"/>
      <c r="L8" s="102">
        <f t="shared" si="0"/>
        <v>52</v>
      </c>
    </row>
    <row r="9" spans="1:12" ht="27" thickBot="1" x14ac:dyDescent="0.35">
      <c r="A9" s="71" t="s">
        <v>2018</v>
      </c>
      <c r="B9" s="71">
        <v>0</v>
      </c>
      <c r="C9" s="71">
        <v>0</v>
      </c>
      <c r="D9" s="71">
        <v>1</v>
      </c>
      <c r="E9" s="71">
        <v>2</v>
      </c>
      <c r="F9" s="71">
        <v>3</v>
      </c>
      <c r="G9" s="71">
        <v>2</v>
      </c>
      <c r="H9" s="71">
        <v>36</v>
      </c>
      <c r="I9" s="71">
        <v>22</v>
      </c>
      <c r="J9" s="71"/>
      <c r="K9" s="71"/>
      <c r="L9" s="102">
        <f t="shared" si="0"/>
        <v>66</v>
      </c>
    </row>
    <row r="10" spans="1:12" ht="15" thickBot="1" x14ac:dyDescent="0.35">
      <c r="A10" s="102" t="s">
        <v>466</v>
      </c>
      <c r="B10" s="102">
        <v>67</v>
      </c>
      <c r="C10" s="102">
        <v>48</v>
      </c>
      <c r="D10" s="102">
        <v>43</v>
      </c>
      <c r="E10" s="102">
        <v>45</v>
      </c>
      <c r="F10" s="102">
        <v>60</v>
      </c>
      <c r="G10" s="102">
        <v>54</v>
      </c>
      <c r="H10" s="102">
        <f>SUM(H6:H9)</f>
        <v>214</v>
      </c>
      <c r="I10" s="102">
        <f>SUM(I6:I9)</f>
        <v>188</v>
      </c>
      <c r="J10" s="102"/>
      <c r="K10" s="102"/>
      <c r="L10" s="102">
        <f t="shared" si="0"/>
        <v>719</v>
      </c>
    </row>
  </sheetData>
  <pageMargins left="0.7" right="0.7" top="0.75" bottom="0.75" header="0.3" footer="0.3"/>
  <drawing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FFE1E-71B4-4443-BDFF-258F5EC7B79E}">
  <dimension ref="A1:L5"/>
  <sheetViews>
    <sheetView workbookViewId="0"/>
  </sheetViews>
  <sheetFormatPr baseColWidth="10" defaultColWidth="28.44140625" defaultRowHeight="14.4" x14ac:dyDescent="0.3"/>
  <cols>
    <col min="1" max="1" width="16.44140625" customWidth="1"/>
    <col min="2" max="2" width="11.44140625" customWidth="1"/>
    <col min="3" max="13" width="8.44140625" customWidth="1"/>
    <col min="14" max="14" width="5.44140625" customWidth="1"/>
  </cols>
  <sheetData>
    <row r="1" spans="1:12" x14ac:dyDescent="0.3">
      <c r="A1" t="s">
        <v>355</v>
      </c>
      <c r="B1">
        <v>209</v>
      </c>
    </row>
    <row r="2" spans="1:12" x14ac:dyDescent="0.3">
      <c r="A2" t="s">
        <v>5</v>
      </c>
      <c r="B2" t="s">
        <v>266</v>
      </c>
    </row>
    <row r="3" spans="1:12" ht="15" thickBot="1" x14ac:dyDescent="0.35"/>
    <row r="4" spans="1:12" ht="15" x14ac:dyDescent="0.3">
      <c r="A4" s="258" t="s">
        <v>2022</v>
      </c>
      <c r="B4" s="258">
        <v>2019</v>
      </c>
      <c r="C4" s="258">
        <v>2020</v>
      </c>
      <c r="D4" s="258">
        <v>2021</v>
      </c>
      <c r="E4" s="258">
        <v>2022</v>
      </c>
      <c r="F4" s="258">
        <v>2023</v>
      </c>
      <c r="G4" s="258" t="s">
        <v>358</v>
      </c>
      <c r="H4" s="258" t="s">
        <v>359</v>
      </c>
      <c r="I4" s="258" t="s">
        <v>360</v>
      </c>
      <c r="J4" s="252" t="s">
        <v>361</v>
      </c>
      <c r="K4" s="252" t="s">
        <v>362</v>
      </c>
      <c r="L4" s="258" t="s">
        <v>466</v>
      </c>
    </row>
    <row r="5" spans="1:12" ht="45" x14ac:dyDescent="0.3">
      <c r="A5" s="48" t="s">
        <v>2023</v>
      </c>
      <c r="B5" s="48">
        <v>65</v>
      </c>
      <c r="C5" s="49">
        <v>2578</v>
      </c>
      <c r="D5" s="49">
        <v>4121</v>
      </c>
      <c r="E5" s="48">
        <v>245</v>
      </c>
      <c r="F5" s="49">
        <v>1628</v>
      </c>
      <c r="G5" s="48">
        <v>250</v>
      </c>
      <c r="H5" s="48">
        <v>151</v>
      </c>
      <c r="I5" s="48">
        <v>301</v>
      </c>
      <c r="J5" s="48"/>
      <c r="K5" s="48"/>
      <c r="L5" s="49">
        <v>8887</v>
      </c>
    </row>
  </sheetData>
  <pageMargins left="0.7" right="0.7" top="0.75" bottom="0.75" header="0.3" footer="0.3"/>
  <drawing r:id="rId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31A04-9D3E-4B5F-AAA3-F65757FEE610}">
  <dimension ref="A1:G8"/>
  <sheetViews>
    <sheetView workbookViewId="0">
      <selection activeCell="G4" sqref="G4"/>
    </sheetView>
  </sheetViews>
  <sheetFormatPr baseColWidth="10" defaultColWidth="28.44140625" defaultRowHeight="14.4" x14ac:dyDescent="0.3"/>
  <cols>
    <col min="1" max="1" width="16.44140625" customWidth="1"/>
    <col min="2" max="2" width="11.44140625" customWidth="1"/>
    <col min="3" max="3" width="8.44140625" customWidth="1"/>
    <col min="4" max="4" width="7.44140625" bestFit="1" customWidth="1"/>
    <col min="5" max="5" width="6.44140625" bestFit="1" customWidth="1"/>
    <col min="6" max="6" width="8.44140625" customWidth="1"/>
    <col min="7" max="7" width="8.88671875" bestFit="1" customWidth="1"/>
    <col min="8" max="16" width="8.44140625" customWidth="1"/>
    <col min="17" max="17" width="5.44140625" customWidth="1"/>
  </cols>
  <sheetData>
    <row r="1" spans="1:7" x14ac:dyDescent="0.3">
      <c r="A1" t="s">
        <v>355</v>
      </c>
      <c r="B1">
        <v>210</v>
      </c>
    </row>
    <row r="2" spans="1:7" x14ac:dyDescent="0.3">
      <c r="A2" t="s">
        <v>5</v>
      </c>
      <c r="B2" t="s">
        <v>267</v>
      </c>
    </row>
    <row r="3" spans="1:7" ht="15" thickBot="1" x14ac:dyDescent="0.35"/>
    <row r="4" spans="1:7" ht="27" thickBot="1" x14ac:dyDescent="0.35">
      <c r="A4" s="69" t="s">
        <v>2024</v>
      </c>
      <c r="B4" s="69" t="s">
        <v>2025</v>
      </c>
      <c r="C4" s="69" t="s">
        <v>2026</v>
      </c>
      <c r="D4" s="69" t="s">
        <v>2027</v>
      </c>
      <c r="E4" s="69">
        <v>2025</v>
      </c>
      <c r="F4" s="252" t="s">
        <v>362</v>
      </c>
      <c r="G4" s="69" t="s">
        <v>2028</v>
      </c>
    </row>
    <row r="5" spans="1:7" ht="15" thickBot="1" x14ac:dyDescent="0.35">
      <c r="A5" s="71" t="s">
        <v>2029</v>
      </c>
      <c r="B5" s="156">
        <v>850000</v>
      </c>
      <c r="C5" s="156">
        <v>250000</v>
      </c>
      <c r="D5" s="156">
        <v>0</v>
      </c>
      <c r="E5" s="156">
        <v>0</v>
      </c>
      <c r="F5" s="156"/>
      <c r="G5" s="156">
        <f>SUM(B5:D5)</f>
        <v>1100000</v>
      </c>
    </row>
    <row r="6" spans="1:7" ht="40.200000000000003" thickBot="1" x14ac:dyDescent="0.35">
      <c r="A6" s="71" t="s">
        <v>2030</v>
      </c>
      <c r="B6" s="156">
        <v>3385000</v>
      </c>
      <c r="C6" s="156">
        <f>305000+950000</f>
        <v>1255000</v>
      </c>
      <c r="D6" s="156">
        <v>0</v>
      </c>
      <c r="E6" s="156">
        <v>0</v>
      </c>
      <c r="F6" s="156"/>
      <c r="G6" s="156">
        <f>SUM(B6:D6)</f>
        <v>4640000</v>
      </c>
    </row>
    <row r="7" spans="1:7" ht="27" thickBot="1" x14ac:dyDescent="0.35">
      <c r="A7" s="71" t="s">
        <v>2031</v>
      </c>
      <c r="B7" s="71">
        <v>0</v>
      </c>
      <c r="C7" s="71">
        <v>0</v>
      </c>
      <c r="D7" s="71">
        <v>700000</v>
      </c>
      <c r="E7" s="71">
        <v>0</v>
      </c>
      <c r="F7" s="71"/>
      <c r="G7" s="156">
        <f>SUM(G5:G6)</f>
        <v>5740000</v>
      </c>
    </row>
    <row r="8" spans="1:7" ht="15" thickBot="1" x14ac:dyDescent="0.35">
      <c r="A8" s="102" t="s">
        <v>371</v>
      </c>
      <c r="B8" s="133">
        <f>SUM(B5:B7)</f>
        <v>4235000</v>
      </c>
      <c r="C8" s="133">
        <f>SUM(C5:C7)</f>
        <v>1505000</v>
      </c>
      <c r="D8" s="133">
        <f>SUM(D5:D7)</f>
        <v>700000</v>
      </c>
      <c r="E8" s="133">
        <v>0</v>
      </c>
      <c r="F8" s="133"/>
      <c r="G8" s="133">
        <f>SUM(B8:D8)</f>
        <v>6440000</v>
      </c>
    </row>
  </sheetData>
  <pageMargins left="0.7" right="0.7" top="0.75" bottom="0.75" header="0.3" footer="0.3"/>
  <drawing r:id="rId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51C40-2506-444B-80D2-98EB3DF8CD0F}">
  <dimension ref="A1:B11"/>
  <sheetViews>
    <sheetView workbookViewId="0">
      <selection activeCell="B10" sqref="B10"/>
    </sheetView>
  </sheetViews>
  <sheetFormatPr baseColWidth="10" defaultColWidth="28.44140625" defaultRowHeight="14.4" x14ac:dyDescent="0.3"/>
  <cols>
    <col min="1" max="1" width="16.44140625" customWidth="1"/>
    <col min="2" max="2" width="19.44140625" customWidth="1"/>
    <col min="3" max="4" width="8.44140625" customWidth="1"/>
    <col min="5" max="5" width="5.44140625" customWidth="1"/>
  </cols>
  <sheetData>
    <row r="1" spans="1:2" x14ac:dyDescent="0.3">
      <c r="A1" t="s">
        <v>355</v>
      </c>
      <c r="B1">
        <v>212</v>
      </c>
    </row>
    <row r="2" spans="1:2" x14ac:dyDescent="0.3">
      <c r="A2" t="s">
        <v>5</v>
      </c>
      <c r="B2" t="s">
        <v>268</v>
      </c>
    </row>
    <row r="4" spans="1:2" ht="15" thickBot="1" x14ac:dyDescent="0.35"/>
    <row r="5" spans="1:2" ht="30.6" thickBot="1" x14ac:dyDescent="0.35">
      <c r="A5" s="259" t="s">
        <v>535</v>
      </c>
      <c r="B5" s="259" t="s">
        <v>2032</v>
      </c>
    </row>
    <row r="6" spans="1:2" ht="15.6" thickBot="1" x14ac:dyDescent="0.35">
      <c r="A6" s="48">
        <v>2022</v>
      </c>
      <c r="B6" s="48">
        <v>12</v>
      </c>
    </row>
    <row r="7" spans="1:2" ht="15.6" thickBot="1" x14ac:dyDescent="0.35">
      <c r="A7" s="48">
        <v>2023</v>
      </c>
      <c r="B7" s="48">
        <v>6</v>
      </c>
    </row>
    <row r="8" spans="1:2" ht="15.6" thickBot="1" x14ac:dyDescent="0.35">
      <c r="A8" s="48">
        <v>2024</v>
      </c>
      <c r="B8" s="48">
        <v>1</v>
      </c>
    </row>
    <row r="9" spans="1:2" ht="15.6" thickBot="1" x14ac:dyDescent="0.35">
      <c r="A9" s="48">
        <v>2025</v>
      </c>
      <c r="B9" s="558">
        <v>3</v>
      </c>
    </row>
    <row r="10" spans="1:2" ht="15.6" thickBot="1" x14ac:dyDescent="0.35">
      <c r="A10" s="48">
        <v>2026</v>
      </c>
      <c r="B10" s="48"/>
    </row>
    <row r="11" spans="1:2" ht="15.6" thickBot="1" x14ac:dyDescent="0.35">
      <c r="A11" s="106" t="s">
        <v>1911</v>
      </c>
      <c r="B11" s="106">
        <f>+SUM(B6:B9)</f>
        <v>22</v>
      </c>
    </row>
  </sheetData>
  <pageMargins left="0.7" right="0.7" top="0.75" bottom="0.75" header="0.3" footer="0.3"/>
  <drawing r:id="rId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D5EB0-3426-493A-9307-4944BE482A4C}">
  <dimension ref="A1:P18"/>
  <sheetViews>
    <sheetView workbookViewId="0">
      <selection activeCell="P5" sqref="P5"/>
    </sheetView>
  </sheetViews>
  <sheetFormatPr baseColWidth="10" defaultColWidth="28.44140625" defaultRowHeight="14.4" x14ac:dyDescent="0.3"/>
  <cols>
    <col min="1" max="1" width="16.44140625" customWidth="1"/>
    <col min="2" max="2" width="11.44140625" customWidth="1"/>
    <col min="3" max="16" width="8.44140625" customWidth="1"/>
    <col min="17" max="17" width="5.44140625" customWidth="1"/>
  </cols>
  <sheetData>
    <row r="1" spans="1:16" x14ac:dyDescent="0.3">
      <c r="A1" t="s">
        <v>355</v>
      </c>
      <c r="B1">
        <v>214</v>
      </c>
    </row>
    <row r="2" spans="1:16" x14ac:dyDescent="0.3">
      <c r="A2" t="s">
        <v>5</v>
      </c>
      <c r="B2" t="s">
        <v>348</v>
      </c>
    </row>
    <row r="4" spans="1:16" ht="15" thickBot="1" x14ac:dyDescent="0.35"/>
    <row r="5" spans="1:16" ht="15" thickBot="1" x14ac:dyDescent="0.35">
      <c r="A5" s="260" t="s">
        <v>463</v>
      </c>
      <c r="B5" s="260" t="s">
        <v>464</v>
      </c>
      <c r="C5" s="260" t="s">
        <v>422</v>
      </c>
      <c r="D5" s="260" t="s">
        <v>423</v>
      </c>
      <c r="E5" s="260" t="s">
        <v>424</v>
      </c>
      <c r="F5" s="260" t="s">
        <v>425</v>
      </c>
      <c r="G5" s="260" t="s">
        <v>426</v>
      </c>
      <c r="H5" s="260" t="s">
        <v>427</v>
      </c>
      <c r="I5" s="260" t="s">
        <v>428</v>
      </c>
      <c r="J5" s="260" t="s">
        <v>429</v>
      </c>
      <c r="K5" s="260" t="s">
        <v>430</v>
      </c>
      <c r="L5" s="260" t="s">
        <v>358</v>
      </c>
      <c r="M5" s="260" t="s">
        <v>359</v>
      </c>
      <c r="N5" s="260" t="s">
        <v>360</v>
      </c>
      <c r="O5" s="260" t="s">
        <v>361</v>
      </c>
      <c r="P5" s="260" t="s">
        <v>362</v>
      </c>
    </row>
    <row r="6" spans="1:16" ht="15" thickBot="1" x14ac:dyDescent="0.35">
      <c r="A6" s="680" t="s">
        <v>448</v>
      </c>
      <c r="B6" s="261" t="s">
        <v>457</v>
      </c>
      <c r="C6" s="261">
        <v>58</v>
      </c>
      <c r="D6" s="261">
        <v>72</v>
      </c>
      <c r="E6" s="261">
        <v>57</v>
      </c>
      <c r="F6" s="261">
        <v>39</v>
      </c>
      <c r="G6" s="261">
        <v>23</v>
      </c>
      <c r="H6" s="261">
        <v>42</v>
      </c>
      <c r="I6" s="261">
        <v>22</v>
      </c>
      <c r="J6" s="261">
        <v>56</v>
      </c>
      <c r="K6" s="261">
        <v>109</v>
      </c>
      <c r="L6" s="261">
        <v>44</v>
      </c>
      <c r="M6" s="261">
        <v>63</v>
      </c>
      <c r="N6" s="261">
        <v>74</v>
      </c>
      <c r="O6" s="261"/>
      <c r="P6" s="261"/>
    </row>
    <row r="7" spans="1:16" ht="15" thickBot="1" x14ac:dyDescent="0.35">
      <c r="A7" s="681"/>
      <c r="B7" s="262" t="s">
        <v>456</v>
      </c>
      <c r="C7" s="262">
        <v>445</v>
      </c>
      <c r="D7" s="262">
        <v>547</v>
      </c>
      <c r="E7" s="262">
        <v>236</v>
      </c>
      <c r="F7" s="262">
        <v>430</v>
      </c>
      <c r="G7" s="262">
        <v>283</v>
      </c>
      <c r="H7" s="262">
        <v>491</v>
      </c>
      <c r="I7" s="262">
        <v>290</v>
      </c>
      <c r="J7" s="262">
        <v>541</v>
      </c>
      <c r="K7" s="262">
        <v>283</v>
      </c>
      <c r="L7" s="262">
        <v>299</v>
      </c>
      <c r="M7" s="262">
        <v>323</v>
      </c>
      <c r="N7" s="262">
        <v>530</v>
      </c>
      <c r="O7" s="262"/>
      <c r="P7" s="262"/>
    </row>
    <row r="8" spans="1:16" ht="15" thickBot="1" x14ac:dyDescent="0.35">
      <c r="A8" s="681"/>
      <c r="B8" s="262" t="s">
        <v>455</v>
      </c>
      <c r="C8" s="262">
        <v>2254</v>
      </c>
      <c r="D8" s="263">
        <v>2413</v>
      </c>
      <c r="E8" s="263">
        <v>1166</v>
      </c>
      <c r="F8" s="263">
        <v>2188</v>
      </c>
      <c r="G8" s="263">
        <v>1723</v>
      </c>
      <c r="H8" s="263">
        <v>2356</v>
      </c>
      <c r="I8" s="263">
        <v>1926</v>
      </c>
      <c r="J8" s="263">
        <v>2611</v>
      </c>
      <c r="K8" s="263">
        <v>2153</v>
      </c>
      <c r="L8" s="263">
        <v>1493</v>
      </c>
      <c r="M8" s="263">
        <v>858</v>
      </c>
      <c r="N8" s="263">
        <v>1408</v>
      </c>
      <c r="O8" s="263"/>
      <c r="P8" s="263"/>
    </row>
    <row r="9" spans="1:16" ht="15" thickBot="1" x14ac:dyDescent="0.35">
      <c r="A9" s="681"/>
      <c r="B9" s="262" t="s">
        <v>454</v>
      </c>
      <c r="C9" s="262">
        <v>190</v>
      </c>
      <c r="D9" s="262">
        <v>244</v>
      </c>
      <c r="E9" s="262">
        <v>67</v>
      </c>
      <c r="F9" s="262">
        <v>208</v>
      </c>
      <c r="G9" s="262">
        <v>189</v>
      </c>
      <c r="H9" s="262">
        <v>327</v>
      </c>
      <c r="I9" s="262">
        <v>264</v>
      </c>
      <c r="J9" s="262">
        <v>263</v>
      </c>
      <c r="K9" s="262">
        <v>247</v>
      </c>
      <c r="L9" s="262">
        <v>181</v>
      </c>
      <c r="M9" s="262">
        <v>73</v>
      </c>
      <c r="N9" s="262">
        <v>83</v>
      </c>
      <c r="O9" s="262"/>
      <c r="P9" s="262"/>
    </row>
    <row r="10" spans="1:16" ht="19.8" thickBot="1" x14ac:dyDescent="0.35">
      <c r="A10" s="681"/>
      <c r="B10" s="262" t="s">
        <v>2033</v>
      </c>
      <c r="C10" s="262">
        <v>15</v>
      </c>
      <c r="D10" s="262">
        <v>7</v>
      </c>
      <c r="E10" s="82">
        <v>0</v>
      </c>
      <c r="F10" s="82">
        <v>0</v>
      </c>
      <c r="G10" s="82">
        <v>0</v>
      </c>
      <c r="H10" s="82">
        <v>0</v>
      </c>
      <c r="I10" s="82">
        <v>0</v>
      </c>
      <c r="J10" s="82">
        <v>0</v>
      </c>
      <c r="K10" s="82">
        <v>0</v>
      </c>
      <c r="L10" s="82">
        <v>0</v>
      </c>
      <c r="M10" s="82">
        <v>0</v>
      </c>
      <c r="N10" s="82">
        <v>0</v>
      </c>
      <c r="O10" s="82"/>
      <c r="P10" s="82"/>
    </row>
    <row r="11" spans="1:16" ht="15" thickBot="1" x14ac:dyDescent="0.35">
      <c r="A11" s="682"/>
      <c r="B11" s="264" t="s">
        <v>448</v>
      </c>
      <c r="C11" s="264">
        <v>2962</v>
      </c>
      <c r="D11" s="265">
        <v>3283</v>
      </c>
      <c r="E11" s="265">
        <v>1526</v>
      </c>
      <c r="F11" s="265">
        <v>2865</v>
      </c>
      <c r="G11" s="265">
        <v>2218</v>
      </c>
      <c r="H11" s="265">
        <v>3216</v>
      </c>
      <c r="I11" s="265">
        <v>2502</v>
      </c>
      <c r="J11" s="265">
        <v>3471</v>
      </c>
      <c r="K11" s="265">
        <v>2792</v>
      </c>
      <c r="L11" s="265">
        <v>2017</v>
      </c>
      <c r="M11" s="265">
        <v>1317</v>
      </c>
      <c r="N11" s="265">
        <v>2095</v>
      </c>
      <c r="O11" s="265"/>
      <c r="P11" s="265"/>
    </row>
    <row r="12" spans="1:16" ht="15" thickBot="1" x14ac:dyDescent="0.35">
      <c r="A12" s="680" t="s">
        <v>440</v>
      </c>
      <c r="B12" s="262" t="s">
        <v>457</v>
      </c>
      <c r="C12" s="82"/>
      <c r="D12" s="82"/>
      <c r="E12" s="82"/>
      <c r="F12" s="82"/>
      <c r="G12" s="262">
        <v>27</v>
      </c>
      <c r="H12" s="262">
        <v>290</v>
      </c>
      <c r="I12" s="262">
        <v>274</v>
      </c>
      <c r="J12" s="262">
        <v>615</v>
      </c>
      <c r="K12" s="262">
        <v>680</v>
      </c>
      <c r="L12" s="262">
        <v>305</v>
      </c>
      <c r="M12" s="262">
        <v>958</v>
      </c>
      <c r="N12" s="262">
        <v>1564</v>
      </c>
      <c r="O12" s="262"/>
      <c r="P12" s="262"/>
    </row>
    <row r="13" spans="1:16" ht="15" thickBot="1" x14ac:dyDescent="0.35">
      <c r="A13" s="681"/>
      <c r="B13" s="262" t="s">
        <v>456</v>
      </c>
      <c r="C13" s="262">
        <v>947</v>
      </c>
      <c r="D13" s="263">
        <v>1214</v>
      </c>
      <c r="E13" s="263">
        <v>1309</v>
      </c>
      <c r="F13" s="263">
        <v>1422</v>
      </c>
      <c r="G13" s="263">
        <v>1092</v>
      </c>
      <c r="H13" s="263">
        <v>1689</v>
      </c>
      <c r="I13" s="263">
        <v>1303</v>
      </c>
      <c r="J13" s="263">
        <v>1766</v>
      </c>
      <c r="K13" s="263">
        <v>1381</v>
      </c>
      <c r="L13" s="262">
        <v>939</v>
      </c>
      <c r="M13" s="262">
        <v>1309</v>
      </c>
      <c r="N13" s="262">
        <v>1934</v>
      </c>
      <c r="O13" s="262"/>
      <c r="P13" s="262"/>
    </row>
    <row r="14" spans="1:16" ht="15" thickBot="1" x14ac:dyDescent="0.35">
      <c r="A14" s="681"/>
      <c r="B14" s="262" t="s">
        <v>455</v>
      </c>
      <c r="C14" s="262">
        <v>12077</v>
      </c>
      <c r="D14" s="263">
        <v>10626</v>
      </c>
      <c r="E14" s="263">
        <v>10899</v>
      </c>
      <c r="F14" s="263">
        <v>10427</v>
      </c>
      <c r="G14" s="263">
        <v>10186</v>
      </c>
      <c r="H14" s="263">
        <v>11389</v>
      </c>
      <c r="I14" s="263">
        <v>10950</v>
      </c>
      <c r="J14" s="263">
        <v>13512</v>
      </c>
      <c r="K14" s="263">
        <v>11730</v>
      </c>
      <c r="L14" s="263">
        <v>7209</v>
      </c>
      <c r="M14" s="263">
        <v>10250</v>
      </c>
      <c r="N14" s="263">
        <v>12385</v>
      </c>
      <c r="O14" s="263"/>
      <c r="P14" s="263"/>
    </row>
    <row r="15" spans="1:16" ht="15" thickBot="1" x14ac:dyDescent="0.35">
      <c r="A15" s="681"/>
      <c r="B15" s="262" t="s">
        <v>454</v>
      </c>
      <c r="C15" s="262">
        <v>2770</v>
      </c>
      <c r="D15" s="263">
        <v>2239</v>
      </c>
      <c r="E15" s="263">
        <v>2137</v>
      </c>
      <c r="F15" s="263">
        <v>1935</v>
      </c>
      <c r="G15" s="263">
        <v>1730</v>
      </c>
      <c r="H15" s="263">
        <v>1705</v>
      </c>
      <c r="I15" s="263">
        <v>1546</v>
      </c>
      <c r="J15" s="263">
        <v>1804</v>
      </c>
      <c r="K15" s="263">
        <v>1602</v>
      </c>
      <c r="L15" s="262">
        <v>828</v>
      </c>
      <c r="M15" s="262">
        <v>1216</v>
      </c>
      <c r="N15" s="262">
        <v>1601</v>
      </c>
      <c r="O15" s="262"/>
      <c r="P15" s="262"/>
    </row>
    <row r="16" spans="1:16" ht="19.8" thickBot="1" x14ac:dyDescent="0.35">
      <c r="A16" s="681"/>
      <c r="B16" s="262" t="s">
        <v>2033</v>
      </c>
      <c r="C16" s="262">
        <v>305</v>
      </c>
      <c r="D16" s="262">
        <v>268</v>
      </c>
      <c r="E16" s="262">
        <v>350</v>
      </c>
      <c r="F16" s="262">
        <v>266</v>
      </c>
      <c r="G16" s="262">
        <v>252</v>
      </c>
      <c r="H16" s="262">
        <v>282</v>
      </c>
      <c r="I16" s="262">
        <v>225</v>
      </c>
      <c r="J16" s="262">
        <v>188</v>
      </c>
      <c r="K16" s="262">
        <v>193</v>
      </c>
      <c r="L16" s="262">
        <v>95</v>
      </c>
      <c r="M16" s="262">
        <v>166</v>
      </c>
      <c r="N16" s="262">
        <v>251</v>
      </c>
      <c r="O16" s="262"/>
      <c r="P16" s="262"/>
    </row>
    <row r="17" spans="1:16" ht="15" thickBot="1" x14ac:dyDescent="0.35">
      <c r="A17" s="682"/>
      <c r="B17" s="262" t="s">
        <v>440</v>
      </c>
      <c r="C17" s="264">
        <v>16099</v>
      </c>
      <c r="D17" s="265">
        <v>14347</v>
      </c>
      <c r="E17" s="265">
        <v>14695</v>
      </c>
      <c r="F17" s="265">
        <v>14050</v>
      </c>
      <c r="G17" s="265">
        <v>13287</v>
      </c>
      <c r="H17" s="265">
        <v>15355</v>
      </c>
      <c r="I17" s="265">
        <v>14298</v>
      </c>
      <c r="J17" s="265">
        <v>17885</v>
      </c>
      <c r="K17" s="265">
        <v>15586</v>
      </c>
      <c r="L17" s="265">
        <v>9376</v>
      </c>
      <c r="M17" s="265">
        <v>13899</v>
      </c>
      <c r="N17" s="265">
        <v>17735</v>
      </c>
      <c r="O17" s="265"/>
      <c r="P17" s="265"/>
    </row>
    <row r="18" spans="1:16" ht="15" thickBot="1" x14ac:dyDescent="0.35">
      <c r="A18" s="683" t="s">
        <v>466</v>
      </c>
      <c r="B18" s="683"/>
      <c r="C18" s="264">
        <v>19061</v>
      </c>
      <c r="D18" s="265">
        <v>17630</v>
      </c>
      <c r="E18" s="265">
        <v>16221</v>
      </c>
      <c r="F18" s="265">
        <v>16915</v>
      </c>
      <c r="G18" s="265">
        <v>15505</v>
      </c>
      <c r="H18" s="265">
        <v>18571</v>
      </c>
      <c r="I18" s="265">
        <v>16800</v>
      </c>
      <c r="J18" s="265">
        <v>21356</v>
      </c>
      <c r="K18" s="265">
        <v>18378</v>
      </c>
      <c r="L18" s="265">
        <v>11393</v>
      </c>
      <c r="M18" s="265">
        <v>15216</v>
      </c>
      <c r="N18" s="265">
        <v>19830</v>
      </c>
      <c r="O18" s="265"/>
      <c r="P18" s="265"/>
    </row>
  </sheetData>
  <mergeCells count="3">
    <mergeCell ref="A6:A11"/>
    <mergeCell ref="A12:A17"/>
    <mergeCell ref="A18:B18"/>
  </mergeCells>
  <pageMargins left="0.7" right="0.7" top="0.75" bottom="0.75" header="0.3" footer="0.3"/>
  <drawing r:id="rId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E4CCA-E5FE-4543-88AD-49C2435FA287}">
  <dimension ref="A1:I154"/>
  <sheetViews>
    <sheetView workbookViewId="0">
      <selection activeCell="B3" sqref="B3"/>
    </sheetView>
  </sheetViews>
  <sheetFormatPr baseColWidth="10" defaultColWidth="28.44140625" defaultRowHeight="14.4" x14ac:dyDescent="0.3"/>
  <cols>
    <col min="1" max="1" width="16.44140625" customWidth="1"/>
    <col min="2" max="2" width="11.44140625" customWidth="1"/>
    <col min="3" max="11" width="8.44140625" customWidth="1"/>
    <col min="12" max="12" width="5.44140625" customWidth="1"/>
  </cols>
  <sheetData>
    <row r="1" spans="1:9" x14ac:dyDescent="0.3">
      <c r="A1" t="s">
        <v>355</v>
      </c>
      <c r="B1">
        <v>215</v>
      </c>
    </row>
    <row r="2" spans="1:9" x14ac:dyDescent="0.3">
      <c r="A2" t="s">
        <v>5</v>
      </c>
      <c r="B2" t="s">
        <v>2034</v>
      </c>
    </row>
    <row r="4" spans="1:9" ht="15" thickBot="1" x14ac:dyDescent="0.35"/>
    <row r="5" spans="1:9" ht="24.6" thickBot="1" x14ac:dyDescent="0.35">
      <c r="A5" s="266"/>
      <c r="B5" s="266" t="s">
        <v>2035</v>
      </c>
      <c r="C5" s="266" t="s">
        <v>2036</v>
      </c>
      <c r="D5" s="266" t="s">
        <v>2037</v>
      </c>
      <c r="E5" s="266" t="s">
        <v>2038</v>
      </c>
      <c r="F5" s="266" t="s">
        <v>2039</v>
      </c>
      <c r="G5" s="266" t="s">
        <v>2040</v>
      </c>
      <c r="H5" s="266" t="s">
        <v>2041</v>
      </c>
      <c r="I5" s="266" t="s">
        <v>2042</v>
      </c>
    </row>
    <row r="6" spans="1:9" ht="15" thickBot="1" x14ac:dyDescent="0.35">
      <c r="A6" s="686" t="s">
        <v>2043</v>
      </c>
      <c r="B6" s="686"/>
      <c r="C6" s="686"/>
      <c r="D6" s="686"/>
      <c r="E6" s="686"/>
      <c r="F6" s="686"/>
      <c r="G6" s="686"/>
      <c r="H6" s="686"/>
      <c r="I6" s="686"/>
    </row>
    <row r="7" spans="1:9" ht="15" thickBot="1" x14ac:dyDescent="0.35">
      <c r="A7" s="684" t="s">
        <v>422</v>
      </c>
      <c r="B7" s="267" t="s">
        <v>448</v>
      </c>
      <c r="C7" s="267">
        <v>78</v>
      </c>
      <c r="D7" s="267">
        <v>23</v>
      </c>
      <c r="E7" s="267">
        <v>15</v>
      </c>
      <c r="F7" s="267">
        <v>8</v>
      </c>
      <c r="G7" s="267">
        <v>31</v>
      </c>
      <c r="H7" s="268">
        <v>0.65</v>
      </c>
      <c r="I7" s="268">
        <v>0.53</v>
      </c>
    </row>
    <row r="8" spans="1:9" ht="15" thickBot="1" x14ac:dyDescent="0.35">
      <c r="A8" s="685"/>
      <c r="B8" s="267" t="s">
        <v>440</v>
      </c>
      <c r="C8" s="267">
        <v>1001</v>
      </c>
      <c r="D8" s="267">
        <v>353</v>
      </c>
      <c r="E8" s="267">
        <v>298</v>
      </c>
      <c r="F8" s="267">
        <v>114</v>
      </c>
      <c r="G8" s="267">
        <v>312</v>
      </c>
      <c r="H8" s="268">
        <v>0.84</v>
      </c>
      <c r="I8" s="268">
        <v>0.38</v>
      </c>
    </row>
    <row r="9" spans="1:9" ht="15" thickBot="1" x14ac:dyDescent="0.35">
      <c r="A9" s="684" t="s">
        <v>423</v>
      </c>
      <c r="B9" s="267" t="s">
        <v>448</v>
      </c>
      <c r="C9" s="267">
        <v>67</v>
      </c>
      <c r="D9" s="267">
        <v>22</v>
      </c>
      <c r="E9" s="267">
        <v>6</v>
      </c>
      <c r="F9" s="267">
        <v>5</v>
      </c>
      <c r="G9" s="267">
        <v>27</v>
      </c>
      <c r="H9" s="268">
        <v>0.27</v>
      </c>
      <c r="I9" s="268">
        <v>0.83</v>
      </c>
    </row>
    <row r="10" spans="1:9" ht="15" thickBot="1" x14ac:dyDescent="0.35">
      <c r="A10" s="685"/>
      <c r="B10" s="267" t="s">
        <v>440</v>
      </c>
      <c r="C10" s="267">
        <v>953</v>
      </c>
      <c r="D10" s="267">
        <v>452</v>
      </c>
      <c r="E10" s="267">
        <v>325</v>
      </c>
      <c r="F10" s="267">
        <v>141</v>
      </c>
      <c r="G10" s="267">
        <v>355</v>
      </c>
      <c r="H10" s="268">
        <v>0.72</v>
      </c>
      <c r="I10" s="268">
        <v>0.43</v>
      </c>
    </row>
    <row r="11" spans="1:9" ht="15" thickBot="1" x14ac:dyDescent="0.35">
      <c r="A11" s="684" t="s">
        <v>424</v>
      </c>
      <c r="B11" s="267" t="s">
        <v>448</v>
      </c>
      <c r="C11" s="267">
        <v>0</v>
      </c>
      <c r="D11" s="267">
        <v>0</v>
      </c>
      <c r="E11" s="269">
        <v>0</v>
      </c>
      <c r="F11" s="269">
        <v>0</v>
      </c>
      <c r="G11" s="267">
        <v>13</v>
      </c>
      <c r="H11" s="268">
        <v>0</v>
      </c>
      <c r="I11" s="268">
        <v>0</v>
      </c>
    </row>
    <row r="12" spans="1:9" ht="15" thickBot="1" x14ac:dyDescent="0.35">
      <c r="A12" s="685"/>
      <c r="B12" s="267" t="s">
        <v>440</v>
      </c>
      <c r="C12" s="267">
        <v>739</v>
      </c>
      <c r="D12" s="267">
        <v>407</v>
      </c>
      <c r="E12" s="267">
        <v>345</v>
      </c>
      <c r="F12" s="267">
        <v>211</v>
      </c>
      <c r="G12" s="267">
        <v>434</v>
      </c>
      <c r="H12" s="268">
        <v>0.85</v>
      </c>
      <c r="I12" s="268">
        <v>0.61</v>
      </c>
    </row>
    <row r="13" spans="1:9" ht="15" thickBot="1" x14ac:dyDescent="0.35">
      <c r="A13" s="684" t="s">
        <v>425</v>
      </c>
      <c r="B13" s="267" t="s">
        <v>448</v>
      </c>
      <c r="C13" s="267">
        <v>1</v>
      </c>
      <c r="D13" s="267">
        <v>1</v>
      </c>
      <c r="E13" s="267">
        <v>1</v>
      </c>
      <c r="F13" s="267">
        <v>1</v>
      </c>
      <c r="G13" s="267">
        <v>13</v>
      </c>
      <c r="H13" s="268">
        <v>1</v>
      </c>
      <c r="I13" s="268">
        <v>1</v>
      </c>
    </row>
    <row r="14" spans="1:9" ht="15" thickBot="1" x14ac:dyDescent="0.35">
      <c r="A14" s="685"/>
      <c r="B14" s="267" t="s">
        <v>440</v>
      </c>
      <c r="C14" s="267">
        <v>1032</v>
      </c>
      <c r="D14" s="267">
        <v>547</v>
      </c>
      <c r="E14" s="267">
        <v>527</v>
      </c>
      <c r="F14" s="267">
        <v>125</v>
      </c>
      <c r="G14" s="267">
        <v>370</v>
      </c>
      <c r="H14" s="268">
        <v>0.96</v>
      </c>
      <c r="I14" s="268">
        <v>0.24</v>
      </c>
    </row>
    <row r="15" spans="1:9" ht="15" thickBot="1" x14ac:dyDescent="0.35">
      <c r="A15" s="684" t="s">
        <v>426</v>
      </c>
      <c r="B15" s="267" t="s">
        <v>448</v>
      </c>
      <c r="C15" s="267">
        <v>0</v>
      </c>
      <c r="D15" s="267">
        <v>0</v>
      </c>
      <c r="E15" s="269">
        <v>0</v>
      </c>
      <c r="F15" s="269">
        <v>0</v>
      </c>
      <c r="G15" s="267">
        <v>6</v>
      </c>
      <c r="H15" s="268">
        <v>0</v>
      </c>
      <c r="I15" s="268">
        <v>0</v>
      </c>
    </row>
    <row r="16" spans="1:9" ht="15" thickBot="1" x14ac:dyDescent="0.35">
      <c r="A16" s="685"/>
      <c r="B16" s="267" t="s">
        <v>440</v>
      </c>
      <c r="C16" s="267">
        <v>889</v>
      </c>
      <c r="D16" s="267">
        <v>267</v>
      </c>
      <c r="E16" s="267">
        <v>252</v>
      </c>
      <c r="F16" s="267">
        <v>120</v>
      </c>
      <c r="G16" s="267">
        <v>383</v>
      </c>
      <c r="H16" s="268">
        <v>0.94</v>
      </c>
      <c r="I16" s="268">
        <v>0.48</v>
      </c>
    </row>
    <row r="17" spans="1:9" ht="15" thickBot="1" x14ac:dyDescent="0.35">
      <c r="A17" s="684" t="s">
        <v>427</v>
      </c>
      <c r="B17" s="267" t="s">
        <v>448</v>
      </c>
      <c r="C17" s="267">
        <v>0</v>
      </c>
      <c r="D17" s="267">
        <v>0</v>
      </c>
      <c r="E17" s="269">
        <v>0</v>
      </c>
      <c r="F17" s="269">
        <v>0</v>
      </c>
      <c r="G17" s="267">
        <v>5</v>
      </c>
      <c r="H17" s="268">
        <v>0</v>
      </c>
      <c r="I17" s="268">
        <v>0</v>
      </c>
    </row>
    <row r="18" spans="1:9" ht="15" thickBot="1" x14ac:dyDescent="0.35">
      <c r="A18" s="685"/>
      <c r="B18" s="267" t="s">
        <v>440</v>
      </c>
      <c r="C18" s="267">
        <v>715</v>
      </c>
      <c r="D18" s="267">
        <v>314</v>
      </c>
      <c r="E18" s="267">
        <v>291</v>
      </c>
      <c r="F18" s="267">
        <v>156</v>
      </c>
      <c r="G18" s="267">
        <v>427</v>
      </c>
      <c r="H18" s="268">
        <v>0.93</v>
      </c>
      <c r="I18" s="268">
        <v>0.54</v>
      </c>
    </row>
    <row r="19" spans="1:9" ht="15" thickBot="1" x14ac:dyDescent="0.35">
      <c r="A19" s="684" t="s">
        <v>428</v>
      </c>
      <c r="B19" s="267" t="s">
        <v>448</v>
      </c>
      <c r="C19" s="267">
        <v>0</v>
      </c>
      <c r="D19" s="267">
        <v>0</v>
      </c>
      <c r="E19" s="269">
        <v>0</v>
      </c>
      <c r="F19" s="269">
        <v>0</v>
      </c>
      <c r="G19" s="267">
        <v>3</v>
      </c>
      <c r="H19" s="268">
        <v>0</v>
      </c>
      <c r="I19" s="268">
        <v>0</v>
      </c>
    </row>
    <row r="20" spans="1:9" ht="15" thickBot="1" x14ac:dyDescent="0.35">
      <c r="A20" s="685"/>
      <c r="B20" s="267" t="s">
        <v>440</v>
      </c>
      <c r="C20" s="267">
        <v>634</v>
      </c>
      <c r="D20" s="267">
        <v>245</v>
      </c>
      <c r="E20" s="267">
        <v>230</v>
      </c>
      <c r="F20" s="267">
        <v>114</v>
      </c>
      <c r="G20" s="267">
        <v>401</v>
      </c>
      <c r="H20" s="268">
        <v>0.94</v>
      </c>
      <c r="I20" s="268">
        <v>0.5</v>
      </c>
    </row>
    <row r="21" spans="1:9" ht="15" thickBot="1" x14ac:dyDescent="0.35">
      <c r="A21" s="684" t="s">
        <v>429</v>
      </c>
      <c r="B21" s="267" t="s">
        <v>448</v>
      </c>
      <c r="C21" s="267">
        <v>0</v>
      </c>
      <c r="D21" s="267">
        <v>0</v>
      </c>
      <c r="E21" s="269">
        <v>0</v>
      </c>
      <c r="F21" s="269">
        <v>0</v>
      </c>
      <c r="G21" s="267">
        <v>2</v>
      </c>
      <c r="H21" s="268">
        <v>0</v>
      </c>
      <c r="I21" s="268">
        <v>0</v>
      </c>
    </row>
    <row r="22" spans="1:9" ht="15" thickBot="1" x14ac:dyDescent="0.35">
      <c r="A22" s="685"/>
      <c r="B22" s="267" t="s">
        <v>440</v>
      </c>
      <c r="C22" s="267">
        <v>507</v>
      </c>
      <c r="D22" s="267">
        <v>210</v>
      </c>
      <c r="E22" s="267">
        <v>187</v>
      </c>
      <c r="F22" s="267">
        <v>95</v>
      </c>
      <c r="G22" s="267">
        <v>344</v>
      </c>
      <c r="H22" s="268">
        <v>0.89</v>
      </c>
      <c r="I22" s="268">
        <v>0.51</v>
      </c>
    </row>
    <row r="23" spans="1:9" ht="15" thickBot="1" x14ac:dyDescent="0.35">
      <c r="A23" s="684" t="s">
        <v>430</v>
      </c>
      <c r="B23" s="267" t="s">
        <v>448</v>
      </c>
      <c r="C23" s="267">
        <v>116</v>
      </c>
      <c r="D23" s="267">
        <v>35</v>
      </c>
      <c r="E23" s="267">
        <v>27</v>
      </c>
      <c r="F23" s="267">
        <v>0</v>
      </c>
      <c r="G23" s="267">
        <v>2</v>
      </c>
      <c r="H23" s="268">
        <v>0.77</v>
      </c>
      <c r="I23" s="268">
        <v>0</v>
      </c>
    </row>
    <row r="24" spans="1:9" ht="15" thickBot="1" x14ac:dyDescent="0.35">
      <c r="A24" s="685"/>
      <c r="B24" s="267" t="s">
        <v>440</v>
      </c>
      <c r="C24" s="267">
        <v>473</v>
      </c>
      <c r="D24" s="267">
        <v>214</v>
      </c>
      <c r="E24" s="267">
        <v>197</v>
      </c>
      <c r="F24" s="267">
        <v>99</v>
      </c>
      <c r="G24" s="267">
        <v>353</v>
      </c>
      <c r="H24" s="268">
        <v>0.92</v>
      </c>
      <c r="I24" s="268">
        <v>0.5</v>
      </c>
    </row>
    <row r="25" spans="1:9" ht="15" thickBot="1" x14ac:dyDescent="0.35">
      <c r="A25" s="684" t="s">
        <v>358</v>
      </c>
      <c r="B25" s="267" t="s">
        <v>448</v>
      </c>
      <c r="C25" s="267">
        <v>0</v>
      </c>
      <c r="D25" s="267">
        <v>0</v>
      </c>
      <c r="E25" s="269">
        <v>0</v>
      </c>
      <c r="F25" s="269">
        <v>0</v>
      </c>
      <c r="G25" s="267">
        <v>1</v>
      </c>
      <c r="H25" s="268">
        <v>0</v>
      </c>
      <c r="I25" s="268">
        <v>0</v>
      </c>
    </row>
    <row r="26" spans="1:9" ht="15" thickBot="1" x14ac:dyDescent="0.35">
      <c r="A26" s="685"/>
      <c r="B26" s="267" t="s">
        <v>440</v>
      </c>
      <c r="C26" s="267">
        <v>418</v>
      </c>
      <c r="D26" s="267">
        <v>232</v>
      </c>
      <c r="E26" s="267">
        <v>211</v>
      </c>
      <c r="F26" s="267">
        <v>102</v>
      </c>
      <c r="G26" s="267">
        <v>328</v>
      </c>
      <c r="H26" s="268">
        <v>0.91</v>
      </c>
      <c r="I26" s="268">
        <v>0.48</v>
      </c>
    </row>
    <row r="27" spans="1:9" ht="15" thickBot="1" x14ac:dyDescent="0.35">
      <c r="A27" s="684" t="s">
        <v>359</v>
      </c>
      <c r="B27" s="267" t="s">
        <v>448</v>
      </c>
      <c r="C27" s="267">
        <v>0</v>
      </c>
      <c r="D27" s="267">
        <v>0</v>
      </c>
      <c r="E27" s="269">
        <v>0</v>
      </c>
      <c r="F27" s="269">
        <v>0</v>
      </c>
      <c r="G27" s="267">
        <v>0</v>
      </c>
      <c r="H27" s="268">
        <f t="shared" ref="H27:I30" si="0">IFERROR(E27/D27,0)</f>
        <v>0</v>
      </c>
      <c r="I27" s="268">
        <f t="shared" si="0"/>
        <v>0</v>
      </c>
    </row>
    <row r="28" spans="1:9" x14ac:dyDescent="0.3">
      <c r="A28" s="685"/>
      <c r="B28" s="267" t="s">
        <v>440</v>
      </c>
      <c r="C28" s="267">
        <v>338</v>
      </c>
      <c r="D28" s="267">
        <v>185</v>
      </c>
      <c r="E28" s="267">
        <v>166</v>
      </c>
      <c r="F28" s="267">
        <v>82</v>
      </c>
      <c r="G28" s="267">
        <v>291</v>
      </c>
      <c r="H28" s="268">
        <f t="shared" si="0"/>
        <v>0.89729729729729735</v>
      </c>
      <c r="I28" s="268">
        <f t="shared" si="0"/>
        <v>0.49397590361445781</v>
      </c>
    </row>
    <row r="29" spans="1:9" x14ac:dyDescent="0.3">
      <c r="A29" s="684" t="s">
        <v>360</v>
      </c>
      <c r="B29" s="267" t="s">
        <v>448</v>
      </c>
      <c r="C29" s="267">
        <v>0</v>
      </c>
      <c r="D29" s="267">
        <v>0</v>
      </c>
      <c r="E29" s="269">
        <v>0</v>
      </c>
      <c r="F29" s="269">
        <v>0</v>
      </c>
      <c r="G29" s="267">
        <v>0</v>
      </c>
      <c r="H29" s="268">
        <f t="shared" si="0"/>
        <v>0</v>
      </c>
      <c r="I29" s="268">
        <f t="shared" si="0"/>
        <v>0</v>
      </c>
    </row>
    <row r="30" spans="1:9" ht="15" thickBot="1" x14ac:dyDescent="0.35">
      <c r="A30" s="685"/>
      <c r="B30" s="267" t="s">
        <v>440</v>
      </c>
      <c r="C30" s="267">
        <v>503</v>
      </c>
      <c r="D30" s="267">
        <v>283</v>
      </c>
      <c r="E30" s="267">
        <v>251</v>
      </c>
      <c r="F30" s="267">
        <v>144</v>
      </c>
      <c r="G30" s="267">
        <v>355</v>
      </c>
      <c r="H30" s="268">
        <f t="shared" si="0"/>
        <v>0.88692579505300351</v>
      </c>
      <c r="I30" s="268">
        <f t="shared" si="0"/>
        <v>0.57370517928286857</v>
      </c>
    </row>
    <row r="31" spans="1:9" ht="15" thickBot="1" x14ac:dyDescent="0.35">
      <c r="A31" s="684" t="s">
        <v>361</v>
      </c>
      <c r="B31" s="267" t="s">
        <v>448</v>
      </c>
      <c r="C31" s="267"/>
      <c r="D31" s="267"/>
      <c r="E31" s="269"/>
      <c r="F31" s="269"/>
      <c r="G31" s="267"/>
      <c r="H31" s="268"/>
      <c r="I31" s="268"/>
    </row>
    <row r="32" spans="1:9" ht="15" thickBot="1" x14ac:dyDescent="0.35">
      <c r="A32" s="685"/>
      <c r="B32" s="267" t="s">
        <v>440</v>
      </c>
      <c r="C32" s="267"/>
      <c r="D32" s="267"/>
      <c r="E32" s="267"/>
      <c r="F32" s="267"/>
      <c r="G32" s="267"/>
      <c r="H32" s="268"/>
      <c r="I32" s="268"/>
    </row>
    <row r="33" spans="1:9" ht="15" thickBot="1" x14ac:dyDescent="0.35">
      <c r="A33" s="684" t="s">
        <v>362</v>
      </c>
      <c r="B33" s="267" t="s">
        <v>448</v>
      </c>
      <c r="C33" s="267"/>
      <c r="D33" s="267"/>
      <c r="E33" s="269"/>
      <c r="F33" s="269"/>
      <c r="G33" s="267"/>
      <c r="H33" s="268"/>
      <c r="I33" s="268"/>
    </row>
    <row r="34" spans="1:9" ht="15" thickBot="1" x14ac:dyDescent="0.35">
      <c r="A34" s="685"/>
      <c r="B34" s="267" t="s">
        <v>440</v>
      </c>
      <c r="C34" s="267"/>
      <c r="D34" s="267"/>
      <c r="E34" s="267"/>
      <c r="F34" s="267"/>
      <c r="G34" s="267"/>
      <c r="H34" s="268"/>
      <c r="I34" s="268"/>
    </row>
    <row r="35" spans="1:9" ht="24.6" thickBot="1" x14ac:dyDescent="0.35">
      <c r="A35" s="270"/>
      <c r="B35" s="270" t="s">
        <v>2035</v>
      </c>
      <c r="C35" s="270" t="s">
        <v>2036</v>
      </c>
      <c r="D35" s="270" t="s">
        <v>2037</v>
      </c>
      <c r="E35" s="270" t="s">
        <v>2038</v>
      </c>
      <c r="F35" s="270" t="s">
        <v>2044</v>
      </c>
      <c r="G35" s="270" t="s">
        <v>2040</v>
      </c>
      <c r="H35" s="270" t="s">
        <v>2041</v>
      </c>
      <c r="I35" s="270" t="s">
        <v>2042</v>
      </c>
    </row>
    <row r="36" spans="1:9" ht="15" thickBot="1" x14ac:dyDescent="0.35">
      <c r="A36" s="687" t="s">
        <v>454</v>
      </c>
      <c r="B36" s="687"/>
      <c r="C36" s="687"/>
      <c r="D36" s="687"/>
      <c r="E36" s="687"/>
      <c r="F36" s="687"/>
      <c r="G36" s="687"/>
      <c r="H36" s="687"/>
      <c r="I36" s="687"/>
    </row>
    <row r="37" spans="1:9" ht="15" thickBot="1" x14ac:dyDescent="0.35">
      <c r="A37" s="684" t="s">
        <v>422</v>
      </c>
      <c r="B37" s="267" t="s">
        <v>448</v>
      </c>
      <c r="C37" s="267">
        <v>336</v>
      </c>
      <c r="D37" s="267">
        <v>122</v>
      </c>
      <c r="E37" s="267">
        <v>81</v>
      </c>
      <c r="F37" s="267">
        <v>48</v>
      </c>
      <c r="G37" s="267">
        <v>392</v>
      </c>
      <c r="H37" s="268">
        <v>0.66</v>
      </c>
      <c r="I37" s="268">
        <v>0.59</v>
      </c>
    </row>
    <row r="38" spans="1:9" ht="15" thickBot="1" x14ac:dyDescent="0.35">
      <c r="A38" s="685"/>
      <c r="B38" s="267" t="s">
        <v>440</v>
      </c>
      <c r="C38" s="267">
        <v>6435</v>
      </c>
      <c r="D38" s="267">
        <v>3023</v>
      </c>
      <c r="E38" s="267">
        <v>2676</v>
      </c>
      <c r="F38" s="267">
        <v>1359</v>
      </c>
      <c r="G38" s="267">
        <v>5405</v>
      </c>
      <c r="H38" s="268">
        <v>0.89</v>
      </c>
      <c r="I38" s="268">
        <v>0.51</v>
      </c>
    </row>
    <row r="39" spans="1:9" ht="15" thickBot="1" x14ac:dyDescent="0.35">
      <c r="A39" s="684" t="s">
        <v>423</v>
      </c>
      <c r="B39" s="267" t="s">
        <v>448</v>
      </c>
      <c r="C39" s="267">
        <v>344</v>
      </c>
      <c r="D39" s="267">
        <v>191</v>
      </c>
      <c r="E39" s="267">
        <v>116</v>
      </c>
      <c r="F39" s="267">
        <v>77</v>
      </c>
      <c r="G39" s="267">
        <v>369</v>
      </c>
      <c r="H39" s="268">
        <v>0.61</v>
      </c>
      <c r="I39" s="268">
        <v>0.66</v>
      </c>
    </row>
    <row r="40" spans="1:9" ht="15" thickBot="1" x14ac:dyDescent="0.35">
      <c r="A40" s="685"/>
      <c r="B40" s="267" t="s">
        <v>440</v>
      </c>
      <c r="C40" s="267">
        <v>5874</v>
      </c>
      <c r="D40" s="267">
        <v>3252</v>
      </c>
      <c r="E40" s="267">
        <v>2421</v>
      </c>
      <c r="F40" s="267">
        <v>1316</v>
      </c>
      <c r="G40" s="267">
        <v>5544</v>
      </c>
      <c r="H40" s="268">
        <v>0.74</v>
      </c>
      <c r="I40" s="268">
        <v>0.54</v>
      </c>
    </row>
    <row r="41" spans="1:9" ht="15" thickBot="1" x14ac:dyDescent="0.35">
      <c r="A41" s="684" t="s">
        <v>424</v>
      </c>
      <c r="B41" s="267" t="s">
        <v>448</v>
      </c>
      <c r="C41" s="267">
        <v>114</v>
      </c>
      <c r="D41" s="267">
        <v>52</v>
      </c>
      <c r="E41" s="267">
        <v>22</v>
      </c>
      <c r="F41" s="267">
        <v>15</v>
      </c>
      <c r="G41" s="267">
        <v>291</v>
      </c>
      <c r="H41" s="268">
        <v>0.42</v>
      </c>
      <c r="I41" s="268">
        <v>0.68</v>
      </c>
    </row>
    <row r="42" spans="1:9" ht="15" thickBot="1" x14ac:dyDescent="0.35">
      <c r="A42" s="685"/>
      <c r="B42" s="267" t="s">
        <v>440</v>
      </c>
      <c r="C42" s="267">
        <v>3992</v>
      </c>
      <c r="D42" s="267">
        <v>2404</v>
      </c>
      <c r="E42" s="267">
        <v>2053</v>
      </c>
      <c r="F42" s="267">
        <v>1291</v>
      </c>
      <c r="G42" s="267">
        <v>5448</v>
      </c>
      <c r="H42" s="268">
        <v>0.85</v>
      </c>
      <c r="I42" s="268">
        <v>0.63</v>
      </c>
    </row>
    <row r="43" spans="1:9" ht="15" thickBot="1" x14ac:dyDescent="0.35">
      <c r="A43" s="684" t="s">
        <v>425</v>
      </c>
      <c r="B43" s="267" t="s">
        <v>448</v>
      </c>
      <c r="C43" s="267">
        <v>298</v>
      </c>
      <c r="D43" s="267">
        <v>151</v>
      </c>
      <c r="E43" s="267">
        <v>142</v>
      </c>
      <c r="F43" s="267">
        <v>37</v>
      </c>
      <c r="G43" s="267">
        <v>275</v>
      </c>
      <c r="H43" s="268">
        <v>0.94</v>
      </c>
      <c r="I43" s="268">
        <v>0.26</v>
      </c>
    </row>
    <row r="44" spans="1:9" ht="15" thickBot="1" x14ac:dyDescent="0.35">
      <c r="A44" s="685"/>
      <c r="B44" s="267" t="s">
        <v>440</v>
      </c>
      <c r="C44" s="267">
        <v>7714</v>
      </c>
      <c r="D44" s="267">
        <v>4221</v>
      </c>
      <c r="E44" s="267">
        <v>4096</v>
      </c>
      <c r="F44" s="267">
        <v>1069</v>
      </c>
      <c r="G44" s="267">
        <v>5371</v>
      </c>
      <c r="H44" s="268">
        <v>0.97</v>
      </c>
      <c r="I44" s="268">
        <v>0.26</v>
      </c>
    </row>
    <row r="45" spans="1:9" ht="15" thickBot="1" x14ac:dyDescent="0.35">
      <c r="A45" s="684" t="s">
        <v>426</v>
      </c>
      <c r="B45" s="267" t="s">
        <v>448</v>
      </c>
      <c r="C45" s="267">
        <v>170</v>
      </c>
      <c r="D45" s="267">
        <v>74</v>
      </c>
      <c r="E45" s="267">
        <v>71</v>
      </c>
      <c r="F45" s="267">
        <v>44</v>
      </c>
      <c r="G45" s="267">
        <v>263</v>
      </c>
      <c r="H45" s="268">
        <v>0.96</v>
      </c>
      <c r="I45" s="268">
        <v>0.62</v>
      </c>
    </row>
    <row r="46" spans="1:9" ht="15" thickBot="1" x14ac:dyDescent="0.35">
      <c r="A46" s="685"/>
      <c r="B46" s="267" t="s">
        <v>440</v>
      </c>
      <c r="C46" s="267">
        <v>4914</v>
      </c>
      <c r="D46" s="267">
        <v>1870</v>
      </c>
      <c r="E46" s="267">
        <v>1748</v>
      </c>
      <c r="F46" s="267">
        <v>908</v>
      </c>
      <c r="G46" s="267">
        <v>5106</v>
      </c>
      <c r="H46" s="268">
        <v>0.93</v>
      </c>
      <c r="I46" s="268">
        <v>0.52</v>
      </c>
    </row>
    <row r="47" spans="1:9" ht="15" thickBot="1" x14ac:dyDescent="0.35">
      <c r="A47" s="684" t="s">
        <v>427</v>
      </c>
      <c r="B47" s="267" t="s">
        <v>448</v>
      </c>
      <c r="C47" s="267">
        <v>230</v>
      </c>
      <c r="D47" s="267">
        <v>110</v>
      </c>
      <c r="E47" s="267">
        <v>101</v>
      </c>
      <c r="F47" s="267">
        <v>61</v>
      </c>
      <c r="G47" s="267">
        <v>249</v>
      </c>
      <c r="H47" s="268">
        <v>0.92</v>
      </c>
      <c r="I47" s="268">
        <v>0.6</v>
      </c>
    </row>
    <row r="48" spans="1:9" ht="15" thickBot="1" x14ac:dyDescent="0.35">
      <c r="A48" s="685"/>
      <c r="B48" s="267" t="s">
        <v>440</v>
      </c>
      <c r="C48" s="267">
        <v>4332</v>
      </c>
      <c r="D48" s="267">
        <v>1911</v>
      </c>
      <c r="E48" s="267">
        <v>1813</v>
      </c>
      <c r="F48" s="267">
        <v>963</v>
      </c>
      <c r="G48" s="267">
        <v>5025</v>
      </c>
      <c r="H48" s="268">
        <v>0.95</v>
      </c>
      <c r="I48" s="268">
        <v>0.53</v>
      </c>
    </row>
    <row r="49" spans="1:9" ht="15" thickBot="1" x14ac:dyDescent="0.35">
      <c r="A49" s="684" t="s">
        <v>428</v>
      </c>
      <c r="B49" s="267" t="s">
        <v>448</v>
      </c>
      <c r="C49" s="267">
        <v>276</v>
      </c>
      <c r="D49" s="267">
        <v>169</v>
      </c>
      <c r="E49" s="267">
        <v>159</v>
      </c>
      <c r="F49" s="267">
        <v>112</v>
      </c>
      <c r="G49" s="267">
        <v>320</v>
      </c>
      <c r="H49" s="268">
        <v>0.94</v>
      </c>
      <c r="I49" s="268">
        <v>0.7</v>
      </c>
    </row>
    <row r="50" spans="1:9" ht="15" thickBot="1" x14ac:dyDescent="0.35">
      <c r="A50" s="685"/>
      <c r="B50" s="267" t="s">
        <v>440</v>
      </c>
      <c r="C50" s="267">
        <v>3438</v>
      </c>
      <c r="D50" s="267">
        <v>1606</v>
      </c>
      <c r="E50" s="267">
        <v>1518</v>
      </c>
      <c r="F50" s="267">
        <v>895</v>
      </c>
      <c r="G50" s="267">
        <v>4869</v>
      </c>
      <c r="H50" s="268">
        <v>0.95</v>
      </c>
      <c r="I50" s="268">
        <v>0.59</v>
      </c>
    </row>
    <row r="51" spans="1:9" ht="15" thickBot="1" x14ac:dyDescent="0.35">
      <c r="A51" s="684" t="s">
        <v>429</v>
      </c>
      <c r="B51" s="267" t="s">
        <v>448</v>
      </c>
      <c r="C51" s="267">
        <v>280</v>
      </c>
      <c r="D51" s="267">
        <v>158</v>
      </c>
      <c r="E51" s="267">
        <v>149</v>
      </c>
      <c r="F51" s="267">
        <v>108</v>
      </c>
      <c r="G51" s="267">
        <v>385</v>
      </c>
      <c r="H51" s="268">
        <v>0.94</v>
      </c>
      <c r="I51" s="268">
        <v>0.72</v>
      </c>
    </row>
    <row r="52" spans="1:9" ht="15" thickBot="1" x14ac:dyDescent="0.35">
      <c r="A52" s="685"/>
      <c r="B52" s="267" t="s">
        <v>440</v>
      </c>
      <c r="C52" s="267">
        <v>3500</v>
      </c>
      <c r="D52" s="267">
        <v>1892</v>
      </c>
      <c r="E52" s="267">
        <v>1769</v>
      </c>
      <c r="F52" s="267">
        <v>1020</v>
      </c>
      <c r="G52" s="267">
        <v>4702</v>
      </c>
      <c r="H52" s="268">
        <v>0.93</v>
      </c>
      <c r="I52" s="268">
        <v>0.57999999999999996</v>
      </c>
    </row>
    <row r="53" spans="1:9" ht="15" thickBot="1" x14ac:dyDescent="0.35">
      <c r="A53" s="684" t="s">
        <v>430</v>
      </c>
      <c r="B53" s="267" t="s">
        <v>448</v>
      </c>
      <c r="C53" s="267">
        <v>1988</v>
      </c>
      <c r="D53" s="267">
        <v>1046</v>
      </c>
      <c r="E53" s="267">
        <v>936</v>
      </c>
      <c r="F53" s="267">
        <v>122</v>
      </c>
      <c r="G53" s="267">
        <v>423</v>
      </c>
      <c r="H53" s="268">
        <v>0.89</v>
      </c>
      <c r="I53" s="268">
        <v>0.13</v>
      </c>
    </row>
    <row r="54" spans="1:9" ht="15" thickBot="1" x14ac:dyDescent="0.35">
      <c r="A54" s="685"/>
      <c r="B54" s="267" t="s">
        <v>440</v>
      </c>
      <c r="C54" s="267">
        <v>3084</v>
      </c>
      <c r="D54" s="267">
        <v>1675</v>
      </c>
      <c r="E54" s="267">
        <v>1577</v>
      </c>
      <c r="F54" s="267">
        <v>954</v>
      </c>
      <c r="G54" s="267">
        <v>4550</v>
      </c>
      <c r="H54" s="268">
        <v>0.94</v>
      </c>
      <c r="I54" s="268">
        <v>0.6</v>
      </c>
    </row>
    <row r="55" spans="1:9" ht="15" thickBot="1" x14ac:dyDescent="0.35">
      <c r="A55" s="684" t="s">
        <v>358</v>
      </c>
      <c r="B55" s="267" t="s">
        <v>448</v>
      </c>
      <c r="C55" s="267">
        <v>230</v>
      </c>
      <c r="D55" s="267">
        <v>134</v>
      </c>
      <c r="E55" s="267">
        <v>121</v>
      </c>
      <c r="F55" s="267">
        <v>94</v>
      </c>
      <c r="G55" s="267">
        <v>458</v>
      </c>
      <c r="H55" s="268">
        <v>0.9</v>
      </c>
      <c r="I55" s="268">
        <v>0.78</v>
      </c>
    </row>
    <row r="56" spans="1:9" x14ac:dyDescent="0.3">
      <c r="A56" s="685"/>
      <c r="B56" s="267" t="s">
        <v>440</v>
      </c>
      <c r="C56" s="267">
        <v>2692</v>
      </c>
      <c r="D56" s="267">
        <v>1681</v>
      </c>
      <c r="E56" s="267">
        <v>1563</v>
      </c>
      <c r="F56" s="267">
        <v>992</v>
      </c>
      <c r="G56" s="267">
        <v>4401</v>
      </c>
      <c r="H56" s="268">
        <v>0.93</v>
      </c>
      <c r="I56" s="268">
        <v>0.63</v>
      </c>
    </row>
    <row r="57" spans="1:9" x14ac:dyDescent="0.3">
      <c r="A57" s="684" t="s">
        <v>359</v>
      </c>
      <c r="B57" s="267" t="s">
        <v>448</v>
      </c>
      <c r="C57" s="267">
        <v>154</v>
      </c>
      <c r="D57" s="267">
        <v>79</v>
      </c>
      <c r="E57" s="267">
        <v>73</v>
      </c>
      <c r="F57" s="267">
        <v>55</v>
      </c>
      <c r="G57" s="267">
        <v>442</v>
      </c>
      <c r="H57" s="268">
        <f t="shared" ref="H57:I60" si="1">IFERROR(E57/D57,0)</f>
        <v>0.92405063291139244</v>
      </c>
      <c r="I57" s="268">
        <f t="shared" si="1"/>
        <v>0.75342465753424659</v>
      </c>
    </row>
    <row r="58" spans="1:9" x14ac:dyDescent="0.3">
      <c r="A58" s="685"/>
      <c r="B58" s="267" t="s">
        <v>440</v>
      </c>
      <c r="C58" s="267">
        <v>2200</v>
      </c>
      <c r="D58" s="267">
        <v>1326</v>
      </c>
      <c r="E58" s="267">
        <v>1216</v>
      </c>
      <c r="F58" s="267">
        <v>748</v>
      </c>
      <c r="G58" s="267">
        <v>4079</v>
      </c>
      <c r="H58" s="268">
        <f t="shared" si="1"/>
        <v>0.9170437405731523</v>
      </c>
      <c r="I58" s="268">
        <f t="shared" si="1"/>
        <v>0.61513157894736847</v>
      </c>
    </row>
    <row r="59" spans="1:9" x14ac:dyDescent="0.3">
      <c r="A59" s="684" t="s">
        <v>360</v>
      </c>
      <c r="B59" s="267" t="s">
        <v>448</v>
      </c>
      <c r="C59" s="267">
        <v>199</v>
      </c>
      <c r="D59" s="267">
        <v>96</v>
      </c>
      <c r="E59" s="267">
        <v>83</v>
      </c>
      <c r="F59" s="267">
        <v>47</v>
      </c>
      <c r="G59" s="267">
        <v>435</v>
      </c>
      <c r="H59" s="268">
        <f t="shared" si="1"/>
        <v>0.86458333333333337</v>
      </c>
      <c r="I59" s="268">
        <f t="shared" si="1"/>
        <v>0.5662650602409639</v>
      </c>
    </row>
    <row r="60" spans="1:9" ht="15" thickBot="1" x14ac:dyDescent="0.35">
      <c r="A60" s="685"/>
      <c r="B60" s="267" t="s">
        <v>440</v>
      </c>
      <c r="C60" s="267">
        <v>2642</v>
      </c>
      <c r="D60" s="267">
        <v>1725</v>
      </c>
      <c r="E60" s="267">
        <v>1601</v>
      </c>
      <c r="F60" s="267">
        <v>1001</v>
      </c>
      <c r="G60" s="267">
        <v>4311</v>
      </c>
      <c r="H60" s="268">
        <f t="shared" si="1"/>
        <v>0.92811594202898551</v>
      </c>
      <c r="I60" s="268">
        <f t="shared" si="1"/>
        <v>0.62523422860712052</v>
      </c>
    </row>
    <row r="61" spans="1:9" ht="15" thickBot="1" x14ac:dyDescent="0.35">
      <c r="A61" s="684" t="s">
        <v>361</v>
      </c>
      <c r="B61" s="267" t="s">
        <v>448</v>
      </c>
      <c r="C61" s="267"/>
      <c r="D61" s="267"/>
      <c r="E61" s="267"/>
      <c r="F61" s="267"/>
      <c r="G61" s="267"/>
      <c r="H61" s="268"/>
      <c r="I61" s="268"/>
    </row>
    <row r="62" spans="1:9" ht="15" thickBot="1" x14ac:dyDescent="0.35">
      <c r="A62" s="685"/>
      <c r="B62" s="267" t="s">
        <v>440</v>
      </c>
      <c r="C62" s="267"/>
      <c r="D62" s="267"/>
      <c r="E62" s="267"/>
      <c r="F62" s="267"/>
      <c r="G62" s="267"/>
      <c r="H62" s="268"/>
      <c r="I62" s="268"/>
    </row>
    <row r="63" spans="1:9" ht="15" thickBot="1" x14ac:dyDescent="0.35">
      <c r="A63" s="684" t="s">
        <v>362</v>
      </c>
      <c r="B63" s="267" t="s">
        <v>448</v>
      </c>
      <c r="C63" s="267"/>
      <c r="D63" s="267"/>
      <c r="E63" s="267"/>
      <c r="F63" s="267"/>
      <c r="G63" s="267"/>
      <c r="H63" s="268"/>
      <c r="I63" s="268"/>
    </row>
    <row r="64" spans="1:9" ht="15" thickBot="1" x14ac:dyDescent="0.35">
      <c r="A64" s="685"/>
      <c r="B64" s="267" t="s">
        <v>440</v>
      </c>
      <c r="C64" s="267"/>
      <c r="D64" s="267"/>
      <c r="E64" s="267"/>
      <c r="F64" s="267"/>
      <c r="G64" s="267"/>
      <c r="H64" s="268"/>
      <c r="I64" s="268"/>
    </row>
    <row r="65" spans="1:9" ht="24.6" thickBot="1" x14ac:dyDescent="0.35">
      <c r="A65" s="270"/>
      <c r="B65" s="270" t="s">
        <v>2035</v>
      </c>
      <c r="C65" s="270" t="s">
        <v>2036</v>
      </c>
      <c r="D65" s="270" t="s">
        <v>2037</v>
      </c>
      <c r="E65" s="270" t="s">
        <v>2038</v>
      </c>
      <c r="F65" s="270" t="s">
        <v>2044</v>
      </c>
      <c r="G65" s="270" t="s">
        <v>2040</v>
      </c>
      <c r="H65" s="270" t="s">
        <v>2041</v>
      </c>
      <c r="I65" s="270" t="s">
        <v>2042</v>
      </c>
    </row>
    <row r="66" spans="1:9" ht="15" thickBot="1" x14ac:dyDescent="0.35">
      <c r="A66" s="687" t="s">
        <v>455</v>
      </c>
      <c r="B66" s="687"/>
      <c r="C66" s="687"/>
      <c r="D66" s="687"/>
      <c r="E66" s="687"/>
      <c r="F66" s="687"/>
      <c r="G66" s="687"/>
      <c r="H66" s="687"/>
      <c r="I66" s="687"/>
    </row>
    <row r="67" spans="1:9" ht="15" thickBot="1" x14ac:dyDescent="0.35">
      <c r="A67" s="684" t="s">
        <v>422</v>
      </c>
      <c r="B67" s="267" t="s">
        <v>448</v>
      </c>
      <c r="C67" s="267">
        <v>4265</v>
      </c>
      <c r="D67" s="267">
        <v>2223</v>
      </c>
      <c r="E67" s="267">
        <v>1579</v>
      </c>
      <c r="F67" s="267">
        <v>848</v>
      </c>
      <c r="G67" s="267">
        <v>6391</v>
      </c>
      <c r="H67" s="268">
        <v>0.71</v>
      </c>
      <c r="I67" s="268">
        <v>0.54</v>
      </c>
    </row>
    <row r="68" spans="1:9" ht="15" thickBot="1" x14ac:dyDescent="0.35">
      <c r="A68" s="685"/>
      <c r="B68" s="267" t="s">
        <v>440</v>
      </c>
      <c r="C68" s="267">
        <v>22236</v>
      </c>
      <c r="D68" s="267">
        <v>13118</v>
      </c>
      <c r="E68" s="267">
        <v>11617</v>
      </c>
      <c r="F68" s="267">
        <v>6132</v>
      </c>
      <c r="G68" s="267">
        <v>36710</v>
      </c>
      <c r="H68" s="268">
        <v>0.89</v>
      </c>
      <c r="I68" s="268">
        <v>0.53</v>
      </c>
    </row>
    <row r="69" spans="1:9" ht="15" thickBot="1" x14ac:dyDescent="0.35">
      <c r="A69" s="684" t="s">
        <v>423</v>
      </c>
      <c r="B69" s="267" t="s">
        <v>448</v>
      </c>
      <c r="C69" s="267">
        <v>4815</v>
      </c>
      <c r="D69" s="267">
        <v>2439</v>
      </c>
      <c r="E69" s="267">
        <v>1513</v>
      </c>
      <c r="F69" s="267">
        <v>1094</v>
      </c>
      <c r="G69" s="267">
        <v>6327</v>
      </c>
      <c r="H69" s="268">
        <v>0.62</v>
      </c>
      <c r="I69" s="268">
        <v>0.72</v>
      </c>
    </row>
    <row r="70" spans="1:9" ht="15" thickBot="1" x14ac:dyDescent="0.35">
      <c r="A70" s="685"/>
      <c r="B70" s="267" t="s">
        <v>440</v>
      </c>
      <c r="C70" s="267">
        <v>19459</v>
      </c>
      <c r="D70" s="267">
        <v>13352</v>
      </c>
      <c r="E70" s="267">
        <v>10842</v>
      </c>
      <c r="F70" s="267">
        <v>6291</v>
      </c>
      <c r="G70" s="267">
        <v>37056</v>
      </c>
      <c r="H70" s="268">
        <v>0.81</v>
      </c>
      <c r="I70" s="268">
        <v>0.57999999999999996</v>
      </c>
    </row>
    <row r="71" spans="1:9" ht="15" thickBot="1" x14ac:dyDescent="0.35">
      <c r="A71" s="684" t="s">
        <v>424</v>
      </c>
      <c r="B71" s="267" t="s">
        <v>448</v>
      </c>
      <c r="C71" s="267">
        <v>2670</v>
      </c>
      <c r="D71" s="267">
        <v>1378</v>
      </c>
      <c r="E71" s="267">
        <v>705</v>
      </c>
      <c r="F71" s="267">
        <v>425</v>
      </c>
      <c r="G71" s="267">
        <v>5430</v>
      </c>
      <c r="H71" s="268">
        <v>0.51</v>
      </c>
      <c r="I71" s="268">
        <v>0.6</v>
      </c>
    </row>
    <row r="72" spans="1:9" ht="15" thickBot="1" x14ac:dyDescent="0.35">
      <c r="A72" s="685"/>
      <c r="B72" s="267" t="s">
        <v>440</v>
      </c>
      <c r="C72" s="267">
        <v>15492</v>
      </c>
      <c r="D72" s="267">
        <v>11389</v>
      </c>
      <c r="E72" s="267">
        <v>10079</v>
      </c>
      <c r="F72" s="267">
        <v>7034</v>
      </c>
      <c r="G72" s="267">
        <v>37269</v>
      </c>
      <c r="H72" s="268">
        <v>0.88</v>
      </c>
      <c r="I72" s="268">
        <v>0.7</v>
      </c>
    </row>
    <row r="73" spans="1:9" ht="15" thickBot="1" x14ac:dyDescent="0.35">
      <c r="A73" s="684" t="s">
        <v>425</v>
      </c>
      <c r="B73" s="267" t="s">
        <v>448</v>
      </c>
      <c r="C73" s="267">
        <v>5022</v>
      </c>
      <c r="D73" s="267">
        <v>3135</v>
      </c>
      <c r="E73" s="267">
        <v>2944</v>
      </c>
      <c r="F73" s="267">
        <v>865</v>
      </c>
      <c r="G73" s="267">
        <v>5294</v>
      </c>
      <c r="H73" s="268">
        <v>0.94</v>
      </c>
      <c r="I73" s="268">
        <v>0.28999999999999998</v>
      </c>
    </row>
    <row r="74" spans="1:9" ht="15" thickBot="1" x14ac:dyDescent="0.35">
      <c r="A74" s="685"/>
      <c r="B74" s="267" t="s">
        <v>440</v>
      </c>
      <c r="C74" s="267">
        <v>29866</v>
      </c>
      <c r="D74" s="267">
        <v>20075</v>
      </c>
      <c r="E74" s="267">
        <v>19429</v>
      </c>
      <c r="F74" s="267">
        <v>6475</v>
      </c>
      <c r="G74" s="267">
        <v>36150</v>
      </c>
      <c r="H74" s="268">
        <v>0.97</v>
      </c>
      <c r="I74" s="268">
        <v>0.33</v>
      </c>
    </row>
    <row r="75" spans="1:9" ht="15" thickBot="1" x14ac:dyDescent="0.35">
      <c r="A75" s="684" t="s">
        <v>426</v>
      </c>
      <c r="B75" s="267" t="s">
        <v>448</v>
      </c>
      <c r="C75" s="267">
        <v>2684</v>
      </c>
      <c r="D75" s="267">
        <v>1109</v>
      </c>
      <c r="E75" s="267">
        <v>1008</v>
      </c>
      <c r="F75" s="267">
        <v>453</v>
      </c>
      <c r="G75" s="267">
        <v>4822</v>
      </c>
      <c r="H75" s="268">
        <v>0.91</v>
      </c>
      <c r="I75" s="268">
        <v>0.45</v>
      </c>
    </row>
    <row r="76" spans="1:9" ht="15" thickBot="1" x14ac:dyDescent="0.35">
      <c r="A76" s="685"/>
      <c r="B76" s="267" t="s">
        <v>440</v>
      </c>
      <c r="C76" s="267">
        <v>24170</v>
      </c>
      <c r="D76" s="267">
        <v>11183</v>
      </c>
      <c r="E76" s="267">
        <v>10406</v>
      </c>
      <c r="F76" s="267">
        <v>5486</v>
      </c>
      <c r="G76" s="267">
        <v>35640</v>
      </c>
      <c r="H76" s="268">
        <v>0.93</v>
      </c>
      <c r="I76" s="268">
        <v>0.53</v>
      </c>
    </row>
    <row r="77" spans="1:9" ht="15" thickBot="1" x14ac:dyDescent="0.35">
      <c r="A77" s="684" t="s">
        <v>427</v>
      </c>
      <c r="B77" s="267" t="s">
        <v>448</v>
      </c>
      <c r="C77" s="267">
        <v>3684</v>
      </c>
      <c r="D77" s="267">
        <v>1645</v>
      </c>
      <c r="E77" s="267">
        <v>1463</v>
      </c>
      <c r="F77" s="267">
        <v>782</v>
      </c>
      <c r="G77" s="267">
        <v>4768</v>
      </c>
      <c r="H77" s="268">
        <v>0.89</v>
      </c>
      <c r="I77" s="268">
        <v>0.53</v>
      </c>
    </row>
    <row r="78" spans="1:9" ht="15" thickBot="1" x14ac:dyDescent="0.35">
      <c r="A78" s="685"/>
      <c r="B78" s="267" t="s">
        <v>440</v>
      </c>
      <c r="C78" s="267">
        <v>22519</v>
      </c>
      <c r="D78" s="267">
        <v>12179</v>
      </c>
      <c r="E78" s="267">
        <v>11278</v>
      </c>
      <c r="F78" s="267">
        <v>7038</v>
      </c>
      <c r="G78" s="267">
        <v>36070</v>
      </c>
      <c r="H78" s="268">
        <v>0.93</v>
      </c>
      <c r="I78" s="268">
        <v>0.62</v>
      </c>
    </row>
    <row r="79" spans="1:9" ht="15" thickBot="1" x14ac:dyDescent="0.35">
      <c r="A79" s="684" t="s">
        <v>428</v>
      </c>
      <c r="B79" s="267" t="s">
        <v>448</v>
      </c>
      <c r="C79" s="267">
        <v>2607</v>
      </c>
      <c r="D79" s="267">
        <v>1181</v>
      </c>
      <c r="E79" s="267">
        <v>1048</v>
      </c>
      <c r="F79" s="267">
        <v>553</v>
      </c>
      <c r="G79" s="267">
        <v>4429</v>
      </c>
      <c r="H79" s="268">
        <v>0.89</v>
      </c>
      <c r="I79" s="268">
        <v>0.53</v>
      </c>
    </row>
    <row r="80" spans="1:9" ht="15" thickBot="1" x14ac:dyDescent="0.35">
      <c r="A80" s="685"/>
      <c r="B80" s="267" t="s">
        <v>440</v>
      </c>
      <c r="C80" s="267">
        <v>20209</v>
      </c>
      <c r="D80" s="267">
        <v>11446</v>
      </c>
      <c r="E80" s="267">
        <v>10424</v>
      </c>
      <c r="F80" s="267">
        <v>6302</v>
      </c>
      <c r="G80" s="267">
        <v>36076</v>
      </c>
      <c r="H80" s="268">
        <v>0.91</v>
      </c>
      <c r="I80" s="268">
        <v>0.6</v>
      </c>
    </row>
    <row r="81" spans="1:9" ht="15" thickBot="1" x14ac:dyDescent="0.35">
      <c r="A81" s="684" t="s">
        <v>429</v>
      </c>
      <c r="B81" s="267" t="s">
        <v>448</v>
      </c>
      <c r="C81" s="267">
        <v>3579</v>
      </c>
      <c r="D81" s="267">
        <v>1663</v>
      </c>
      <c r="E81" s="267">
        <v>1473</v>
      </c>
      <c r="F81" s="267">
        <v>843</v>
      </c>
      <c r="G81" s="267">
        <v>4720</v>
      </c>
      <c r="H81" s="268">
        <v>0.89</v>
      </c>
      <c r="I81" s="268">
        <v>0.56999999999999995</v>
      </c>
    </row>
    <row r="82" spans="1:9" ht="15" thickBot="1" x14ac:dyDescent="0.35">
      <c r="A82" s="685"/>
      <c r="B82" s="267" t="s">
        <v>440</v>
      </c>
      <c r="C82" s="267">
        <v>24860</v>
      </c>
      <c r="D82" s="267">
        <v>14349</v>
      </c>
      <c r="E82" s="267">
        <v>12925</v>
      </c>
      <c r="F82" s="267">
        <v>8059</v>
      </c>
      <c r="G82" s="267">
        <v>36074</v>
      </c>
      <c r="H82" s="268">
        <v>0.9</v>
      </c>
      <c r="I82" s="268">
        <v>0.62</v>
      </c>
    </row>
    <row r="83" spans="1:9" ht="15" thickBot="1" x14ac:dyDescent="0.35">
      <c r="A83" s="684" t="s">
        <v>430</v>
      </c>
      <c r="B83" s="267" t="s">
        <v>448</v>
      </c>
      <c r="C83" s="267">
        <v>2680</v>
      </c>
      <c r="D83" s="267">
        <v>1376</v>
      </c>
      <c r="E83" s="267">
        <v>1207</v>
      </c>
      <c r="F83" s="267">
        <v>766</v>
      </c>
      <c r="G83" s="267">
        <v>4665</v>
      </c>
      <c r="H83" s="268">
        <v>0.88</v>
      </c>
      <c r="I83" s="268">
        <v>0.63</v>
      </c>
    </row>
    <row r="84" spans="1:9" ht="15" thickBot="1" x14ac:dyDescent="0.35">
      <c r="A84" s="685"/>
      <c r="B84" s="267" t="s">
        <v>440</v>
      </c>
      <c r="C84" s="267">
        <v>22183</v>
      </c>
      <c r="D84" s="267">
        <v>12266</v>
      </c>
      <c r="E84" s="267">
        <v>11117</v>
      </c>
      <c r="F84" s="267">
        <v>6673</v>
      </c>
      <c r="G84" s="267">
        <v>36409</v>
      </c>
      <c r="H84" s="268">
        <v>0.91</v>
      </c>
      <c r="I84" s="268">
        <v>0.6</v>
      </c>
    </row>
    <row r="85" spans="1:9" ht="15" thickBot="1" x14ac:dyDescent="0.35">
      <c r="A85" s="684" t="s">
        <v>358</v>
      </c>
      <c r="B85" s="267" t="s">
        <v>448</v>
      </c>
      <c r="C85" s="267">
        <v>2587</v>
      </c>
      <c r="D85" s="267">
        <v>1514</v>
      </c>
      <c r="E85" s="267">
        <v>1348</v>
      </c>
      <c r="F85" s="267">
        <v>917</v>
      </c>
      <c r="G85" s="267">
        <v>4755</v>
      </c>
      <c r="H85" s="268">
        <v>0.89</v>
      </c>
      <c r="I85" s="268">
        <v>0.68</v>
      </c>
    </row>
    <row r="86" spans="1:9" ht="15" thickBot="1" x14ac:dyDescent="0.35">
      <c r="A86" s="685"/>
      <c r="B86" s="267" t="s">
        <v>440</v>
      </c>
      <c r="C86" s="267">
        <v>24526</v>
      </c>
      <c r="D86" s="267">
        <v>14468</v>
      </c>
      <c r="E86" s="267">
        <v>13076</v>
      </c>
      <c r="F86" s="267">
        <v>8453</v>
      </c>
      <c r="G86" s="267">
        <v>36534</v>
      </c>
      <c r="H86" s="268">
        <v>0.9</v>
      </c>
      <c r="I86" s="268">
        <v>0.65</v>
      </c>
    </row>
    <row r="87" spans="1:9" ht="15" thickBot="1" x14ac:dyDescent="0.35">
      <c r="A87" s="684" t="s">
        <v>359</v>
      </c>
      <c r="B87" s="267" t="s">
        <v>448</v>
      </c>
      <c r="C87" s="267">
        <v>1676</v>
      </c>
      <c r="D87" s="267">
        <v>953</v>
      </c>
      <c r="E87" s="267">
        <v>858</v>
      </c>
      <c r="F87" s="267">
        <v>552</v>
      </c>
      <c r="G87" s="267">
        <v>4535</v>
      </c>
      <c r="H87" s="268">
        <f t="shared" ref="H87:I90" si="2">IFERROR(E87/D87,0)</f>
        <v>0.90031479538300108</v>
      </c>
      <c r="I87" s="268">
        <f t="shared" si="2"/>
        <v>0.64335664335664333</v>
      </c>
    </row>
    <row r="88" spans="1:9" x14ac:dyDescent="0.3">
      <c r="A88" s="685"/>
      <c r="B88" s="267" t="s">
        <v>440</v>
      </c>
      <c r="C88" s="267">
        <v>15451</v>
      </c>
      <c r="D88" s="267">
        <v>11589</v>
      </c>
      <c r="E88" s="267">
        <v>10250</v>
      </c>
      <c r="F88" s="267">
        <v>7209</v>
      </c>
      <c r="G88" s="267">
        <v>36412</v>
      </c>
      <c r="H88" s="268">
        <f t="shared" si="2"/>
        <v>0.88445940115626887</v>
      </c>
      <c r="I88" s="268">
        <f t="shared" si="2"/>
        <v>0.70331707317073167</v>
      </c>
    </row>
    <row r="89" spans="1:9" x14ac:dyDescent="0.3">
      <c r="A89" s="684" t="s">
        <v>360</v>
      </c>
      <c r="B89" s="267" t="s">
        <v>448</v>
      </c>
      <c r="C89" s="267">
        <v>2528</v>
      </c>
      <c r="D89" s="267">
        <v>1559</v>
      </c>
      <c r="E89" s="267">
        <v>1408</v>
      </c>
      <c r="F89" s="267">
        <v>983</v>
      </c>
      <c r="G89" s="267">
        <v>4880</v>
      </c>
      <c r="H89" s="268">
        <f t="shared" si="2"/>
        <v>0.90314304041051952</v>
      </c>
      <c r="I89" s="268">
        <f t="shared" si="2"/>
        <v>0.69815340909090906</v>
      </c>
    </row>
    <row r="90" spans="1:9" ht="15" thickBot="1" x14ac:dyDescent="0.35">
      <c r="A90" s="685"/>
      <c r="B90" s="267" t="s">
        <v>440</v>
      </c>
      <c r="C90" s="267">
        <v>18519</v>
      </c>
      <c r="D90" s="267">
        <v>13814</v>
      </c>
      <c r="E90" s="267">
        <v>12385</v>
      </c>
      <c r="F90" s="267">
        <v>8876</v>
      </c>
      <c r="G90" s="267">
        <v>39351</v>
      </c>
      <c r="H90" s="268">
        <f t="shared" si="2"/>
        <v>0.89655422035616039</v>
      </c>
      <c r="I90" s="268">
        <f t="shared" si="2"/>
        <v>0.71667339523617279</v>
      </c>
    </row>
    <row r="91" spans="1:9" ht="15" thickBot="1" x14ac:dyDescent="0.35">
      <c r="A91" s="684" t="s">
        <v>361</v>
      </c>
      <c r="B91" s="267" t="s">
        <v>448</v>
      </c>
      <c r="C91" s="267"/>
      <c r="D91" s="267"/>
      <c r="E91" s="267"/>
      <c r="F91" s="267"/>
      <c r="G91" s="267"/>
      <c r="H91" s="268"/>
      <c r="I91" s="268"/>
    </row>
    <row r="92" spans="1:9" ht="15" thickBot="1" x14ac:dyDescent="0.35">
      <c r="A92" s="685"/>
      <c r="B92" s="267" t="s">
        <v>440</v>
      </c>
      <c r="C92" s="267"/>
      <c r="D92" s="267"/>
      <c r="E92" s="267"/>
      <c r="F92" s="267"/>
      <c r="G92" s="267"/>
      <c r="H92" s="268"/>
      <c r="I92" s="268"/>
    </row>
    <row r="93" spans="1:9" ht="15" thickBot="1" x14ac:dyDescent="0.35">
      <c r="A93" s="684" t="s">
        <v>362</v>
      </c>
      <c r="B93" s="267" t="s">
        <v>448</v>
      </c>
      <c r="C93" s="267"/>
      <c r="D93" s="267"/>
      <c r="E93" s="267"/>
      <c r="F93" s="267"/>
      <c r="G93" s="267"/>
      <c r="H93" s="268"/>
      <c r="I93" s="268"/>
    </row>
    <row r="94" spans="1:9" ht="15" thickBot="1" x14ac:dyDescent="0.35">
      <c r="A94" s="685"/>
      <c r="B94" s="267" t="s">
        <v>440</v>
      </c>
      <c r="C94" s="267"/>
      <c r="D94" s="267"/>
      <c r="E94" s="267"/>
      <c r="F94" s="267"/>
      <c r="G94" s="267"/>
      <c r="H94" s="268"/>
      <c r="I94" s="268"/>
    </row>
    <row r="95" spans="1:9" ht="24.6" thickBot="1" x14ac:dyDescent="0.35">
      <c r="A95" s="270"/>
      <c r="B95" s="270" t="s">
        <v>2035</v>
      </c>
      <c r="C95" s="270" t="s">
        <v>2036</v>
      </c>
      <c r="D95" s="270" t="s">
        <v>2037</v>
      </c>
      <c r="E95" s="270" t="s">
        <v>2038</v>
      </c>
      <c r="F95" s="270" t="s">
        <v>2044</v>
      </c>
      <c r="G95" s="270" t="s">
        <v>2040</v>
      </c>
      <c r="H95" s="270" t="s">
        <v>2041</v>
      </c>
      <c r="I95" s="270" t="s">
        <v>2042</v>
      </c>
    </row>
    <row r="96" spans="1:9" ht="15" thickBot="1" x14ac:dyDescent="0.35">
      <c r="A96" s="687" t="s">
        <v>456</v>
      </c>
      <c r="B96" s="687"/>
      <c r="C96" s="687"/>
      <c r="D96" s="687"/>
      <c r="E96" s="687"/>
      <c r="F96" s="687"/>
      <c r="G96" s="687"/>
      <c r="H96" s="687"/>
      <c r="I96" s="687"/>
    </row>
    <row r="97" spans="1:9" ht="15" thickBot="1" x14ac:dyDescent="0.35">
      <c r="A97" s="684" t="s">
        <v>422</v>
      </c>
      <c r="B97" s="267" t="s">
        <v>448</v>
      </c>
      <c r="C97" s="267">
        <v>816</v>
      </c>
      <c r="D97" s="267">
        <v>533</v>
      </c>
      <c r="E97" s="267">
        <v>423</v>
      </c>
      <c r="F97" s="267">
        <v>246</v>
      </c>
      <c r="G97" s="267">
        <v>569</v>
      </c>
      <c r="H97" s="268">
        <v>0.79</v>
      </c>
      <c r="I97" s="268">
        <v>0.57999999999999996</v>
      </c>
    </row>
    <row r="98" spans="1:9" ht="15" thickBot="1" x14ac:dyDescent="0.35">
      <c r="A98" s="685"/>
      <c r="B98" s="267" t="s">
        <v>440</v>
      </c>
      <c r="C98" s="267">
        <v>2044</v>
      </c>
      <c r="D98" s="267">
        <v>1226</v>
      </c>
      <c r="E98" s="267">
        <v>969</v>
      </c>
      <c r="F98" s="267">
        <v>511</v>
      </c>
      <c r="G98" s="267">
        <v>1186</v>
      </c>
      <c r="H98" s="268">
        <v>0.79</v>
      </c>
      <c r="I98" s="268">
        <v>0.53</v>
      </c>
    </row>
    <row r="99" spans="1:9" ht="15" thickBot="1" x14ac:dyDescent="0.35">
      <c r="A99" s="684" t="s">
        <v>423</v>
      </c>
      <c r="B99" s="267" t="s">
        <v>448</v>
      </c>
      <c r="C99" s="267">
        <v>1342</v>
      </c>
      <c r="D99" s="267">
        <v>722</v>
      </c>
      <c r="E99" s="267">
        <v>553</v>
      </c>
      <c r="F99" s="267">
        <v>341</v>
      </c>
      <c r="G99" s="267">
        <v>577</v>
      </c>
      <c r="H99" s="268">
        <v>0.77</v>
      </c>
      <c r="I99" s="268">
        <v>0.62</v>
      </c>
    </row>
    <row r="100" spans="1:9" ht="15" thickBot="1" x14ac:dyDescent="0.35">
      <c r="A100" s="685"/>
      <c r="B100" s="267" t="s">
        <v>440</v>
      </c>
      <c r="C100" s="267">
        <v>2871</v>
      </c>
      <c r="D100" s="267">
        <v>1716</v>
      </c>
      <c r="E100" s="267">
        <v>1359</v>
      </c>
      <c r="F100" s="267">
        <v>861</v>
      </c>
      <c r="G100" s="267">
        <v>1307</v>
      </c>
      <c r="H100" s="268">
        <v>0.79</v>
      </c>
      <c r="I100" s="268">
        <v>0.63</v>
      </c>
    </row>
    <row r="101" spans="1:9" ht="15" thickBot="1" x14ac:dyDescent="0.35">
      <c r="A101" s="684" t="s">
        <v>424</v>
      </c>
      <c r="B101" s="267" t="s">
        <v>448</v>
      </c>
      <c r="C101" s="267">
        <v>522</v>
      </c>
      <c r="D101" s="267">
        <v>307</v>
      </c>
      <c r="E101" s="267">
        <v>238</v>
      </c>
      <c r="F101" s="267">
        <v>140</v>
      </c>
      <c r="G101" s="267">
        <v>446</v>
      </c>
      <c r="H101" s="268">
        <v>0.78</v>
      </c>
      <c r="I101" s="268">
        <v>0.59</v>
      </c>
    </row>
    <row r="102" spans="1:9" ht="15" thickBot="1" x14ac:dyDescent="0.35">
      <c r="A102" s="685"/>
      <c r="B102" s="267" t="s">
        <v>440</v>
      </c>
      <c r="C102" s="267">
        <v>2413</v>
      </c>
      <c r="D102" s="267">
        <v>1516</v>
      </c>
      <c r="E102" s="267">
        <v>1247</v>
      </c>
      <c r="F102" s="267">
        <v>811</v>
      </c>
      <c r="G102" s="267">
        <v>1567</v>
      </c>
      <c r="H102" s="268">
        <v>0.82</v>
      </c>
      <c r="I102" s="268">
        <v>0.65</v>
      </c>
    </row>
    <row r="103" spans="1:9" ht="15" thickBot="1" x14ac:dyDescent="0.35">
      <c r="A103" s="684" t="s">
        <v>425</v>
      </c>
      <c r="B103" s="267" t="s">
        <v>448</v>
      </c>
      <c r="C103" s="267">
        <v>917</v>
      </c>
      <c r="D103" s="267">
        <v>483</v>
      </c>
      <c r="E103" s="267">
        <v>422</v>
      </c>
      <c r="F103" s="267">
        <v>287</v>
      </c>
      <c r="G103" s="267">
        <v>438</v>
      </c>
      <c r="H103" s="268">
        <v>0.87</v>
      </c>
      <c r="I103" s="268">
        <v>0.68</v>
      </c>
    </row>
    <row r="104" spans="1:9" ht="15" thickBot="1" x14ac:dyDescent="0.35">
      <c r="A104" s="685"/>
      <c r="B104" s="267" t="s">
        <v>440</v>
      </c>
      <c r="C104" s="267">
        <v>4970</v>
      </c>
      <c r="D104" s="267">
        <v>1550</v>
      </c>
      <c r="E104" s="267">
        <v>1490</v>
      </c>
      <c r="F104" s="267">
        <v>926</v>
      </c>
      <c r="G104" s="267">
        <v>1699</v>
      </c>
      <c r="H104" s="268">
        <v>0.96</v>
      </c>
      <c r="I104" s="268">
        <v>0.62</v>
      </c>
    </row>
    <row r="105" spans="1:9" ht="15" thickBot="1" x14ac:dyDescent="0.35">
      <c r="A105" s="684" t="s">
        <v>426</v>
      </c>
      <c r="B105" s="267" t="s">
        <v>448</v>
      </c>
      <c r="C105" s="267">
        <v>583</v>
      </c>
      <c r="D105" s="267">
        <v>284</v>
      </c>
      <c r="E105" s="267">
        <v>266</v>
      </c>
      <c r="F105" s="267">
        <v>148</v>
      </c>
      <c r="G105" s="267">
        <v>435</v>
      </c>
      <c r="H105" s="268">
        <v>0.94</v>
      </c>
      <c r="I105" s="268">
        <v>0.56000000000000005</v>
      </c>
    </row>
    <row r="106" spans="1:9" ht="15" thickBot="1" x14ac:dyDescent="0.35">
      <c r="A106" s="685"/>
      <c r="B106" s="267" t="s">
        <v>440</v>
      </c>
      <c r="C106" s="267">
        <v>3769</v>
      </c>
      <c r="D106" s="267">
        <v>1262</v>
      </c>
      <c r="E106" s="267">
        <v>1198</v>
      </c>
      <c r="F106" s="267">
        <v>714</v>
      </c>
      <c r="G106" s="267">
        <v>1546</v>
      </c>
      <c r="H106" s="268">
        <v>0.95</v>
      </c>
      <c r="I106" s="268">
        <v>0.6</v>
      </c>
    </row>
    <row r="107" spans="1:9" ht="15" thickBot="1" x14ac:dyDescent="0.35">
      <c r="A107" s="684" t="s">
        <v>427</v>
      </c>
      <c r="B107" s="267" t="s">
        <v>448</v>
      </c>
      <c r="C107" s="267">
        <v>854</v>
      </c>
      <c r="D107" s="267">
        <v>534</v>
      </c>
      <c r="E107" s="267">
        <v>503</v>
      </c>
      <c r="F107" s="267">
        <v>274</v>
      </c>
      <c r="G107" s="267">
        <v>420</v>
      </c>
      <c r="H107" s="268">
        <v>0.94</v>
      </c>
      <c r="I107" s="268">
        <v>0.54</v>
      </c>
    </row>
    <row r="108" spans="1:9" ht="15" thickBot="1" x14ac:dyDescent="0.35">
      <c r="A108" s="685"/>
      <c r="B108" s="267" t="s">
        <v>440</v>
      </c>
      <c r="C108" s="267">
        <v>6023</v>
      </c>
      <c r="D108" s="267">
        <v>1903</v>
      </c>
      <c r="E108" s="267">
        <v>1777</v>
      </c>
      <c r="F108" s="267">
        <v>1059</v>
      </c>
      <c r="G108" s="267">
        <v>1760</v>
      </c>
      <c r="H108" s="268">
        <v>0.93</v>
      </c>
      <c r="I108" s="268">
        <v>0.6</v>
      </c>
    </row>
    <row r="109" spans="1:9" ht="15" thickBot="1" x14ac:dyDescent="0.35">
      <c r="A109" s="684" t="s">
        <v>428</v>
      </c>
      <c r="B109" s="267" t="s">
        <v>448</v>
      </c>
      <c r="C109" s="267">
        <v>496</v>
      </c>
      <c r="D109" s="267">
        <v>320</v>
      </c>
      <c r="E109" s="267">
        <v>290</v>
      </c>
      <c r="F109" s="267">
        <v>176</v>
      </c>
      <c r="G109" s="267">
        <v>437</v>
      </c>
      <c r="H109" s="268">
        <v>0.91</v>
      </c>
      <c r="I109" s="268">
        <v>0.61</v>
      </c>
    </row>
    <row r="110" spans="1:9" ht="15" thickBot="1" x14ac:dyDescent="0.35">
      <c r="A110" s="685"/>
      <c r="B110" s="267" t="s">
        <v>440</v>
      </c>
      <c r="C110" s="267">
        <v>4418</v>
      </c>
      <c r="D110" s="267">
        <v>1521</v>
      </c>
      <c r="E110" s="267">
        <v>1428</v>
      </c>
      <c r="F110" s="267">
        <v>852</v>
      </c>
      <c r="G110" s="267">
        <v>1854</v>
      </c>
      <c r="H110" s="268">
        <v>0.94</v>
      </c>
      <c r="I110" s="268">
        <v>0.6</v>
      </c>
    </row>
    <row r="111" spans="1:9" ht="15" thickBot="1" x14ac:dyDescent="0.35">
      <c r="A111" s="684" t="s">
        <v>429</v>
      </c>
      <c r="B111" s="267" t="s">
        <v>448</v>
      </c>
      <c r="C111" s="267">
        <v>929</v>
      </c>
      <c r="D111" s="267">
        <v>544</v>
      </c>
      <c r="E111" s="267">
        <v>513</v>
      </c>
      <c r="F111" s="267">
        <v>301</v>
      </c>
      <c r="G111" s="267">
        <v>470</v>
      </c>
      <c r="H111" s="268">
        <v>0.94</v>
      </c>
      <c r="I111" s="268">
        <v>0.59</v>
      </c>
    </row>
    <row r="112" spans="1:9" ht="15" thickBot="1" x14ac:dyDescent="0.35">
      <c r="A112" s="685"/>
      <c r="B112" s="267" t="s">
        <v>440</v>
      </c>
      <c r="C112" s="267">
        <v>4510</v>
      </c>
      <c r="D112" s="267">
        <v>2065</v>
      </c>
      <c r="E112" s="267">
        <v>1931</v>
      </c>
      <c r="F112" s="267">
        <v>1063</v>
      </c>
      <c r="G112" s="267">
        <v>1915</v>
      </c>
      <c r="H112" s="268">
        <v>0.94</v>
      </c>
      <c r="I112" s="268">
        <v>0.55000000000000004</v>
      </c>
    </row>
    <row r="113" spans="1:9" ht="15" thickBot="1" x14ac:dyDescent="0.35">
      <c r="A113" s="684" t="s">
        <v>430</v>
      </c>
      <c r="B113" s="267" t="s">
        <v>448</v>
      </c>
      <c r="C113" s="267">
        <v>498</v>
      </c>
      <c r="D113" s="267">
        <v>297</v>
      </c>
      <c r="E113" s="267">
        <v>274</v>
      </c>
      <c r="F113" s="267">
        <v>175</v>
      </c>
      <c r="G113" s="267">
        <v>467</v>
      </c>
      <c r="H113" s="268">
        <v>0.92</v>
      </c>
      <c r="I113" s="268">
        <v>0.64</v>
      </c>
    </row>
    <row r="114" spans="1:9" ht="15" thickBot="1" x14ac:dyDescent="0.35">
      <c r="A114" s="685"/>
      <c r="B114" s="267" t="s">
        <v>440</v>
      </c>
      <c r="C114" s="267">
        <v>914</v>
      </c>
      <c r="D114" s="267">
        <v>914</v>
      </c>
      <c r="E114" s="267">
        <v>914</v>
      </c>
      <c r="F114" s="267">
        <v>914</v>
      </c>
      <c r="G114" s="267">
        <v>1981</v>
      </c>
      <c r="H114" s="268">
        <v>1</v>
      </c>
      <c r="I114" s="268">
        <v>1</v>
      </c>
    </row>
    <row r="115" spans="1:9" ht="15" thickBot="1" x14ac:dyDescent="0.35">
      <c r="A115" s="684" t="s">
        <v>358</v>
      </c>
      <c r="B115" s="267" t="s">
        <v>448</v>
      </c>
      <c r="C115" s="267">
        <v>844</v>
      </c>
      <c r="D115" s="267">
        <v>576</v>
      </c>
      <c r="E115" s="267">
        <v>545</v>
      </c>
      <c r="F115" s="267">
        <v>313</v>
      </c>
      <c r="G115" s="267">
        <v>483</v>
      </c>
      <c r="H115" s="268">
        <v>0.95</v>
      </c>
      <c r="I115" s="268">
        <v>0.56999999999999995</v>
      </c>
    </row>
    <row r="116" spans="1:9" ht="15" thickBot="1" x14ac:dyDescent="0.35">
      <c r="A116" s="685"/>
      <c r="B116" s="267" t="s">
        <v>440</v>
      </c>
      <c r="C116" s="267">
        <v>2732</v>
      </c>
      <c r="D116" s="267">
        <v>1851</v>
      </c>
      <c r="E116" s="267">
        <v>1763</v>
      </c>
      <c r="F116" s="267">
        <v>1120</v>
      </c>
      <c r="G116" s="267">
        <v>1985</v>
      </c>
      <c r="H116" s="268">
        <v>0.95</v>
      </c>
      <c r="I116" s="268">
        <v>0.64</v>
      </c>
    </row>
    <row r="117" spans="1:9" ht="15" thickBot="1" x14ac:dyDescent="0.35">
      <c r="A117" s="684" t="s">
        <v>359</v>
      </c>
      <c r="B117" s="267" t="s">
        <v>448</v>
      </c>
      <c r="C117" s="267">
        <v>498</v>
      </c>
      <c r="D117" s="267">
        <v>330</v>
      </c>
      <c r="E117" s="267">
        <v>323</v>
      </c>
      <c r="F117" s="267">
        <v>194</v>
      </c>
      <c r="G117" s="267">
        <v>499</v>
      </c>
      <c r="H117" s="268">
        <f t="shared" ref="H117:I120" si="3">IFERROR(E117/D117,0)</f>
        <v>0.97878787878787876</v>
      </c>
      <c r="I117" s="268">
        <f t="shared" si="3"/>
        <v>0.60061919504643968</v>
      </c>
    </row>
    <row r="118" spans="1:9" x14ac:dyDescent="0.3">
      <c r="A118" s="685"/>
      <c r="B118" s="267" t="s">
        <v>440</v>
      </c>
      <c r="C118" s="267">
        <v>2155</v>
      </c>
      <c r="D118" s="267">
        <v>1379</v>
      </c>
      <c r="E118" s="267">
        <v>1309</v>
      </c>
      <c r="F118" s="267">
        <v>794</v>
      </c>
      <c r="G118" s="267">
        <v>1927</v>
      </c>
      <c r="H118" s="268">
        <f t="shared" si="3"/>
        <v>0.949238578680203</v>
      </c>
      <c r="I118" s="268">
        <f t="shared" si="3"/>
        <v>0.60656990068754779</v>
      </c>
    </row>
    <row r="119" spans="1:9" x14ac:dyDescent="0.3">
      <c r="A119" s="684" t="s">
        <v>360</v>
      </c>
      <c r="B119" s="267" t="s">
        <v>448</v>
      </c>
      <c r="C119" s="267">
        <v>809</v>
      </c>
      <c r="D119" s="267">
        <v>553</v>
      </c>
      <c r="E119" s="267">
        <v>530</v>
      </c>
      <c r="F119" s="267">
        <v>337</v>
      </c>
      <c r="G119" s="267">
        <v>538</v>
      </c>
      <c r="H119" s="268">
        <f t="shared" si="3"/>
        <v>0.95840867992766732</v>
      </c>
      <c r="I119" s="268">
        <f t="shared" si="3"/>
        <v>0.63584905660377355</v>
      </c>
    </row>
    <row r="120" spans="1:9" ht="15" thickBot="1" x14ac:dyDescent="0.35">
      <c r="A120" s="685"/>
      <c r="B120" s="267" t="s">
        <v>440</v>
      </c>
      <c r="C120" s="267">
        <v>2749</v>
      </c>
      <c r="D120" s="267">
        <v>2019</v>
      </c>
      <c r="E120" s="267">
        <v>1934</v>
      </c>
      <c r="F120" s="267">
        <v>1256</v>
      </c>
      <c r="G120" s="267">
        <v>2060</v>
      </c>
      <c r="H120" s="268">
        <f t="shared" si="3"/>
        <v>0.95789995047053</v>
      </c>
      <c r="I120" s="268">
        <f t="shared" si="3"/>
        <v>0.64943123061013441</v>
      </c>
    </row>
    <row r="121" spans="1:9" ht="15" thickBot="1" x14ac:dyDescent="0.35">
      <c r="A121" s="684" t="s">
        <v>361</v>
      </c>
      <c r="B121" s="267" t="s">
        <v>448</v>
      </c>
      <c r="C121" s="267"/>
      <c r="D121" s="267"/>
      <c r="E121" s="267"/>
      <c r="F121" s="267"/>
      <c r="G121" s="267"/>
      <c r="H121" s="268"/>
      <c r="I121" s="268"/>
    </row>
    <row r="122" spans="1:9" ht="15" thickBot="1" x14ac:dyDescent="0.35">
      <c r="A122" s="685"/>
      <c r="B122" s="267" t="s">
        <v>440</v>
      </c>
      <c r="C122" s="267"/>
      <c r="D122" s="267"/>
      <c r="E122" s="267"/>
      <c r="F122" s="267"/>
      <c r="G122" s="267"/>
      <c r="H122" s="268"/>
      <c r="I122" s="268"/>
    </row>
    <row r="123" spans="1:9" ht="15" thickBot="1" x14ac:dyDescent="0.35">
      <c r="A123" s="684" t="s">
        <v>362</v>
      </c>
      <c r="B123" s="267" t="s">
        <v>448</v>
      </c>
      <c r="C123" s="267"/>
      <c r="D123" s="267"/>
      <c r="E123" s="267"/>
      <c r="F123" s="267"/>
      <c r="G123" s="267"/>
      <c r="H123" s="268"/>
      <c r="I123" s="268"/>
    </row>
    <row r="124" spans="1:9" ht="15" thickBot="1" x14ac:dyDescent="0.35">
      <c r="A124" s="685"/>
      <c r="B124" s="267" t="s">
        <v>440</v>
      </c>
      <c r="C124" s="267"/>
      <c r="D124" s="267"/>
      <c r="E124" s="267"/>
      <c r="F124" s="267"/>
      <c r="G124" s="267"/>
      <c r="H124" s="268"/>
      <c r="I124" s="268"/>
    </row>
    <row r="125" spans="1:9" ht="24.6" thickBot="1" x14ac:dyDescent="0.35">
      <c r="A125" s="270"/>
      <c r="B125" s="270" t="s">
        <v>2035</v>
      </c>
      <c r="C125" s="270" t="s">
        <v>2036</v>
      </c>
      <c r="D125" s="270" t="s">
        <v>2037</v>
      </c>
      <c r="E125" s="270" t="s">
        <v>2038</v>
      </c>
      <c r="F125" s="270" t="s">
        <v>2044</v>
      </c>
      <c r="G125" s="270" t="s">
        <v>2040</v>
      </c>
      <c r="H125" s="270" t="s">
        <v>2041</v>
      </c>
      <c r="I125" s="270" t="s">
        <v>2042</v>
      </c>
    </row>
    <row r="126" spans="1:9" ht="15" thickBot="1" x14ac:dyDescent="0.35">
      <c r="A126" s="687" t="s">
        <v>457</v>
      </c>
      <c r="B126" s="687"/>
      <c r="C126" s="687"/>
      <c r="D126" s="687"/>
      <c r="E126" s="687"/>
      <c r="F126" s="687"/>
      <c r="G126" s="687"/>
      <c r="H126" s="687"/>
      <c r="I126" s="687"/>
    </row>
    <row r="127" spans="1:9" ht="15" thickBot="1" x14ac:dyDescent="0.35">
      <c r="A127" s="684" t="s">
        <v>422</v>
      </c>
      <c r="B127" s="267" t="s">
        <v>448</v>
      </c>
      <c r="C127" s="267">
        <v>91</v>
      </c>
      <c r="D127" s="267">
        <v>70</v>
      </c>
      <c r="E127" s="267">
        <v>58</v>
      </c>
      <c r="F127" s="267">
        <v>29</v>
      </c>
      <c r="G127" s="267">
        <v>118</v>
      </c>
      <c r="H127" s="268">
        <v>0.83</v>
      </c>
      <c r="I127" s="268">
        <v>0.5</v>
      </c>
    </row>
    <row r="128" spans="1:9" ht="15" thickBot="1" x14ac:dyDescent="0.35">
      <c r="A128" s="685"/>
      <c r="B128" s="267" t="s">
        <v>440</v>
      </c>
      <c r="C128" s="267">
        <v>0</v>
      </c>
      <c r="D128" s="267">
        <v>0</v>
      </c>
      <c r="E128" s="269">
        <v>0</v>
      </c>
      <c r="F128" s="269">
        <v>0</v>
      </c>
      <c r="G128" s="269">
        <v>0</v>
      </c>
      <c r="H128" s="268">
        <v>0</v>
      </c>
      <c r="I128" s="268">
        <v>0</v>
      </c>
    </row>
    <row r="129" spans="1:9" ht="15" thickBot="1" x14ac:dyDescent="0.35">
      <c r="A129" s="684" t="s">
        <v>423</v>
      </c>
      <c r="B129" s="267" t="s">
        <v>448</v>
      </c>
      <c r="C129" s="267">
        <v>133</v>
      </c>
      <c r="D129" s="267">
        <v>95</v>
      </c>
      <c r="E129" s="267">
        <v>79</v>
      </c>
      <c r="F129" s="267">
        <v>42</v>
      </c>
      <c r="G129" s="267">
        <v>126</v>
      </c>
      <c r="H129" s="268">
        <v>0.83</v>
      </c>
      <c r="I129" s="268">
        <v>0.53</v>
      </c>
    </row>
    <row r="130" spans="1:9" ht="15" thickBot="1" x14ac:dyDescent="0.35">
      <c r="A130" s="685"/>
      <c r="B130" s="267" t="s">
        <v>440</v>
      </c>
      <c r="C130" s="267">
        <v>0</v>
      </c>
      <c r="D130" s="267">
        <v>0</v>
      </c>
      <c r="E130" s="269">
        <v>0</v>
      </c>
      <c r="F130" s="269">
        <v>0</v>
      </c>
      <c r="G130" s="269">
        <v>0</v>
      </c>
      <c r="H130" s="268">
        <v>0</v>
      </c>
      <c r="I130" s="268">
        <v>0</v>
      </c>
    </row>
    <row r="131" spans="1:9" ht="15" thickBot="1" x14ac:dyDescent="0.35">
      <c r="A131" s="684" t="s">
        <v>424</v>
      </c>
      <c r="B131" s="267" t="s">
        <v>448</v>
      </c>
      <c r="C131" s="267">
        <v>114</v>
      </c>
      <c r="D131" s="267">
        <v>75</v>
      </c>
      <c r="E131" s="267">
        <v>56</v>
      </c>
      <c r="F131" s="267">
        <v>35</v>
      </c>
      <c r="G131" s="267">
        <v>112</v>
      </c>
      <c r="H131" s="268">
        <v>0.75</v>
      </c>
      <c r="I131" s="268">
        <v>0.63</v>
      </c>
    </row>
    <row r="132" spans="1:9" ht="15" thickBot="1" x14ac:dyDescent="0.35">
      <c r="A132" s="685"/>
      <c r="B132" s="267" t="s">
        <v>440</v>
      </c>
      <c r="C132" s="267">
        <v>0</v>
      </c>
      <c r="D132" s="267">
        <v>0</v>
      </c>
      <c r="E132" s="269">
        <v>0</v>
      </c>
      <c r="F132" s="269">
        <v>0</v>
      </c>
      <c r="G132" s="269">
        <v>0</v>
      </c>
      <c r="H132" s="268">
        <v>0</v>
      </c>
      <c r="I132" s="268">
        <v>0</v>
      </c>
    </row>
    <row r="133" spans="1:9" ht="15" thickBot="1" x14ac:dyDescent="0.35">
      <c r="A133" s="684" t="s">
        <v>425</v>
      </c>
      <c r="B133" s="267" t="s">
        <v>448</v>
      </c>
      <c r="C133" s="267">
        <v>76</v>
      </c>
      <c r="D133" s="267">
        <v>47</v>
      </c>
      <c r="E133" s="267">
        <v>37</v>
      </c>
      <c r="F133" s="267">
        <v>22</v>
      </c>
      <c r="G133" s="267">
        <v>93</v>
      </c>
      <c r="H133" s="268">
        <v>0.79</v>
      </c>
      <c r="I133" s="268">
        <v>0.59</v>
      </c>
    </row>
    <row r="134" spans="1:9" ht="15" thickBot="1" x14ac:dyDescent="0.35">
      <c r="A134" s="685"/>
      <c r="B134" s="267" t="s">
        <v>440</v>
      </c>
      <c r="C134" s="267">
        <v>0</v>
      </c>
      <c r="D134" s="267">
        <v>0</v>
      </c>
      <c r="E134" s="267">
        <v>0</v>
      </c>
      <c r="F134" s="267">
        <v>0</v>
      </c>
      <c r="G134" s="267">
        <v>0</v>
      </c>
      <c r="H134" s="268">
        <v>0</v>
      </c>
      <c r="I134" s="268">
        <v>0</v>
      </c>
    </row>
    <row r="135" spans="1:9" ht="15" thickBot="1" x14ac:dyDescent="0.35">
      <c r="A135" s="684" t="s">
        <v>426</v>
      </c>
      <c r="B135" s="267" t="s">
        <v>448</v>
      </c>
      <c r="C135" s="267">
        <v>68</v>
      </c>
      <c r="D135" s="267">
        <v>32</v>
      </c>
      <c r="E135" s="267">
        <v>30</v>
      </c>
      <c r="F135" s="267">
        <v>15</v>
      </c>
      <c r="G135" s="267">
        <v>75</v>
      </c>
      <c r="H135" s="268">
        <v>0.94</v>
      </c>
      <c r="I135" s="268">
        <v>0.5</v>
      </c>
    </row>
    <row r="136" spans="1:9" ht="15" thickBot="1" x14ac:dyDescent="0.35">
      <c r="A136" s="685"/>
      <c r="B136" s="267" t="s">
        <v>440</v>
      </c>
      <c r="C136" s="267">
        <v>95</v>
      </c>
      <c r="D136" s="267">
        <v>35</v>
      </c>
      <c r="E136" s="267">
        <v>31</v>
      </c>
      <c r="F136" s="267">
        <v>1</v>
      </c>
      <c r="G136" s="267">
        <v>1</v>
      </c>
      <c r="H136" s="268">
        <v>0.89</v>
      </c>
      <c r="I136" s="268">
        <v>0.03</v>
      </c>
    </row>
    <row r="137" spans="1:9" ht="15" thickBot="1" x14ac:dyDescent="0.35">
      <c r="A137" s="684" t="s">
        <v>427</v>
      </c>
      <c r="B137" s="267" t="s">
        <v>448</v>
      </c>
      <c r="C137" s="267">
        <v>76</v>
      </c>
      <c r="D137" s="267">
        <v>48</v>
      </c>
      <c r="E137" s="267">
        <v>44</v>
      </c>
      <c r="F137" s="267">
        <v>17</v>
      </c>
      <c r="G137" s="267">
        <v>63</v>
      </c>
      <c r="H137" s="268">
        <v>0.92</v>
      </c>
      <c r="I137" s="268">
        <v>0.39</v>
      </c>
    </row>
    <row r="138" spans="1:9" ht="15" thickBot="1" x14ac:dyDescent="0.35">
      <c r="A138" s="685"/>
      <c r="B138" s="267" t="s">
        <v>440</v>
      </c>
      <c r="C138" s="267">
        <v>1631</v>
      </c>
      <c r="D138" s="267">
        <v>362</v>
      </c>
      <c r="E138" s="267">
        <v>353</v>
      </c>
      <c r="F138" s="267">
        <v>132</v>
      </c>
      <c r="G138" s="267">
        <v>133</v>
      </c>
      <c r="H138" s="268">
        <v>0.98</v>
      </c>
      <c r="I138" s="268">
        <v>0.37</v>
      </c>
    </row>
    <row r="139" spans="1:9" ht="15" thickBot="1" x14ac:dyDescent="0.35">
      <c r="A139" s="684" t="s">
        <v>428</v>
      </c>
      <c r="B139" s="267" t="s">
        <v>448</v>
      </c>
      <c r="C139" s="267">
        <v>51</v>
      </c>
      <c r="D139" s="267">
        <v>38</v>
      </c>
      <c r="E139" s="267">
        <v>36</v>
      </c>
      <c r="F139" s="267">
        <v>0</v>
      </c>
      <c r="G139" s="267">
        <v>50</v>
      </c>
      <c r="H139" s="268">
        <v>0.95</v>
      </c>
      <c r="I139" s="268">
        <v>0</v>
      </c>
    </row>
    <row r="140" spans="1:9" ht="15" thickBot="1" x14ac:dyDescent="0.35">
      <c r="A140" s="685"/>
      <c r="B140" s="267" t="s">
        <v>440</v>
      </c>
      <c r="C140" s="267">
        <v>1049</v>
      </c>
      <c r="D140" s="267">
        <v>349</v>
      </c>
      <c r="E140" s="267">
        <v>327</v>
      </c>
      <c r="F140" s="267">
        <v>141</v>
      </c>
      <c r="G140" s="267">
        <v>249</v>
      </c>
      <c r="H140" s="268">
        <v>0.94</v>
      </c>
      <c r="I140" s="268">
        <v>0.43</v>
      </c>
    </row>
    <row r="141" spans="1:9" ht="15" thickBot="1" x14ac:dyDescent="0.35">
      <c r="A141" s="684" t="s">
        <v>429</v>
      </c>
      <c r="B141" s="267" t="s">
        <v>448</v>
      </c>
      <c r="C141" s="267">
        <v>102</v>
      </c>
      <c r="D141" s="267">
        <v>60</v>
      </c>
      <c r="E141" s="267">
        <v>57</v>
      </c>
      <c r="F141" s="267">
        <v>11</v>
      </c>
      <c r="G141" s="267">
        <v>37</v>
      </c>
      <c r="H141" s="268">
        <v>0.95</v>
      </c>
      <c r="I141" s="268">
        <v>0.19</v>
      </c>
    </row>
    <row r="142" spans="1:9" ht="15" thickBot="1" x14ac:dyDescent="0.35">
      <c r="A142" s="685"/>
      <c r="B142" s="267" t="s">
        <v>440</v>
      </c>
      <c r="C142" s="267">
        <v>1581</v>
      </c>
      <c r="D142" s="267">
        <v>829</v>
      </c>
      <c r="E142" s="267">
        <v>740</v>
      </c>
      <c r="F142" s="267">
        <v>315</v>
      </c>
      <c r="G142" s="267">
        <v>533</v>
      </c>
      <c r="H142" s="268">
        <v>0.89</v>
      </c>
      <c r="I142" s="268">
        <v>0.43</v>
      </c>
    </row>
    <row r="143" spans="1:9" ht="15" thickBot="1" x14ac:dyDescent="0.35">
      <c r="A143" s="684" t="s">
        <v>430</v>
      </c>
      <c r="B143" s="267" t="s">
        <v>448</v>
      </c>
      <c r="C143" s="267">
        <v>157</v>
      </c>
      <c r="D143" s="267">
        <v>124</v>
      </c>
      <c r="E143" s="267">
        <v>111</v>
      </c>
      <c r="F143" s="267">
        <v>49</v>
      </c>
      <c r="G143" s="267">
        <v>70</v>
      </c>
      <c r="H143" s="268">
        <v>0.9</v>
      </c>
      <c r="I143" s="268">
        <v>0.44</v>
      </c>
    </row>
    <row r="144" spans="1:9" ht="15" thickBot="1" x14ac:dyDescent="0.35">
      <c r="A144" s="685"/>
      <c r="B144" s="267" t="s">
        <v>440</v>
      </c>
      <c r="C144" s="267">
        <v>1625</v>
      </c>
      <c r="D144" s="267">
        <v>1091</v>
      </c>
      <c r="E144" s="267">
        <v>1043</v>
      </c>
      <c r="F144" s="267">
        <v>386</v>
      </c>
      <c r="G144" s="267">
        <v>790</v>
      </c>
      <c r="H144" s="268">
        <v>0.96</v>
      </c>
      <c r="I144" s="268">
        <v>0.37</v>
      </c>
    </row>
    <row r="145" spans="1:9" ht="15" thickBot="1" x14ac:dyDescent="0.35">
      <c r="A145" s="684" t="s">
        <v>358</v>
      </c>
      <c r="B145" s="267" t="s">
        <v>448</v>
      </c>
      <c r="C145" s="267">
        <v>158</v>
      </c>
      <c r="D145" s="267">
        <v>102</v>
      </c>
      <c r="E145" s="267">
        <v>99</v>
      </c>
      <c r="F145" s="267">
        <v>48</v>
      </c>
      <c r="G145" s="267">
        <v>103</v>
      </c>
      <c r="H145" s="268">
        <v>0.97</v>
      </c>
      <c r="I145" s="268">
        <v>0.48</v>
      </c>
    </row>
    <row r="146" spans="1:9" ht="15" thickBot="1" x14ac:dyDescent="0.35">
      <c r="A146" s="685"/>
      <c r="B146" s="267" t="s">
        <v>440</v>
      </c>
      <c r="C146" s="267">
        <v>1280</v>
      </c>
      <c r="D146" s="267">
        <v>822</v>
      </c>
      <c r="E146" s="267">
        <v>774</v>
      </c>
      <c r="F146" s="267">
        <v>386</v>
      </c>
      <c r="G146" s="267">
        <v>913</v>
      </c>
      <c r="H146" s="268">
        <v>0.94</v>
      </c>
      <c r="I146" s="268">
        <v>0.5</v>
      </c>
    </row>
    <row r="147" spans="1:9" ht="15" thickBot="1" x14ac:dyDescent="0.35">
      <c r="A147" s="684" t="s">
        <v>359</v>
      </c>
      <c r="B147" s="267" t="s">
        <v>448</v>
      </c>
      <c r="C147" s="267">
        <v>99</v>
      </c>
      <c r="D147" s="267">
        <v>67</v>
      </c>
      <c r="E147" s="267">
        <v>63</v>
      </c>
      <c r="F147" s="267">
        <v>24</v>
      </c>
      <c r="G147" s="267">
        <v>109</v>
      </c>
      <c r="H147" s="268">
        <f t="shared" ref="H147:I150" si="4">IFERROR(E147/D147,0)</f>
        <v>0.94029850746268662</v>
      </c>
      <c r="I147" s="268">
        <f t="shared" si="4"/>
        <v>0.38095238095238093</v>
      </c>
    </row>
    <row r="148" spans="1:9" x14ac:dyDescent="0.3">
      <c r="A148" s="685"/>
      <c r="B148" s="267" t="s">
        <v>440</v>
      </c>
      <c r="C148" s="267">
        <v>1586</v>
      </c>
      <c r="D148" s="267">
        <v>1020</v>
      </c>
      <c r="E148" s="267">
        <v>958</v>
      </c>
      <c r="F148" s="267">
        <v>523</v>
      </c>
      <c r="G148" s="267">
        <v>1131</v>
      </c>
      <c r="H148" s="268">
        <f t="shared" si="4"/>
        <v>0.9392156862745098</v>
      </c>
      <c r="I148" s="268">
        <f t="shared" si="4"/>
        <v>0.54592901878914402</v>
      </c>
    </row>
    <row r="149" spans="1:9" x14ac:dyDescent="0.3">
      <c r="A149" s="684" t="s">
        <v>360</v>
      </c>
      <c r="B149" s="267" t="s">
        <v>448</v>
      </c>
      <c r="C149" s="267">
        <v>115</v>
      </c>
      <c r="D149" s="267">
        <v>77</v>
      </c>
      <c r="E149" s="267">
        <v>74</v>
      </c>
      <c r="F149" s="267">
        <v>43</v>
      </c>
      <c r="G149" s="267">
        <v>126</v>
      </c>
      <c r="H149" s="268">
        <f t="shared" si="4"/>
        <v>0.96103896103896103</v>
      </c>
      <c r="I149" s="268">
        <f t="shared" si="4"/>
        <v>0.58108108108108103</v>
      </c>
    </row>
    <row r="150" spans="1:9" ht="15" thickBot="1" x14ac:dyDescent="0.35">
      <c r="A150" s="685"/>
      <c r="B150" s="267" t="s">
        <v>440</v>
      </c>
      <c r="C150" s="267">
        <v>2235</v>
      </c>
      <c r="D150" s="267">
        <v>1659</v>
      </c>
      <c r="E150" s="267">
        <v>1564</v>
      </c>
      <c r="F150" s="267">
        <v>909</v>
      </c>
      <c r="G150" s="267">
        <v>1685</v>
      </c>
      <c r="H150" s="268">
        <f t="shared" si="4"/>
        <v>0.94273658830620854</v>
      </c>
      <c r="I150" s="268">
        <f>IFERROR(F150/E150,0)</f>
        <v>0.58120204603580561</v>
      </c>
    </row>
    <row r="151" spans="1:9" ht="15" thickBot="1" x14ac:dyDescent="0.35">
      <c r="A151" s="684" t="s">
        <v>361</v>
      </c>
      <c r="B151" s="267" t="s">
        <v>448</v>
      </c>
      <c r="C151" s="267"/>
      <c r="D151" s="267"/>
      <c r="E151" s="267"/>
      <c r="F151" s="267"/>
      <c r="G151" s="267"/>
      <c r="H151" s="268"/>
      <c r="I151" s="268"/>
    </row>
    <row r="152" spans="1:9" ht="15" thickBot="1" x14ac:dyDescent="0.35">
      <c r="A152" s="685"/>
      <c r="B152" s="267" t="s">
        <v>440</v>
      </c>
      <c r="C152" s="267"/>
      <c r="D152" s="267"/>
      <c r="E152" s="267"/>
      <c r="F152" s="267"/>
      <c r="G152" s="267"/>
      <c r="H152" s="268"/>
      <c r="I152" s="268"/>
    </row>
    <row r="153" spans="1:9" ht="15" thickBot="1" x14ac:dyDescent="0.35">
      <c r="A153" s="684" t="s">
        <v>362</v>
      </c>
      <c r="B153" s="267" t="s">
        <v>448</v>
      </c>
      <c r="C153" s="267"/>
      <c r="D153" s="267"/>
      <c r="E153" s="267"/>
      <c r="F153" s="267"/>
      <c r="G153" s="267"/>
      <c r="H153" s="268"/>
      <c r="I153" s="268"/>
    </row>
    <row r="154" spans="1:9" ht="15" thickBot="1" x14ac:dyDescent="0.35">
      <c r="A154" s="685"/>
      <c r="B154" s="267" t="s">
        <v>440</v>
      </c>
      <c r="C154" s="267"/>
      <c r="D154" s="267"/>
      <c r="E154" s="267"/>
      <c r="F154" s="267"/>
      <c r="G154" s="267"/>
      <c r="H154" s="268"/>
      <c r="I154" s="268"/>
    </row>
  </sheetData>
  <mergeCells count="75">
    <mergeCell ref="A151:A152"/>
    <mergeCell ref="A153:A154"/>
    <mergeCell ref="A31:A32"/>
    <mergeCell ref="A33:A34"/>
    <mergeCell ref="A61:A62"/>
    <mergeCell ref="A63:A64"/>
    <mergeCell ref="A91:A92"/>
    <mergeCell ref="A83:A84"/>
    <mergeCell ref="A85:A86"/>
    <mergeCell ref="A96:I96"/>
    <mergeCell ref="A89:A90"/>
    <mergeCell ref="A119:A120"/>
    <mergeCell ref="A97:A98"/>
    <mergeCell ref="A99:A100"/>
    <mergeCell ref="A87:A88"/>
    <mergeCell ref="A93:A94"/>
    <mergeCell ref="A149:A150"/>
    <mergeCell ref="A126:I126"/>
    <mergeCell ref="A127:A128"/>
    <mergeCell ref="A111:A112"/>
    <mergeCell ref="A105:A106"/>
    <mergeCell ref="A107:A108"/>
    <mergeCell ref="A109:A110"/>
    <mergeCell ref="A117:A118"/>
    <mergeCell ref="A113:A114"/>
    <mergeCell ref="A115:A116"/>
    <mergeCell ref="A147:A148"/>
    <mergeCell ref="A133:A134"/>
    <mergeCell ref="A135:A136"/>
    <mergeCell ref="A137:A138"/>
    <mergeCell ref="A139:A140"/>
    <mergeCell ref="A141:A142"/>
    <mergeCell ref="A143:A144"/>
    <mergeCell ref="A145:A146"/>
    <mergeCell ref="A129:A130"/>
    <mergeCell ref="A131:A132"/>
    <mergeCell ref="A101:A102"/>
    <mergeCell ref="A103:A104"/>
    <mergeCell ref="A121:A122"/>
    <mergeCell ref="A123:A124"/>
    <mergeCell ref="A79:A80"/>
    <mergeCell ref="A49:A50"/>
    <mergeCell ref="A51:A52"/>
    <mergeCell ref="A53:A54"/>
    <mergeCell ref="A55:A56"/>
    <mergeCell ref="A66:I66"/>
    <mergeCell ref="A67:A68"/>
    <mergeCell ref="A69:A70"/>
    <mergeCell ref="A71:A72"/>
    <mergeCell ref="A73:A74"/>
    <mergeCell ref="A75:A76"/>
    <mergeCell ref="A77:A78"/>
    <mergeCell ref="A57:A58"/>
    <mergeCell ref="A81:A82"/>
    <mergeCell ref="A59:A60"/>
    <mergeCell ref="A47:A48"/>
    <mergeCell ref="A17:A18"/>
    <mergeCell ref="A19:A20"/>
    <mergeCell ref="A21:A22"/>
    <mergeCell ref="A23:A24"/>
    <mergeCell ref="A25:A26"/>
    <mergeCell ref="A36:I36"/>
    <mergeCell ref="A37:A38"/>
    <mergeCell ref="A39:A40"/>
    <mergeCell ref="A41:A42"/>
    <mergeCell ref="A43:A44"/>
    <mergeCell ref="A45:A46"/>
    <mergeCell ref="A27:A28"/>
    <mergeCell ref="A29:A30"/>
    <mergeCell ref="A15:A16"/>
    <mergeCell ref="A6:I6"/>
    <mergeCell ref="A7:A8"/>
    <mergeCell ref="A9:A10"/>
    <mergeCell ref="A11:A12"/>
    <mergeCell ref="A13:A14"/>
  </mergeCells>
  <pageMargins left="0.7" right="0.7" top="0.75" bottom="0.75" header="0.3" footer="0.3"/>
  <drawing r:id="rId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0129F-2D33-42C2-A50A-BABAE68D5BA6}">
  <dimension ref="A1:P17"/>
  <sheetViews>
    <sheetView workbookViewId="0">
      <selection activeCell="B3" sqref="B3"/>
    </sheetView>
  </sheetViews>
  <sheetFormatPr baseColWidth="10" defaultColWidth="28.44140625" defaultRowHeight="14.4" x14ac:dyDescent="0.3"/>
  <cols>
    <col min="1" max="1" width="16.44140625" customWidth="1"/>
    <col min="2" max="2" width="11.44140625" customWidth="1"/>
    <col min="3" max="18" width="8.44140625" customWidth="1"/>
    <col min="19" max="19" width="5.44140625" customWidth="1"/>
  </cols>
  <sheetData>
    <row r="1" spans="1:16" x14ac:dyDescent="0.3">
      <c r="A1" t="s">
        <v>355</v>
      </c>
      <c r="B1">
        <v>216</v>
      </c>
    </row>
    <row r="2" spans="1:16" x14ac:dyDescent="0.3">
      <c r="A2" t="s">
        <v>5</v>
      </c>
      <c r="B2" t="s">
        <v>2045</v>
      </c>
    </row>
    <row r="3" spans="1:16" ht="15" thickBot="1" x14ac:dyDescent="0.35"/>
    <row r="4" spans="1:16" ht="24" x14ac:dyDescent="0.3">
      <c r="A4" s="271"/>
      <c r="B4" s="272" t="s">
        <v>451</v>
      </c>
      <c r="C4" s="272" t="s">
        <v>422</v>
      </c>
      <c r="D4" s="272" t="s">
        <v>423</v>
      </c>
      <c r="E4" s="272" t="s">
        <v>424</v>
      </c>
      <c r="F4" s="272" t="s">
        <v>425</v>
      </c>
      <c r="G4" s="272" t="s">
        <v>426</v>
      </c>
      <c r="H4" s="272" t="s">
        <v>427</v>
      </c>
      <c r="I4" s="272" t="s">
        <v>428</v>
      </c>
      <c r="J4" s="272" t="s">
        <v>429</v>
      </c>
      <c r="K4" s="272" t="s">
        <v>430</v>
      </c>
      <c r="L4" s="272" t="s">
        <v>358</v>
      </c>
      <c r="M4" s="272" t="s">
        <v>359</v>
      </c>
      <c r="N4" s="402" t="s">
        <v>360</v>
      </c>
      <c r="O4" s="402" t="s">
        <v>361</v>
      </c>
      <c r="P4" s="402" t="s">
        <v>362</v>
      </c>
    </row>
    <row r="5" spans="1:16" ht="15" thickBot="1" x14ac:dyDescent="0.35">
      <c r="A5" s="688" t="s">
        <v>452</v>
      </c>
      <c r="B5" s="688"/>
      <c r="C5" s="76">
        <v>7501</v>
      </c>
      <c r="D5" s="76">
        <v>7426</v>
      </c>
      <c r="E5" s="76">
        <v>6292</v>
      </c>
      <c r="F5" s="76">
        <v>6113</v>
      </c>
      <c r="G5" s="76">
        <v>5601</v>
      </c>
      <c r="H5" s="76">
        <v>5505</v>
      </c>
      <c r="I5" s="76">
        <v>5239</v>
      </c>
      <c r="J5" s="76">
        <v>5614</v>
      </c>
      <c r="K5" s="76">
        <v>5627</v>
      </c>
      <c r="L5" s="76">
        <v>5800</v>
      </c>
      <c r="M5" s="76">
        <v>5585</v>
      </c>
      <c r="N5" s="76">
        <v>5979</v>
      </c>
      <c r="O5" s="76"/>
      <c r="P5" s="76"/>
    </row>
    <row r="6" spans="1:16" x14ac:dyDescent="0.3">
      <c r="A6" s="689" t="s">
        <v>448</v>
      </c>
      <c r="B6" s="2" t="s">
        <v>453</v>
      </c>
      <c r="C6" s="273">
        <v>31</v>
      </c>
      <c r="D6" s="273">
        <v>27</v>
      </c>
      <c r="E6" s="273">
        <v>13</v>
      </c>
      <c r="F6" s="273">
        <v>13</v>
      </c>
      <c r="G6" s="273">
        <v>6</v>
      </c>
      <c r="H6" s="273">
        <v>5</v>
      </c>
      <c r="I6" s="273">
        <v>3</v>
      </c>
      <c r="J6" s="273">
        <v>2</v>
      </c>
      <c r="K6" s="273">
        <v>2</v>
      </c>
      <c r="L6" s="273">
        <v>1</v>
      </c>
      <c r="M6" s="273">
        <v>0</v>
      </c>
      <c r="N6" s="273">
        <v>0</v>
      </c>
      <c r="O6" s="273"/>
      <c r="P6" s="273"/>
    </row>
    <row r="7" spans="1:16" x14ac:dyDescent="0.3">
      <c r="A7" s="690"/>
      <c r="B7" s="2" t="s">
        <v>454</v>
      </c>
      <c r="C7" s="273">
        <v>392</v>
      </c>
      <c r="D7" s="273">
        <v>369</v>
      </c>
      <c r="E7" s="273">
        <v>291</v>
      </c>
      <c r="F7" s="273">
        <v>275</v>
      </c>
      <c r="G7" s="273">
        <v>263</v>
      </c>
      <c r="H7" s="273">
        <v>249</v>
      </c>
      <c r="I7" s="273">
        <v>320</v>
      </c>
      <c r="J7" s="273">
        <v>385</v>
      </c>
      <c r="K7" s="273">
        <v>423</v>
      </c>
      <c r="L7" s="273">
        <v>458</v>
      </c>
      <c r="M7" s="273">
        <v>442</v>
      </c>
      <c r="N7" s="273">
        <v>435</v>
      </c>
      <c r="O7" s="273"/>
      <c r="P7" s="273"/>
    </row>
    <row r="8" spans="1:16" x14ac:dyDescent="0.3">
      <c r="A8" s="690"/>
      <c r="B8" s="2" t="s">
        <v>455</v>
      </c>
      <c r="C8" s="273">
        <v>6391</v>
      </c>
      <c r="D8" s="273">
        <v>6327</v>
      </c>
      <c r="E8" s="273">
        <v>5430</v>
      </c>
      <c r="F8" s="273">
        <v>5294</v>
      </c>
      <c r="G8" s="273">
        <v>4822</v>
      </c>
      <c r="H8" s="273">
        <v>4768</v>
      </c>
      <c r="I8" s="273">
        <v>4429</v>
      </c>
      <c r="J8" s="273">
        <v>4720</v>
      </c>
      <c r="K8" s="273">
        <v>4665</v>
      </c>
      <c r="L8" s="273">
        <v>4755</v>
      </c>
      <c r="M8" s="273">
        <v>4535</v>
      </c>
      <c r="N8" s="273">
        <v>4880</v>
      </c>
      <c r="O8" s="273"/>
      <c r="P8" s="273"/>
    </row>
    <row r="9" spans="1:16" x14ac:dyDescent="0.3">
      <c r="A9" s="690"/>
      <c r="B9" s="2" t="s">
        <v>456</v>
      </c>
      <c r="C9" s="273">
        <v>569</v>
      </c>
      <c r="D9" s="273">
        <v>577</v>
      </c>
      <c r="E9" s="273">
        <v>446</v>
      </c>
      <c r="F9" s="273">
        <v>438</v>
      </c>
      <c r="G9" s="273">
        <v>435</v>
      </c>
      <c r="H9" s="273">
        <v>420</v>
      </c>
      <c r="I9" s="273">
        <v>437</v>
      </c>
      <c r="J9" s="273">
        <v>470</v>
      </c>
      <c r="K9" s="273">
        <v>467</v>
      </c>
      <c r="L9" s="273">
        <v>483</v>
      </c>
      <c r="M9" s="273">
        <v>499</v>
      </c>
      <c r="N9" s="273">
        <v>538</v>
      </c>
      <c r="O9" s="273"/>
      <c r="P9" s="273"/>
    </row>
    <row r="10" spans="1:16" ht="15" thickBot="1" x14ac:dyDescent="0.35">
      <c r="A10" s="688"/>
      <c r="B10" s="6" t="s">
        <v>457</v>
      </c>
      <c r="C10" s="75">
        <v>118</v>
      </c>
      <c r="D10" s="75">
        <v>126</v>
      </c>
      <c r="E10" s="75">
        <v>112</v>
      </c>
      <c r="F10" s="75">
        <v>93</v>
      </c>
      <c r="G10" s="75">
        <v>75</v>
      </c>
      <c r="H10" s="75">
        <v>63</v>
      </c>
      <c r="I10" s="75">
        <v>50</v>
      </c>
      <c r="J10" s="75">
        <v>37</v>
      </c>
      <c r="K10" s="75">
        <v>70</v>
      </c>
      <c r="L10" s="75">
        <v>103</v>
      </c>
      <c r="M10" s="75">
        <v>109</v>
      </c>
      <c r="N10" s="75">
        <v>126</v>
      </c>
      <c r="O10" s="75"/>
      <c r="P10" s="75"/>
    </row>
    <row r="11" spans="1:16" ht="15" thickBot="1" x14ac:dyDescent="0.35">
      <c r="A11" s="691" t="s">
        <v>458</v>
      </c>
      <c r="B11" s="691"/>
      <c r="C11" s="76">
        <v>43613</v>
      </c>
      <c r="D11" s="76">
        <v>44262</v>
      </c>
      <c r="E11" s="76">
        <v>44718</v>
      </c>
      <c r="F11" s="76">
        <v>43590</v>
      </c>
      <c r="G11" s="76">
        <v>42676</v>
      </c>
      <c r="H11" s="76">
        <v>43415</v>
      </c>
      <c r="I11" s="76">
        <v>43449</v>
      </c>
      <c r="J11" s="76">
        <v>43568</v>
      </c>
      <c r="K11" s="76">
        <v>44083</v>
      </c>
      <c r="L11" s="76">
        <v>44161</v>
      </c>
      <c r="M11" s="76">
        <v>43840</v>
      </c>
      <c r="N11" s="76">
        <v>47762</v>
      </c>
      <c r="O11" s="76"/>
      <c r="P11" s="76"/>
    </row>
    <row r="12" spans="1:16" x14ac:dyDescent="0.3">
      <c r="A12" s="689" t="s">
        <v>440</v>
      </c>
      <c r="B12" s="2" t="s">
        <v>453</v>
      </c>
      <c r="C12" s="273">
        <v>312</v>
      </c>
      <c r="D12" s="273">
        <v>355</v>
      </c>
      <c r="E12" s="273">
        <v>434</v>
      </c>
      <c r="F12" s="273">
        <v>370</v>
      </c>
      <c r="G12" s="273">
        <v>383</v>
      </c>
      <c r="H12" s="273">
        <v>427</v>
      </c>
      <c r="I12" s="273">
        <v>401</v>
      </c>
      <c r="J12" s="273">
        <v>344</v>
      </c>
      <c r="K12" s="273">
        <v>353</v>
      </c>
      <c r="L12" s="273">
        <v>328</v>
      </c>
      <c r="M12" s="273">
        <v>291</v>
      </c>
      <c r="N12" s="273">
        <v>355</v>
      </c>
      <c r="O12" s="273"/>
      <c r="P12" s="273"/>
    </row>
    <row r="13" spans="1:16" x14ac:dyDescent="0.3">
      <c r="A13" s="690"/>
      <c r="B13" s="2" t="s">
        <v>454</v>
      </c>
      <c r="C13" s="273">
        <v>5405</v>
      </c>
      <c r="D13" s="273">
        <v>5544</v>
      </c>
      <c r="E13" s="273">
        <v>5448</v>
      </c>
      <c r="F13" s="273">
        <v>5371</v>
      </c>
      <c r="G13" s="273">
        <v>5106</v>
      </c>
      <c r="H13" s="273">
        <v>5025</v>
      </c>
      <c r="I13" s="273">
        <v>4869</v>
      </c>
      <c r="J13" s="273">
        <v>4702</v>
      </c>
      <c r="K13" s="273">
        <v>4550</v>
      </c>
      <c r="L13" s="273">
        <v>4401</v>
      </c>
      <c r="M13" s="273">
        <v>4079</v>
      </c>
      <c r="N13" s="273">
        <v>4311</v>
      </c>
      <c r="O13" s="273"/>
      <c r="P13" s="273"/>
    </row>
    <row r="14" spans="1:16" x14ac:dyDescent="0.3">
      <c r="A14" s="690"/>
      <c r="B14" s="2" t="s">
        <v>455</v>
      </c>
      <c r="C14" s="273">
        <v>36710</v>
      </c>
      <c r="D14" s="273">
        <v>37056</v>
      </c>
      <c r="E14" s="273">
        <v>37269</v>
      </c>
      <c r="F14" s="273">
        <v>36150</v>
      </c>
      <c r="G14" s="273">
        <v>35640</v>
      </c>
      <c r="H14" s="273">
        <v>36070</v>
      </c>
      <c r="I14" s="273">
        <v>36076</v>
      </c>
      <c r="J14" s="273">
        <v>36074</v>
      </c>
      <c r="K14" s="273">
        <v>36409</v>
      </c>
      <c r="L14" s="273">
        <v>36534</v>
      </c>
      <c r="M14" s="273">
        <v>36412</v>
      </c>
      <c r="N14" s="273">
        <v>39351</v>
      </c>
      <c r="O14" s="273"/>
      <c r="P14" s="273"/>
    </row>
    <row r="15" spans="1:16" x14ac:dyDescent="0.3">
      <c r="A15" s="690"/>
      <c r="B15" s="2" t="s">
        <v>456</v>
      </c>
      <c r="C15" s="273">
        <v>1186</v>
      </c>
      <c r="D15" s="273">
        <v>1307</v>
      </c>
      <c r="E15" s="273">
        <v>1567</v>
      </c>
      <c r="F15" s="273">
        <v>1699</v>
      </c>
      <c r="G15" s="273">
        <v>1546</v>
      </c>
      <c r="H15" s="273">
        <v>1760</v>
      </c>
      <c r="I15" s="273">
        <v>1854</v>
      </c>
      <c r="J15" s="273">
        <v>1915</v>
      </c>
      <c r="K15" s="273">
        <v>1981</v>
      </c>
      <c r="L15" s="273">
        <v>1985</v>
      </c>
      <c r="M15" s="273">
        <v>1927</v>
      </c>
      <c r="N15" s="273">
        <v>2060</v>
      </c>
      <c r="O15" s="273"/>
      <c r="P15" s="273"/>
    </row>
    <row r="16" spans="1:16" ht="15" thickBot="1" x14ac:dyDescent="0.35">
      <c r="A16" s="688"/>
      <c r="B16" s="6" t="s">
        <v>457</v>
      </c>
      <c r="C16" s="75"/>
      <c r="D16" s="75"/>
      <c r="E16" s="75"/>
      <c r="F16" s="75"/>
      <c r="G16" s="75">
        <v>1</v>
      </c>
      <c r="H16" s="75">
        <v>133</v>
      </c>
      <c r="I16" s="75">
        <v>249</v>
      </c>
      <c r="J16" s="75">
        <v>533</v>
      </c>
      <c r="K16" s="75">
        <v>790</v>
      </c>
      <c r="L16" s="75">
        <v>913</v>
      </c>
      <c r="M16" s="75">
        <v>1131</v>
      </c>
      <c r="N16" s="75">
        <v>1685</v>
      </c>
      <c r="O16" s="75"/>
      <c r="P16" s="75"/>
    </row>
    <row r="17" spans="1:16" x14ac:dyDescent="0.3">
      <c r="A17" s="689" t="s">
        <v>459</v>
      </c>
      <c r="B17" s="689"/>
      <c r="C17" s="274">
        <v>51114</v>
      </c>
      <c r="D17" s="274">
        <v>51688</v>
      </c>
      <c r="E17" s="274">
        <v>51010</v>
      </c>
      <c r="F17" s="274">
        <v>49703</v>
      </c>
      <c r="G17" s="274">
        <v>48277</v>
      </c>
      <c r="H17" s="274">
        <v>48920</v>
      </c>
      <c r="I17" s="274">
        <v>48688</v>
      </c>
      <c r="J17" s="274">
        <v>49182</v>
      </c>
      <c r="K17" s="274">
        <v>49710</v>
      </c>
      <c r="L17" s="274">
        <v>49961</v>
      </c>
      <c r="M17" s="274">
        <v>49425</v>
      </c>
      <c r="N17" s="274">
        <v>53741</v>
      </c>
      <c r="O17" s="274"/>
      <c r="P17" s="274"/>
    </row>
  </sheetData>
  <mergeCells count="5">
    <mergeCell ref="A5:B5"/>
    <mergeCell ref="A6:A10"/>
    <mergeCell ref="A11:B11"/>
    <mergeCell ref="A12:A16"/>
    <mergeCell ref="A17:B17"/>
  </mergeCells>
  <pageMargins left="0.7" right="0.7" top="0.75" bottom="0.75" header="0.3" footer="0.3"/>
  <drawing r:id="rId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2A9AE-24AD-4591-AADB-8AD676AE061C}">
  <dimension ref="A1:O19"/>
  <sheetViews>
    <sheetView workbookViewId="0">
      <selection activeCell="O5" sqref="O5"/>
    </sheetView>
  </sheetViews>
  <sheetFormatPr baseColWidth="10" defaultColWidth="28.44140625" defaultRowHeight="14.4" x14ac:dyDescent="0.3"/>
  <cols>
    <col min="1" max="1" width="16.44140625" customWidth="1"/>
    <col min="2" max="2" width="11.44140625" customWidth="1"/>
    <col min="3" max="15" width="8.44140625" customWidth="1"/>
    <col min="16" max="16" width="5.44140625" customWidth="1"/>
  </cols>
  <sheetData>
    <row r="1" spans="1:15" x14ac:dyDescent="0.3">
      <c r="A1" t="s">
        <v>355</v>
      </c>
      <c r="B1">
        <v>217</v>
      </c>
    </row>
    <row r="2" spans="1:15" x14ac:dyDescent="0.3">
      <c r="A2" t="s">
        <v>5</v>
      </c>
      <c r="B2" t="s">
        <v>351</v>
      </c>
    </row>
    <row r="4" spans="1:15" ht="15" thickBot="1" x14ac:dyDescent="0.35"/>
    <row r="5" spans="1:15" ht="15" thickBot="1" x14ac:dyDescent="0.35">
      <c r="A5" s="275" t="s">
        <v>463</v>
      </c>
      <c r="B5" s="275" t="s">
        <v>2046</v>
      </c>
      <c r="C5" s="275" t="s">
        <v>2047</v>
      </c>
      <c r="D5" s="275" t="s">
        <v>2048</v>
      </c>
      <c r="E5" s="275" t="s">
        <v>2049</v>
      </c>
      <c r="F5" s="275" t="s">
        <v>2050</v>
      </c>
      <c r="G5" s="275" t="s">
        <v>2051</v>
      </c>
      <c r="H5" s="275" t="s">
        <v>2052</v>
      </c>
      <c r="I5" s="275" t="s">
        <v>2053</v>
      </c>
      <c r="J5" s="275" t="s">
        <v>2054</v>
      </c>
      <c r="K5" s="275" t="s">
        <v>2055</v>
      </c>
      <c r="L5" s="275" t="s">
        <v>2056</v>
      </c>
      <c r="M5" s="275" t="s">
        <v>2057</v>
      </c>
      <c r="N5" s="275" t="s">
        <v>2058</v>
      </c>
    </row>
    <row r="6" spans="1:15" ht="15" thickBot="1" x14ac:dyDescent="0.35">
      <c r="A6" s="82" t="s">
        <v>440</v>
      </c>
      <c r="B6" s="82" t="s">
        <v>2059</v>
      </c>
      <c r="C6" s="386">
        <v>0.26500000000000001</v>
      </c>
      <c r="D6" s="386">
        <v>0.3387</v>
      </c>
      <c r="E6" s="386">
        <v>0.37830000000000003</v>
      </c>
      <c r="F6" s="386">
        <v>0.40589999999999998</v>
      </c>
      <c r="G6" s="386">
        <v>0.42730000000000001</v>
      </c>
      <c r="H6" s="386">
        <v>0.44379999999999997</v>
      </c>
      <c r="I6" s="386">
        <v>0.46079999999999999</v>
      </c>
      <c r="J6" s="386">
        <v>0.47439999999999999</v>
      </c>
      <c r="K6" s="386">
        <v>0.48949999999999999</v>
      </c>
      <c r="L6" s="386">
        <v>0.50380000000000003</v>
      </c>
      <c r="M6" s="386">
        <v>0.51739999999999997</v>
      </c>
      <c r="N6" s="386">
        <v>0.53310000000000002</v>
      </c>
    </row>
    <row r="7" spans="1:15" ht="15" thickBot="1" x14ac:dyDescent="0.35">
      <c r="A7" s="82" t="s">
        <v>448</v>
      </c>
      <c r="B7" s="82" t="s">
        <v>2059</v>
      </c>
      <c r="C7" s="386">
        <v>0.1769</v>
      </c>
      <c r="D7" s="386">
        <v>0.25729999999999997</v>
      </c>
      <c r="E7" s="386">
        <v>0.31680000000000003</v>
      </c>
      <c r="F7" s="386">
        <v>0.3528</v>
      </c>
      <c r="G7" s="386">
        <v>0.37730000000000002</v>
      </c>
      <c r="H7" s="386">
        <v>0.39529999999999998</v>
      </c>
      <c r="I7" s="386">
        <v>0.40899999999999997</v>
      </c>
      <c r="J7" s="386">
        <v>0.42099999999999999</v>
      </c>
      <c r="K7" s="386">
        <v>0.43090000000000001</v>
      </c>
      <c r="L7" s="386">
        <v>0.43890000000000001</v>
      </c>
      <c r="M7" s="386">
        <v>0.44619999999999999</v>
      </c>
      <c r="N7" s="386">
        <v>0.45350000000000001</v>
      </c>
    </row>
    <row r="8" spans="1:15" ht="15" thickBot="1" x14ac:dyDescent="0.35">
      <c r="A8" s="693" t="s">
        <v>1243</v>
      </c>
      <c r="B8" s="693"/>
      <c r="C8" s="387">
        <v>0.22600000000000001</v>
      </c>
      <c r="D8" s="387">
        <v>0.29449999999999998</v>
      </c>
      <c r="E8" s="387">
        <v>0.3332</v>
      </c>
      <c r="F8" s="387">
        <v>0.3604</v>
      </c>
      <c r="G8" s="387">
        <v>0.38040000000000002</v>
      </c>
      <c r="H8" s="387">
        <v>0.39439999999999997</v>
      </c>
      <c r="I8" s="387">
        <v>0.40739999999999998</v>
      </c>
      <c r="J8" s="387">
        <v>0.41959999999999997</v>
      </c>
      <c r="K8" s="387">
        <v>0.4325</v>
      </c>
      <c r="L8" s="387">
        <v>0.44529999999999997</v>
      </c>
      <c r="M8" s="387">
        <v>0.45760000000000001</v>
      </c>
      <c r="N8" s="387">
        <v>0.46700000000000003</v>
      </c>
    </row>
    <row r="9" spans="1:15" ht="15" thickBot="1" x14ac:dyDescent="0.35">
      <c r="A9" s="692" t="s">
        <v>440</v>
      </c>
      <c r="B9" s="692"/>
      <c r="C9" s="386">
        <v>0.2422</v>
      </c>
      <c r="D9" s="386">
        <v>0.3342</v>
      </c>
      <c r="E9" s="386">
        <v>0.3957</v>
      </c>
      <c r="F9" s="386">
        <v>0.44350000000000001</v>
      </c>
      <c r="G9" s="386">
        <v>0.48180000000000001</v>
      </c>
      <c r="H9" s="386">
        <v>0.50800000000000001</v>
      </c>
      <c r="I9" s="386">
        <v>0.52439999999999998</v>
      </c>
      <c r="J9" s="386">
        <v>0.5363</v>
      </c>
      <c r="K9" s="386">
        <v>0.54990000000000006</v>
      </c>
      <c r="L9" s="386">
        <v>0.56069999999999998</v>
      </c>
      <c r="M9" s="386">
        <v>0.56850000000000001</v>
      </c>
      <c r="N9" s="386">
        <v>0.57299999999999995</v>
      </c>
    </row>
    <row r="10" spans="1:15" ht="15" thickBot="1" x14ac:dyDescent="0.35">
      <c r="A10" s="692" t="s">
        <v>2060</v>
      </c>
      <c r="B10" s="692"/>
      <c r="C10" s="386">
        <v>0.18240000000000001</v>
      </c>
      <c r="D10" s="386">
        <v>0.26600000000000001</v>
      </c>
      <c r="E10" s="386">
        <v>0.32179999999999997</v>
      </c>
      <c r="F10" s="386">
        <v>0.3614</v>
      </c>
      <c r="G10" s="386">
        <v>0.39269999999999999</v>
      </c>
      <c r="H10" s="386">
        <v>0.41660000000000003</v>
      </c>
      <c r="I10" s="386">
        <v>0.43390000000000001</v>
      </c>
      <c r="J10" s="386">
        <v>0.44800000000000001</v>
      </c>
      <c r="K10" s="386">
        <v>0.46039999999999998</v>
      </c>
      <c r="L10" s="386">
        <v>0.47189999999999999</v>
      </c>
      <c r="M10" s="386">
        <v>0.48060000000000003</v>
      </c>
      <c r="N10" s="386">
        <v>0.48720000000000002</v>
      </c>
    </row>
    <row r="11" spans="1:15" ht="15" thickBot="1" x14ac:dyDescent="0.35">
      <c r="A11" s="693" t="s">
        <v>441</v>
      </c>
      <c r="B11" s="693"/>
      <c r="C11" s="387">
        <v>0.17560000000000001</v>
      </c>
      <c r="D11" s="387">
        <v>0.25750000000000001</v>
      </c>
      <c r="E11" s="387">
        <v>0.31790000000000002</v>
      </c>
      <c r="F11" s="387">
        <v>0.36480000000000001</v>
      </c>
      <c r="G11" s="387">
        <v>0.40820000000000001</v>
      </c>
      <c r="H11" s="387">
        <v>0.43640000000000001</v>
      </c>
      <c r="I11" s="387">
        <v>0.4526</v>
      </c>
      <c r="J11" s="387">
        <v>0.4667</v>
      </c>
      <c r="K11" s="387">
        <v>0.47899999999999998</v>
      </c>
      <c r="L11" s="387">
        <v>0.4909</v>
      </c>
      <c r="M11" s="387">
        <v>0.50019999999999998</v>
      </c>
      <c r="N11" s="387">
        <v>0.50690000000000002</v>
      </c>
    </row>
    <row r="12" spans="1:15" ht="15" thickBot="1" x14ac:dyDescent="0.35"/>
    <row r="13" spans="1:15" ht="15" thickBot="1" x14ac:dyDescent="0.35">
      <c r="A13" s="275" t="s">
        <v>463</v>
      </c>
      <c r="B13" s="275" t="s">
        <v>2046</v>
      </c>
      <c r="C13" s="275" t="s">
        <v>2047</v>
      </c>
      <c r="D13" s="275" t="s">
        <v>2048</v>
      </c>
      <c r="E13" s="275" t="s">
        <v>2049</v>
      </c>
      <c r="F13" s="275" t="s">
        <v>2050</v>
      </c>
      <c r="G13" s="275" t="s">
        <v>2051</v>
      </c>
      <c r="H13" s="275" t="s">
        <v>2052</v>
      </c>
      <c r="I13" s="275" t="s">
        <v>2053</v>
      </c>
      <c r="J13" s="275" t="s">
        <v>2054</v>
      </c>
      <c r="K13" s="275" t="s">
        <v>2055</v>
      </c>
      <c r="L13" s="275" t="s">
        <v>2056</v>
      </c>
      <c r="M13" s="275" t="s">
        <v>2057</v>
      </c>
      <c r="N13" s="275" t="s">
        <v>2058</v>
      </c>
    </row>
    <row r="14" spans="1:15" ht="15" thickBot="1" x14ac:dyDescent="0.35">
      <c r="A14" s="82" t="s">
        <v>440</v>
      </c>
      <c r="B14" s="82" t="s">
        <v>2059</v>
      </c>
      <c r="C14" s="385">
        <v>0.26500000000000001</v>
      </c>
      <c r="D14" s="385">
        <v>0.3387</v>
      </c>
      <c r="E14" s="385">
        <v>0.37830000000000003</v>
      </c>
      <c r="F14" s="385">
        <v>0.40589999999999998</v>
      </c>
      <c r="G14" s="385">
        <v>0.42730000000000001</v>
      </c>
      <c r="H14" s="385">
        <v>0.44379999999999997</v>
      </c>
      <c r="I14" s="385">
        <v>0.46079999999999999</v>
      </c>
      <c r="J14" s="385">
        <v>0.47439999999999999</v>
      </c>
      <c r="K14" s="385">
        <v>0.48949999999999999</v>
      </c>
      <c r="L14" s="385">
        <v>0.50380000000000003</v>
      </c>
      <c r="M14" s="385">
        <v>0.51739999999999997</v>
      </c>
      <c r="N14" s="385">
        <v>0.53310000000000002</v>
      </c>
      <c r="O14" t="s">
        <v>2061</v>
      </c>
    </row>
    <row r="15" spans="1:15" ht="15" thickBot="1" x14ac:dyDescent="0.35">
      <c r="A15" s="82" t="s">
        <v>448</v>
      </c>
      <c r="B15" s="82" t="s">
        <v>2059</v>
      </c>
      <c r="C15" s="385">
        <v>0.1769</v>
      </c>
      <c r="D15" s="385">
        <v>0.25729999999999997</v>
      </c>
      <c r="E15" s="385">
        <v>0.31680000000000003</v>
      </c>
      <c r="F15" s="385">
        <v>0.3528</v>
      </c>
      <c r="G15" s="385">
        <v>0.37730000000000002</v>
      </c>
      <c r="H15" s="385">
        <v>0.39529999999999998</v>
      </c>
      <c r="I15" s="385">
        <v>0.40899999999999997</v>
      </c>
      <c r="J15" s="385">
        <v>0.42099999999999999</v>
      </c>
      <c r="K15" s="385">
        <v>0.43090000000000001</v>
      </c>
      <c r="L15" s="385">
        <v>0.43890000000000001</v>
      </c>
      <c r="M15" s="385">
        <v>0.44619999999999999</v>
      </c>
      <c r="N15" s="385">
        <v>0.45350000000000001</v>
      </c>
      <c r="O15" t="s">
        <v>2062</v>
      </c>
    </row>
    <row r="16" spans="1:15" ht="15" thickBot="1" x14ac:dyDescent="0.35">
      <c r="A16" s="693" t="s">
        <v>1243</v>
      </c>
      <c r="B16" s="693"/>
      <c r="C16" s="385">
        <v>0.22600000000000001</v>
      </c>
      <c r="D16" s="385">
        <v>0.29449999999999998</v>
      </c>
      <c r="E16" s="385">
        <v>0.3332</v>
      </c>
      <c r="F16" s="385">
        <v>0.3604</v>
      </c>
      <c r="G16" s="385">
        <v>0.38040000000000002</v>
      </c>
      <c r="H16" s="385">
        <v>0.39439999999999997</v>
      </c>
      <c r="I16" s="385">
        <v>0.40739999999999998</v>
      </c>
      <c r="J16" s="385">
        <v>0.41959999999999997</v>
      </c>
      <c r="K16" s="385">
        <v>0.4325</v>
      </c>
      <c r="L16" s="385">
        <v>0.44529999999999997</v>
      </c>
      <c r="M16" s="385">
        <v>0.45760000000000001</v>
      </c>
      <c r="N16" s="385">
        <v>0.46700000000000003</v>
      </c>
    </row>
    <row r="17" spans="1:15" ht="15" thickBot="1" x14ac:dyDescent="0.35">
      <c r="A17" s="692" t="s">
        <v>2063</v>
      </c>
      <c r="B17" s="692"/>
      <c r="C17" s="385">
        <v>0.2422</v>
      </c>
      <c r="D17" s="385">
        <v>0.3342</v>
      </c>
      <c r="E17" s="385">
        <v>0.3957</v>
      </c>
      <c r="F17" s="385">
        <v>0.44350000000000001</v>
      </c>
      <c r="G17" s="385">
        <v>0.48180000000000001</v>
      </c>
      <c r="H17" s="385">
        <v>0.50800000000000001</v>
      </c>
      <c r="I17" s="385">
        <v>0.52439999999999998</v>
      </c>
      <c r="J17" s="385">
        <v>0.5363</v>
      </c>
      <c r="K17" s="385">
        <v>0.54990000000000006</v>
      </c>
      <c r="L17" s="385">
        <v>0.56069999999999998</v>
      </c>
      <c r="M17" s="385">
        <v>0.56850000000000001</v>
      </c>
      <c r="N17" s="385">
        <v>0.57299999999999995</v>
      </c>
      <c r="O17" t="s">
        <v>2061</v>
      </c>
    </row>
    <row r="18" spans="1:15" ht="15" thickBot="1" x14ac:dyDescent="0.35">
      <c r="A18" s="692" t="s">
        <v>2060</v>
      </c>
      <c r="B18" s="692"/>
      <c r="C18" s="385">
        <v>0.18240000000000001</v>
      </c>
      <c r="D18" s="385">
        <v>0.26600000000000001</v>
      </c>
      <c r="E18" s="385">
        <v>0.32179999999999997</v>
      </c>
      <c r="F18" s="385">
        <v>0.3614</v>
      </c>
      <c r="G18" s="385">
        <v>0.39269999999999999</v>
      </c>
      <c r="H18" s="385">
        <v>0.41660000000000003</v>
      </c>
      <c r="I18" s="385">
        <v>0.43390000000000001</v>
      </c>
      <c r="J18" s="385">
        <v>0.44800000000000001</v>
      </c>
      <c r="K18" s="385">
        <v>0.46039999999999998</v>
      </c>
      <c r="L18" s="385">
        <v>0.47189999999999999</v>
      </c>
      <c r="M18" s="385">
        <v>0.48060000000000003</v>
      </c>
      <c r="N18" s="385">
        <v>0.48720000000000002</v>
      </c>
      <c r="O18" t="s">
        <v>2062</v>
      </c>
    </row>
    <row r="19" spans="1:15" ht="15" thickBot="1" x14ac:dyDescent="0.35">
      <c r="A19" s="693" t="s">
        <v>441</v>
      </c>
      <c r="B19" s="693"/>
      <c r="C19" s="385">
        <v>0.17560000000000001</v>
      </c>
      <c r="D19" s="385">
        <v>0.25750000000000001</v>
      </c>
      <c r="E19" s="385">
        <v>0.31790000000000002</v>
      </c>
      <c r="F19" s="385">
        <v>0.36480000000000001</v>
      </c>
      <c r="G19" s="385">
        <v>0.40820000000000001</v>
      </c>
      <c r="H19" s="385">
        <v>0.43640000000000001</v>
      </c>
      <c r="I19" s="385">
        <v>0.4526</v>
      </c>
      <c r="J19" s="385">
        <v>0.4667</v>
      </c>
      <c r="K19" s="385">
        <v>0.47899999999999998</v>
      </c>
      <c r="L19" s="385">
        <v>0.4909</v>
      </c>
      <c r="M19" s="385">
        <v>0.50019999999999998</v>
      </c>
      <c r="N19" s="385">
        <v>0.50690000000000002</v>
      </c>
    </row>
  </sheetData>
  <mergeCells count="8">
    <mergeCell ref="A17:B17"/>
    <mergeCell ref="A18:B18"/>
    <mergeCell ref="A19:B19"/>
    <mergeCell ref="A8:B8"/>
    <mergeCell ref="A9:B9"/>
    <mergeCell ref="A10:B10"/>
    <mergeCell ref="A11:B11"/>
    <mergeCell ref="A16:B16"/>
  </mergeCells>
  <pageMargins left="0.7" right="0.7" top="0.75" bottom="0.75" header="0.3" footer="0.3"/>
  <drawing r:id="rId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F6A2E-A8F2-45CD-B227-5374E71D275F}">
  <dimension ref="A1:O20"/>
  <sheetViews>
    <sheetView workbookViewId="0">
      <selection activeCell="M19" sqref="M19"/>
    </sheetView>
  </sheetViews>
  <sheetFormatPr baseColWidth="10" defaultColWidth="28.44140625" defaultRowHeight="14.4" x14ac:dyDescent="0.3"/>
  <cols>
    <col min="1" max="1" width="16.44140625" customWidth="1"/>
    <col min="2" max="2" width="11.44140625" customWidth="1"/>
    <col min="3" max="19" width="8.44140625" customWidth="1"/>
    <col min="20" max="20" width="5.44140625" customWidth="1"/>
  </cols>
  <sheetData>
    <row r="1" spans="1:15" x14ac:dyDescent="0.3">
      <c r="A1" t="s">
        <v>355</v>
      </c>
      <c r="B1">
        <v>218</v>
      </c>
    </row>
    <row r="2" spans="1:15" x14ac:dyDescent="0.3">
      <c r="A2" t="s">
        <v>5</v>
      </c>
      <c r="B2" t="s">
        <v>352</v>
      </c>
    </row>
    <row r="4" spans="1:15" ht="15" thickBot="1" x14ac:dyDescent="0.35"/>
    <row r="5" spans="1:15" ht="16.2" thickBot="1" x14ac:dyDescent="0.35">
      <c r="A5" s="276"/>
      <c r="B5" s="695" t="s">
        <v>2046</v>
      </c>
      <c r="C5" s="695"/>
      <c r="D5" s="85" t="s">
        <v>422</v>
      </c>
      <c r="E5" s="85" t="s">
        <v>423</v>
      </c>
      <c r="F5" s="85" t="s">
        <v>424</v>
      </c>
      <c r="G5" s="85" t="s">
        <v>425</v>
      </c>
      <c r="H5" s="85" t="s">
        <v>426</v>
      </c>
      <c r="I5" s="85" t="s">
        <v>427</v>
      </c>
      <c r="J5" s="388" t="s">
        <v>428</v>
      </c>
      <c r="K5" s="157" t="s">
        <v>429</v>
      </c>
      <c r="L5" s="157" t="s">
        <v>430</v>
      </c>
      <c r="M5" s="157" t="s">
        <v>358</v>
      </c>
      <c r="N5" s="157" t="s">
        <v>359</v>
      </c>
    </row>
    <row r="6" spans="1:15" ht="15" thickBot="1" x14ac:dyDescent="0.35">
      <c r="A6" s="78" t="s">
        <v>440</v>
      </c>
      <c r="B6" s="691" t="s">
        <v>2059</v>
      </c>
      <c r="C6" s="691"/>
      <c r="D6" s="385">
        <v>0.15490000000000001</v>
      </c>
      <c r="E6" s="385">
        <v>0.1724</v>
      </c>
      <c r="F6" s="385">
        <v>0.16070000000000001</v>
      </c>
      <c r="G6" s="385">
        <v>0.15859999999999999</v>
      </c>
      <c r="H6" s="385">
        <v>0.14410000000000001</v>
      </c>
      <c r="I6" s="385">
        <v>0.1333</v>
      </c>
      <c r="J6" s="385">
        <v>0.12609999999999999</v>
      </c>
      <c r="K6" s="385">
        <v>0.1328</v>
      </c>
      <c r="L6" s="385">
        <v>0.15570000000000001</v>
      </c>
      <c r="M6" s="385"/>
      <c r="N6" s="385"/>
      <c r="O6" t="s">
        <v>2061</v>
      </c>
    </row>
    <row r="7" spans="1:15" ht="15" thickBot="1" x14ac:dyDescent="0.35">
      <c r="A7" s="78" t="s">
        <v>448</v>
      </c>
      <c r="B7" s="691" t="s">
        <v>2059</v>
      </c>
      <c r="C7" s="691"/>
      <c r="D7" s="385">
        <v>0.13120000000000001</v>
      </c>
      <c r="E7" s="385">
        <v>0.11940000000000001</v>
      </c>
      <c r="F7" s="385">
        <v>0.12479999999999999</v>
      </c>
      <c r="G7" s="385">
        <v>0.16309999999999999</v>
      </c>
      <c r="H7" s="385">
        <v>0.1095</v>
      </c>
      <c r="I7" s="385">
        <v>0.1149</v>
      </c>
      <c r="J7" s="385">
        <v>0.1109</v>
      </c>
      <c r="K7" s="385">
        <v>0.10539999999999999</v>
      </c>
      <c r="L7" s="385">
        <v>9.5100000000000004E-2</v>
      </c>
      <c r="M7" s="385"/>
      <c r="N7" s="385"/>
      <c r="O7" t="s">
        <v>2062</v>
      </c>
    </row>
    <row r="8" spans="1:15" ht="15" thickBot="1" x14ac:dyDescent="0.35">
      <c r="A8" s="691" t="s">
        <v>1243</v>
      </c>
      <c r="B8" s="691"/>
      <c r="D8" s="385">
        <v>0.1502</v>
      </c>
      <c r="E8" s="385">
        <v>0.16350000000000001</v>
      </c>
      <c r="F8" s="385">
        <v>0.1552</v>
      </c>
      <c r="G8" s="385">
        <v>0.1583</v>
      </c>
      <c r="H8" s="385">
        <v>0.1384</v>
      </c>
      <c r="I8" s="385">
        <v>0.1308</v>
      </c>
      <c r="J8" s="385">
        <v>0.12509999999999999</v>
      </c>
      <c r="K8" s="385">
        <v>0.1298</v>
      </c>
      <c r="L8" s="385">
        <v>0.14849999999999999</v>
      </c>
      <c r="M8" s="385"/>
      <c r="N8" s="385"/>
    </row>
    <row r="9" spans="1:15" ht="15" thickBot="1" x14ac:dyDescent="0.35">
      <c r="A9" s="696" t="s">
        <v>2064</v>
      </c>
      <c r="B9" s="696"/>
      <c r="D9" s="385">
        <v>0.2361</v>
      </c>
      <c r="E9" s="385">
        <v>0.1419</v>
      </c>
      <c r="F9" s="385">
        <v>0.25750000000000001</v>
      </c>
      <c r="G9" s="385">
        <v>0.1331</v>
      </c>
      <c r="H9" s="385">
        <v>0.20200000000000001</v>
      </c>
      <c r="I9" s="385">
        <v>0.1149</v>
      </c>
      <c r="J9" s="385">
        <v>0.18459999999999999</v>
      </c>
      <c r="K9" s="385">
        <v>0.14380000000000001</v>
      </c>
      <c r="L9" s="385">
        <v>0.24460000000000001</v>
      </c>
      <c r="M9" s="385"/>
      <c r="N9" s="385"/>
    </row>
    <row r="10" spans="1:15" ht="15" thickBot="1" x14ac:dyDescent="0.35">
      <c r="A10" s="696" t="s">
        <v>2065</v>
      </c>
      <c r="B10" s="696"/>
      <c r="D10" s="385">
        <v>0.1091</v>
      </c>
      <c r="E10" s="385">
        <v>0.1028</v>
      </c>
      <c r="F10" s="385">
        <v>0.1275</v>
      </c>
      <c r="G10" s="385">
        <v>0.11840000000000001</v>
      </c>
      <c r="H10" s="385">
        <v>9.4600000000000004E-2</v>
      </c>
      <c r="I10" s="385">
        <v>9.9199999999999997E-2</v>
      </c>
      <c r="J10" s="385">
        <v>0.12089999999999999</v>
      </c>
      <c r="K10" s="385">
        <v>9.8199999999999996E-2</v>
      </c>
      <c r="L10" s="385">
        <v>0.125</v>
      </c>
      <c r="M10" s="385"/>
      <c r="N10" s="385"/>
      <c r="O10" t="s">
        <v>2061</v>
      </c>
    </row>
    <row r="11" spans="1:15" ht="15" thickBot="1" x14ac:dyDescent="0.35">
      <c r="A11" s="691" t="s">
        <v>441</v>
      </c>
      <c r="B11" s="691"/>
      <c r="D11" s="385">
        <v>0.12520000000000001</v>
      </c>
      <c r="E11" s="385">
        <v>8.8200000000000001E-2</v>
      </c>
      <c r="F11" s="385">
        <v>0.1368</v>
      </c>
      <c r="G11" s="385">
        <v>9.9199999999999997E-2</v>
      </c>
      <c r="H11" s="385">
        <v>0.1145</v>
      </c>
      <c r="I11" s="385">
        <v>8.6099999999999996E-2</v>
      </c>
      <c r="J11" s="385">
        <v>0.13150000000000001</v>
      </c>
      <c r="K11" s="385">
        <v>9.1800000000000007E-2</v>
      </c>
      <c r="L11" s="385">
        <v>0.14149999999999999</v>
      </c>
      <c r="M11" s="385"/>
      <c r="N11" s="385"/>
      <c r="O11" t="s">
        <v>2062</v>
      </c>
    </row>
    <row r="12" spans="1:15" ht="16.2" thickBot="1" x14ac:dyDescent="0.35">
      <c r="A12" s="277"/>
      <c r="B12" s="277"/>
      <c r="C12" s="277"/>
      <c r="D12" s="277"/>
      <c r="E12" s="277"/>
      <c r="F12" s="277"/>
      <c r="G12" s="277"/>
      <c r="H12" s="277"/>
      <c r="I12" s="277"/>
      <c r="J12" s="277"/>
      <c r="K12" s="277"/>
      <c r="L12" s="277"/>
      <c r="M12" s="277"/>
      <c r="N12" s="277"/>
      <c r="O12" s="277"/>
    </row>
    <row r="13" spans="1:15" ht="15" thickBot="1" x14ac:dyDescent="0.35">
      <c r="A13" s="389"/>
      <c r="B13" s="391" t="s">
        <v>2046</v>
      </c>
      <c r="C13" s="85" t="s">
        <v>422</v>
      </c>
      <c r="D13" s="85" t="s">
        <v>423</v>
      </c>
      <c r="E13" s="85" t="s">
        <v>424</v>
      </c>
      <c r="F13" s="85" t="s">
        <v>425</v>
      </c>
      <c r="G13" s="85" t="s">
        <v>426</v>
      </c>
      <c r="H13" s="85" t="s">
        <v>427</v>
      </c>
      <c r="I13" s="388" t="s">
        <v>428</v>
      </c>
      <c r="J13" s="157" t="s">
        <v>429</v>
      </c>
      <c r="K13" s="157" t="s">
        <v>430</v>
      </c>
      <c r="L13" s="157" t="s">
        <v>358</v>
      </c>
      <c r="M13" s="157" t="s">
        <v>359</v>
      </c>
    </row>
    <row r="14" spans="1:15" ht="15" thickBot="1" x14ac:dyDescent="0.35">
      <c r="A14" s="40" t="s">
        <v>440</v>
      </c>
      <c r="B14" s="225" t="s">
        <v>2059</v>
      </c>
      <c r="C14" s="392">
        <v>0.15490000000000001</v>
      </c>
      <c r="D14" s="393">
        <v>0.1724</v>
      </c>
      <c r="E14" s="393">
        <v>0.16070000000000001</v>
      </c>
      <c r="F14" s="393">
        <v>0.15859999999999999</v>
      </c>
      <c r="G14" s="393">
        <v>0.14410000000000001</v>
      </c>
      <c r="H14" s="393">
        <v>0.1333</v>
      </c>
      <c r="I14" s="393">
        <v>0.12609999999999999</v>
      </c>
      <c r="J14" s="393">
        <v>0.1328</v>
      </c>
      <c r="K14" s="393">
        <v>0.15570000000000001</v>
      </c>
      <c r="L14" s="393"/>
      <c r="M14" s="393"/>
    </row>
    <row r="15" spans="1:15" ht="15" thickBot="1" x14ac:dyDescent="0.35">
      <c r="A15" s="40" t="s">
        <v>448</v>
      </c>
      <c r="B15" s="225" t="s">
        <v>2059</v>
      </c>
      <c r="C15" s="392">
        <v>0.13120000000000001</v>
      </c>
      <c r="D15" s="393">
        <v>0.11940000000000001</v>
      </c>
      <c r="E15" s="393">
        <v>0.12479999999999999</v>
      </c>
      <c r="F15" s="393">
        <v>0.16309999999999999</v>
      </c>
      <c r="G15" s="393">
        <v>0.1095</v>
      </c>
      <c r="H15" s="393">
        <v>0.1149</v>
      </c>
      <c r="I15" s="393">
        <v>0.1109</v>
      </c>
      <c r="J15" s="393">
        <v>0.10539999999999999</v>
      </c>
      <c r="K15" s="393">
        <v>9.5100000000000004E-2</v>
      </c>
      <c r="L15" s="393"/>
      <c r="M15" s="393"/>
    </row>
    <row r="16" spans="1:15" ht="15" thickBot="1" x14ac:dyDescent="0.35">
      <c r="A16" s="611" t="s">
        <v>1243</v>
      </c>
      <c r="B16" s="611"/>
      <c r="C16" s="393">
        <v>0.1502</v>
      </c>
      <c r="D16" s="393">
        <v>0.16350000000000001</v>
      </c>
      <c r="E16" s="393">
        <v>0.1552</v>
      </c>
      <c r="F16" s="393">
        <v>0.1583</v>
      </c>
      <c r="G16" s="393">
        <v>0.1384</v>
      </c>
      <c r="H16" s="393">
        <v>0.1308</v>
      </c>
      <c r="I16" s="393">
        <v>0.12509999999999999</v>
      </c>
      <c r="J16" s="393">
        <v>0.1298</v>
      </c>
      <c r="K16" s="393">
        <v>0.14849999999999999</v>
      </c>
      <c r="L16" s="393"/>
      <c r="M16" s="393"/>
    </row>
    <row r="17" spans="1:13" ht="15" thickBot="1" x14ac:dyDescent="0.35">
      <c r="A17" s="694" t="s">
        <v>2064</v>
      </c>
      <c r="B17" s="694"/>
      <c r="C17" s="394">
        <v>0.2361</v>
      </c>
      <c r="D17" s="394">
        <v>0.1419</v>
      </c>
      <c r="E17" s="394">
        <v>0.25750000000000001</v>
      </c>
      <c r="F17" s="394">
        <v>0.1331</v>
      </c>
      <c r="G17" s="394">
        <v>0.20200000000000001</v>
      </c>
      <c r="H17" s="394">
        <v>0.1149</v>
      </c>
      <c r="I17" s="394">
        <v>0.18459999999999999</v>
      </c>
      <c r="J17" s="394">
        <v>0.14380000000000001</v>
      </c>
      <c r="K17" s="394">
        <v>0.24460000000000001</v>
      </c>
      <c r="L17" s="394"/>
      <c r="M17" s="394"/>
    </row>
    <row r="18" spans="1:13" ht="15" thickBot="1" x14ac:dyDescent="0.35">
      <c r="A18" s="694" t="s">
        <v>2065</v>
      </c>
      <c r="B18" s="694"/>
      <c r="C18" s="394">
        <v>0.1091</v>
      </c>
      <c r="D18" s="394">
        <v>0.1028</v>
      </c>
      <c r="E18" s="394">
        <v>0.1275</v>
      </c>
      <c r="F18" s="394">
        <v>0.11840000000000001</v>
      </c>
      <c r="G18" s="394">
        <v>9.4600000000000004E-2</v>
      </c>
      <c r="H18" s="394">
        <v>9.9199999999999997E-2</v>
      </c>
      <c r="I18" s="394">
        <v>0.12089999999999999</v>
      </c>
      <c r="J18" s="394">
        <v>9.8199999999999996E-2</v>
      </c>
      <c r="K18" s="394">
        <v>0.125</v>
      </c>
      <c r="L18" s="394"/>
      <c r="M18" s="394"/>
    </row>
    <row r="19" spans="1:13" ht="15" thickBot="1" x14ac:dyDescent="0.35">
      <c r="A19" s="611" t="s">
        <v>441</v>
      </c>
      <c r="B19" s="611"/>
      <c r="C19" s="393">
        <v>0.12520000000000001</v>
      </c>
      <c r="D19" s="393">
        <v>8.8200000000000001E-2</v>
      </c>
      <c r="E19" s="393">
        <v>0.1368</v>
      </c>
      <c r="F19" s="393">
        <v>9.9199999999999997E-2</v>
      </c>
      <c r="G19" s="393">
        <v>0.1145</v>
      </c>
      <c r="H19" s="393">
        <v>8.6099999999999996E-2</v>
      </c>
      <c r="I19" s="393">
        <v>0.13150000000000001</v>
      </c>
      <c r="J19" s="393">
        <v>9.1800000000000007E-2</v>
      </c>
      <c r="K19" s="393">
        <v>0.14149999999999999</v>
      </c>
      <c r="L19" s="393"/>
      <c r="M19" s="393"/>
    </row>
    <row r="20" spans="1:13" x14ac:dyDescent="0.3">
      <c r="A20" s="390"/>
      <c r="B20" s="390"/>
      <c r="C20" s="390"/>
      <c r="D20" s="390"/>
      <c r="E20" s="390"/>
      <c r="F20" s="390"/>
      <c r="G20" s="390"/>
      <c r="H20" s="390"/>
      <c r="I20" s="390"/>
      <c r="J20" s="390"/>
      <c r="K20" s="390"/>
    </row>
  </sheetData>
  <mergeCells count="11">
    <mergeCell ref="A19:B19"/>
    <mergeCell ref="A16:B16"/>
    <mergeCell ref="A17:B17"/>
    <mergeCell ref="A18:B18"/>
    <mergeCell ref="B5:C5"/>
    <mergeCell ref="B6:C6"/>
    <mergeCell ref="B7:C7"/>
    <mergeCell ref="A11:B11"/>
    <mergeCell ref="A8:B8"/>
    <mergeCell ref="A9:B9"/>
    <mergeCell ref="A10:B10"/>
  </mergeCells>
  <pageMargins left="0.7" right="0.7" top="0.75" bottom="0.75" header="0.3" footer="0.3"/>
  <drawing r:id="rId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F5D66-59A5-41C3-B61B-CCB6D919BC28}">
  <dimension ref="A1:N16"/>
  <sheetViews>
    <sheetView workbookViewId="0">
      <selection activeCell="Q13" sqref="Q13"/>
    </sheetView>
  </sheetViews>
  <sheetFormatPr baseColWidth="10" defaultColWidth="28.44140625" defaultRowHeight="14.4" x14ac:dyDescent="0.3"/>
  <cols>
    <col min="1" max="1" width="16.44140625" customWidth="1"/>
    <col min="2" max="2" width="11.44140625" customWidth="1"/>
    <col min="3" max="16" width="8.44140625" customWidth="1"/>
    <col min="17" max="17" width="5.44140625" customWidth="1"/>
  </cols>
  <sheetData>
    <row r="1" spans="1:14" x14ac:dyDescent="0.3">
      <c r="A1" t="s">
        <v>355</v>
      </c>
      <c r="B1">
        <v>219</v>
      </c>
    </row>
    <row r="2" spans="1:14" x14ac:dyDescent="0.3">
      <c r="A2" t="s">
        <v>5</v>
      </c>
      <c r="B2" t="s">
        <v>276</v>
      </c>
    </row>
    <row r="4" spans="1:14" ht="15" thickBot="1" x14ac:dyDescent="0.35"/>
    <row r="5" spans="1:14" ht="15" thickBot="1" x14ac:dyDescent="0.35">
      <c r="A5" s="697" t="s">
        <v>2046</v>
      </c>
      <c r="B5" s="697"/>
      <c r="C5" s="278" t="s">
        <v>424</v>
      </c>
      <c r="D5" s="278" t="s">
        <v>425</v>
      </c>
      <c r="E5" s="278" t="s">
        <v>426</v>
      </c>
      <c r="F5" s="278" t="s">
        <v>427</v>
      </c>
      <c r="G5" s="278" t="s">
        <v>428</v>
      </c>
      <c r="H5" s="278" t="s">
        <v>429</v>
      </c>
      <c r="I5" s="278" t="s">
        <v>430</v>
      </c>
      <c r="J5" s="278" t="s">
        <v>358</v>
      </c>
      <c r="K5" s="278" t="s">
        <v>359</v>
      </c>
      <c r="L5" s="278" t="s">
        <v>360</v>
      </c>
      <c r="M5" s="278" t="s">
        <v>361</v>
      </c>
      <c r="N5" s="278" t="s">
        <v>362</v>
      </c>
    </row>
    <row r="6" spans="1:14" x14ac:dyDescent="0.3">
      <c r="A6" s="71" t="s">
        <v>440</v>
      </c>
      <c r="B6" s="71" t="s">
        <v>2059</v>
      </c>
      <c r="C6" s="279">
        <v>0.11700000000000001</v>
      </c>
      <c r="D6" s="279">
        <v>0.1103</v>
      </c>
      <c r="E6" s="279">
        <v>0.1132</v>
      </c>
      <c r="F6" s="279">
        <v>0.10979999999999999</v>
      </c>
      <c r="G6" s="279">
        <v>0.1159</v>
      </c>
      <c r="H6" s="279">
        <v>0.12590000000000001</v>
      </c>
      <c r="I6" s="279">
        <v>0.15670000000000001</v>
      </c>
      <c r="J6" s="279">
        <v>0.15260000000000001</v>
      </c>
      <c r="K6" s="279">
        <v>0.1971</v>
      </c>
      <c r="L6" s="279">
        <v>0.14599999999999999</v>
      </c>
      <c r="M6" s="279">
        <v>0.14899999999999999</v>
      </c>
      <c r="N6" s="279">
        <v>0.14399999999999999</v>
      </c>
    </row>
    <row r="7" spans="1:14" x14ac:dyDescent="0.3">
      <c r="A7" s="71" t="s">
        <v>2066</v>
      </c>
      <c r="B7" s="71" t="s">
        <v>2059</v>
      </c>
      <c r="C7" s="279">
        <v>9.98E-2</v>
      </c>
      <c r="D7" s="279">
        <v>0.123</v>
      </c>
      <c r="E7" s="279">
        <v>7.9699999999999993E-2</v>
      </c>
      <c r="F7" s="279">
        <v>0.10440000000000001</v>
      </c>
      <c r="G7" s="279">
        <v>0.106</v>
      </c>
      <c r="H7" s="279">
        <v>0.10440000000000001</v>
      </c>
      <c r="I7" s="279">
        <v>0.1043</v>
      </c>
      <c r="J7" s="279">
        <v>0.1061</v>
      </c>
      <c r="K7" s="279">
        <v>0.12920000000000001</v>
      </c>
      <c r="L7" s="279">
        <v>7.6999999999999999E-2</v>
      </c>
      <c r="M7" s="279">
        <v>8.4000000000000005E-2</v>
      </c>
      <c r="N7" s="279">
        <v>7.8E-2</v>
      </c>
    </row>
    <row r="8" spans="1:14" ht="26.4" x14ac:dyDescent="0.3">
      <c r="A8" s="71" t="s">
        <v>440</v>
      </c>
      <c r="B8" s="71" t="s">
        <v>2067</v>
      </c>
      <c r="C8" s="279">
        <v>0.41</v>
      </c>
      <c r="D8" s="279">
        <v>9.6000000000000002E-2</v>
      </c>
      <c r="E8" s="279">
        <v>0.107</v>
      </c>
      <c r="F8" s="279">
        <v>0.11799999999999999</v>
      </c>
      <c r="G8" s="279">
        <v>0.14499999999999999</v>
      </c>
      <c r="H8" s="279">
        <v>0.11700000000000001</v>
      </c>
      <c r="I8" s="279">
        <v>0.129</v>
      </c>
      <c r="J8" s="279">
        <v>0.129</v>
      </c>
      <c r="K8" s="279">
        <v>0.105</v>
      </c>
      <c r="L8" s="279">
        <v>0.124</v>
      </c>
      <c r="M8" s="279">
        <v>0.11</v>
      </c>
      <c r="N8" s="279">
        <v>0.11899999999999999</v>
      </c>
    </row>
    <row r="9" spans="1:14" ht="26.4" x14ac:dyDescent="0.3">
      <c r="A9" s="71" t="s">
        <v>448</v>
      </c>
      <c r="B9" s="71" t="s">
        <v>2067</v>
      </c>
      <c r="C9" s="279">
        <v>0.433</v>
      </c>
      <c r="D9" s="279">
        <v>0.23200000000000001</v>
      </c>
      <c r="E9" s="279">
        <v>0.11</v>
      </c>
      <c r="F9" s="279">
        <v>9.2999999999999999E-2</v>
      </c>
      <c r="G9" s="279">
        <v>9.7000000000000003E-2</v>
      </c>
      <c r="H9" s="279">
        <v>6.7000000000000004E-2</v>
      </c>
      <c r="I9" s="279">
        <v>7.6999999999999999E-2</v>
      </c>
      <c r="J9" s="279">
        <v>0.05</v>
      </c>
      <c r="K9" s="279">
        <v>6.2E-2</v>
      </c>
      <c r="L9" s="279">
        <v>4.1000000000000002E-2</v>
      </c>
      <c r="M9" s="279">
        <v>0.11600000000000001</v>
      </c>
      <c r="N9" s="279">
        <v>4.1000000000000002E-2</v>
      </c>
    </row>
    <row r="10" spans="1:14" ht="15" thickBot="1" x14ac:dyDescent="0.35">
      <c r="A10" s="71"/>
      <c r="B10" s="71" t="s">
        <v>1243</v>
      </c>
      <c r="C10" s="279">
        <v>0.17699999999999999</v>
      </c>
      <c r="D10" s="279">
        <v>0.14399999999999999</v>
      </c>
      <c r="E10" s="279">
        <v>0.14199999999999999</v>
      </c>
      <c r="F10" s="279">
        <v>0.13</v>
      </c>
      <c r="G10" s="279">
        <v>0.14000000000000001</v>
      </c>
      <c r="H10" s="279">
        <v>0.14599999999999999</v>
      </c>
      <c r="I10" s="279">
        <v>0.13900000000000001</v>
      </c>
      <c r="J10" s="279">
        <v>0.14699999999999999</v>
      </c>
      <c r="K10" s="279">
        <v>0.14499999999999999</v>
      </c>
      <c r="L10" s="279">
        <v>0.13300000000000001</v>
      </c>
      <c r="M10" s="279">
        <v>0.13700000000000001</v>
      </c>
      <c r="N10" s="279">
        <v>0.13200000000000001</v>
      </c>
    </row>
    <row r="13" spans="1:14" x14ac:dyDescent="0.3">
      <c r="C13" s="563"/>
      <c r="D13" s="563"/>
      <c r="E13" s="563"/>
      <c r="F13" s="563"/>
      <c r="G13" s="563"/>
      <c r="H13" s="563"/>
      <c r="I13" s="563"/>
      <c r="J13" s="563"/>
      <c r="K13" s="563"/>
      <c r="L13" s="563"/>
      <c r="M13" s="563"/>
      <c r="N13" s="563"/>
    </row>
    <row r="14" spans="1:14" ht="33" customHeight="1" x14ac:dyDescent="0.3">
      <c r="A14" s="630" t="s">
        <v>2068</v>
      </c>
      <c r="B14" s="630"/>
      <c r="C14" s="630"/>
      <c r="D14" s="630"/>
      <c r="E14" s="630"/>
      <c r="F14" s="630"/>
      <c r="G14" s="630"/>
      <c r="H14" s="630"/>
      <c r="I14" s="630"/>
      <c r="J14" s="630"/>
      <c r="K14" s="630"/>
      <c r="L14" s="630"/>
      <c r="M14" s="630"/>
      <c r="N14" s="630"/>
    </row>
    <row r="15" spans="1:14" ht="30" customHeight="1" x14ac:dyDescent="0.3">
      <c r="A15" s="698" t="s">
        <v>2069</v>
      </c>
      <c r="B15" s="698"/>
      <c r="C15" s="698"/>
      <c r="D15" s="698"/>
      <c r="E15" s="698"/>
      <c r="F15" s="698"/>
      <c r="G15" s="698"/>
      <c r="H15" s="698"/>
      <c r="I15" s="698"/>
      <c r="J15" s="698"/>
      <c r="K15" s="698"/>
      <c r="L15" s="698"/>
      <c r="M15" s="698"/>
      <c r="N15" s="698"/>
    </row>
    <row r="16" spans="1:14" ht="29.25" customHeight="1" x14ac:dyDescent="0.3">
      <c r="A16" s="562"/>
      <c r="B16" s="562"/>
      <c r="C16" s="562"/>
    </row>
  </sheetData>
  <mergeCells count="3">
    <mergeCell ref="A5:B5"/>
    <mergeCell ref="A14:N14"/>
    <mergeCell ref="A15:N15"/>
  </mergeCells>
  <pageMargins left="0.7" right="0.7" top="0.75" bottom="0.75" header="0.3" footer="0.3"/>
  <drawing r:id="rId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47EA5-2BE1-4C32-BF81-64FD53FF9FFC}">
  <dimension ref="A1:P13"/>
  <sheetViews>
    <sheetView workbookViewId="0">
      <selection activeCell="A2" sqref="A2"/>
    </sheetView>
  </sheetViews>
  <sheetFormatPr baseColWidth="10" defaultColWidth="28.44140625" defaultRowHeight="14.4" x14ac:dyDescent="0.3"/>
  <cols>
    <col min="1" max="2" width="16.44140625" customWidth="1"/>
    <col min="3" max="12" width="8.44140625" customWidth="1"/>
    <col min="13" max="13" width="9" customWidth="1"/>
    <col min="14" max="16" width="12.6640625" customWidth="1"/>
  </cols>
  <sheetData>
    <row r="1" spans="1:16" x14ac:dyDescent="0.3">
      <c r="A1" t="s">
        <v>355</v>
      </c>
      <c r="B1">
        <v>221</v>
      </c>
    </row>
    <row r="2" spans="1:16" x14ac:dyDescent="0.3">
      <c r="A2" t="s">
        <v>5</v>
      </c>
      <c r="B2" t="s">
        <v>281</v>
      </c>
    </row>
    <row r="3" spans="1:16" ht="15" thickBot="1" x14ac:dyDescent="0.35"/>
    <row r="4" spans="1:16" ht="15" thickBot="1" x14ac:dyDescent="0.35">
      <c r="A4" s="143" t="s">
        <v>2035</v>
      </c>
      <c r="B4" s="143" t="s">
        <v>464</v>
      </c>
      <c r="C4" s="143" t="s">
        <v>422</v>
      </c>
      <c r="D4" s="143" t="s">
        <v>423</v>
      </c>
      <c r="E4" s="143" t="s">
        <v>424</v>
      </c>
      <c r="F4" s="143" t="s">
        <v>425</v>
      </c>
      <c r="G4" s="143" t="s">
        <v>426</v>
      </c>
      <c r="H4" s="143" t="s">
        <v>427</v>
      </c>
      <c r="I4" s="143" t="s">
        <v>428</v>
      </c>
      <c r="J4" s="143" t="s">
        <v>429</v>
      </c>
      <c r="K4" s="143" t="s">
        <v>430</v>
      </c>
      <c r="L4" s="143" t="s">
        <v>358</v>
      </c>
      <c r="M4" s="143" t="s">
        <v>359</v>
      </c>
      <c r="N4" s="143" t="s">
        <v>360</v>
      </c>
      <c r="O4" s="143" t="s">
        <v>361</v>
      </c>
      <c r="P4" s="143" t="s">
        <v>362</v>
      </c>
    </row>
    <row r="5" spans="1:16" ht="15" thickBot="1" x14ac:dyDescent="0.35">
      <c r="A5" s="689" t="s">
        <v>448</v>
      </c>
      <c r="B5" s="280" t="s">
        <v>1452</v>
      </c>
      <c r="C5" s="82">
        <v>65</v>
      </c>
      <c r="D5" s="82">
        <v>52</v>
      </c>
      <c r="E5" s="82">
        <v>34</v>
      </c>
      <c r="F5" s="82">
        <v>33</v>
      </c>
      <c r="G5" s="82">
        <v>29</v>
      </c>
      <c r="H5" s="82">
        <v>24</v>
      </c>
      <c r="I5" s="82">
        <v>24</v>
      </c>
      <c r="J5" s="82">
        <v>13</v>
      </c>
      <c r="K5" s="82">
        <v>19</v>
      </c>
      <c r="L5" s="82">
        <v>16</v>
      </c>
      <c r="M5" s="82"/>
      <c r="N5" s="82"/>
      <c r="O5" s="82"/>
      <c r="P5" s="82"/>
    </row>
    <row r="6" spans="1:16" ht="15" thickBot="1" x14ac:dyDescent="0.35">
      <c r="A6" s="690"/>
      <c r="B6" s="280" t="s">
        <v>2070</v>
      </c>
      <c r="C6" s="82">
        <v>1139</v>
      </c>
      <c r="D6" s="82">
        <v>1008</v>
      </c>
      <c r="E6" s="82">
        <v>1086</v>
      </c>
      <c r="F6" s="82">
        <v>748</v>
      </c>
      <c r="G6" s="82">
        <v>1004</v>
      </c>
      <c r="H6" s="82">
        <v>771</v>
      </c>
      <c r="I6" s="82">
        <v>871</v>
      </c>
      <c r="J6" s="82">
        <v>648</v>
      </c>
      <c r="K6" s="82">
        <v>448</v>
      </c>
      <c r="L6" s="82">
        <v>519</v>
      </c>
      <c r="M6" s="82"/>
      <c r="N6" s="82"/>
      <c r="O6" s="82"/>
      <c r="P6" s="82"/>
    </row>
    <row r="7" spans="1:16" ht="16.2" thickBot="1" x14ac:dyDescent="0.35">
      <c r="A7" s="690"/>
      <c r="B7" s="280" t="s">
        <v>2071</v>
      </c>
      <c r="C7" s="82">
        <v>203</v>
      </c>
      <c r="D7" s="82">
        <v>32</v>
      </c>
      <c r="E7" s="82">
        <v>24</v>
      </c>
      <c r="F7" s="82">
        <v>20</v>
      </c>
      <c r="G7" s="82">
        <v>27</v>
      </c>
      <c r="H7" s="82">
        <v>101</v>
      </c>
      <c r="I7" s="82">
        <v>8</v>
      </c>
      <c r="J7" s="82">
        <v>171</v>
      </c>
      <c r="K7" s="82">
        <v>92</v>
      </c>
      <c r="L7" s="82">
        <v>24</v>
      </c>
      <c r="M7" s="82"/>
      <c r="N7" s="82"/>
      <c r="O7" s="82"/>
      <c r="P7" s="82"/>
    </row>
    <row r="8" spans="1:16" ht="15" thickBot="1" x14ac:dyDescent="0.35">
      <c r="A8" s="690"/>
      <c r="B8" s="280" t="s">
        <v>1459</v>
      </c>
      <c r="C8" s="82">
        <v>97</v>
      </c>
      <c r="D8" s="82">
        <v>47</v>
      </c>
      <c r="E8" s="82">
        <v>42</v>
      </c>
      <c r="F8" s="82">
        <v>41</v>
      </c>
      <c r="G8" s="82">
        <v>45</v>
      </c>
      <c r="H8" s="82">
        <v>40</v>
      </c>
      <c r="I8" s="82">
        <v>46</v>
      </c>
      <c r="J8" s="82">
        <v>41</v>
      </c>
      <c r="K8" s="82">
        <v>44</v>
      </c>
      <c r="L8" s="82">
        <v>55</v>
      </c>
      <c r="M8" s="82"/>
      <c r="N8" s="82"/>
      <c r="O8" s="82"/>
      <c r="P8" s="82"/>
    </row>
    <row r="9" spans="1:16" ht="15" thickBot="1" x14ac:dyDescent="0.35">
      <c r="A9" s="690" t="s">
        <v>440</v>
      </c>
      <c r="B9" s="280" t="s">
        <v>1452</v>
      </c>
      <c r="C9" s="82">
        <v>128</v>
      </c>
      <c r="D9" s="82">
        <v>80</v>
      </c>
      <c r="E9" s="82">
        <v>70</v>
      </c>
      <c r="F9" s="82">
        <v>59</v>
      </c>
      <c r="G9" s="82">
        <v>72</v>
      </c>
      <c r="H9" s="82">
        <v>63</v>
      </c>
      <c r="I9" s="82">
        <v>75</v>
      </c>
      <c r="J9" s="82">
        <v>93</v>
      </c>
      <c r="K9" s="82">
        <v>55</v>
      </c>
      <c r="L9" s="82">
        <v>65</v>
      </c>
      <c r="M9" s="82"/>
      <c r="N9" s="82"/>
      <c r="O9" s="82"/>
      <c r="P9" s="82"/>
    </row>
    <row r="10" spans="1:16" ht="15" thickBot="1" x14ac:dyDescent="0.35">
      <c r="A10" s="690"/>
      <c r="B10" s="280" t="s">
        <v>2070</v>
      </c>
      <c r="C10" s="82">
        <v>1134</v>
      </c>
      <c r="D10" s="82">
        <v>1623</v>
      </c>
      <c r="E10" s="82">
        <v>2550</v>
      </c>
      <c r="F10" s="82">
        <v>1582</v>
      </c>
      <c r="G10" s="82">
        <v>1871</v>
      </c>
      <c r="H10" s="82">
        <v>1604</v>
      </c>
      <c r="I10" s="82">
        <v>2133</v>
      </c>
      <c r="J10" s="82">
        <v>1459</v>
      </c>
      <c r="K10" s="82">
        <v>1474</v>
      </c>
      <c r="L10" s="82">
        <v>1322</v>
      </c>
      <c r="M10" s="82"/>
      <c r="N10" s="82"/>
      <c r="O10" s="82"/>
      <c r="P10" s="82"/>
    </row>
    <row r="11" spans="1:16" ht="16.2" thickBot="1" x14ac:dyDescent="0.35">
      <c r="A11" s="690"/>
      <c r="B11" s="280" t="s">
        <v>2071</v>
      </c>
      <c r="C11" s="82">
        <v>506</v>
      </c>
      <c r="D11" s="82">
        <v>43</v>
      </c>
      <c r="E11" s="82">
        <v>43</v>
      </c>
      <c r="F11" s="82">
        <v>48</v>
      </c>
      <c r="G11" s="82">
        <v>167</v>
      </c>
      <c r="H11" s="82">
        <v>257</v>
      </c>
      <c r="I11" s="82">
        <v>52</v>
      </c>
      <c r="J11" s="82">
        <v>356</v>
      </c>
      <c r="K11" s="82">
        <v>136</v>
      </c>
      <c r="L11" s="82">
        <v>70</v>
      </c>
      <c r="M11" s="82"/>
      <c r="N11" s="82"/>
      <c r="O11" s="82"/>
      <c r="P11" s="82"/>
    </row>
    <row r="12" spans="1:16" ht="15" thickBot="1" x14ac:dyDescent="0.35">
      <c r="A12" s="690"/>
      <c r="B12" s="280" t="s">
        <v>2072</v>
      </c>
      <c r="C12" s="82">
        <v>4</v>
      </c>
      <c r="D12" s="82">
        <v>1</v>
      </c>
      <c r="E12" s="82" t="s">
        <v>2073</v>
      </c>
      <c r="F12" s="82">
        <v>1</v>
      </c>
      <c r="G12" s="82">
        <v>1</v>
      </c>
      <c r="H12" s="82">
        <v>2</v>
      </c>
      <c r="I12" s="82">
        <v>5</v>
      </c>
      <c r="J12" s="82">
        <v>4</v>
      </c>
      <c r="K12" s="82">
        <v>2</v>
      </c>
      <c r="L12" s="82">
        <v>2</v>
      </c>
      <c r="M12" s="82"/>
      <c r="N12" s="82"/>
      <c r="O12" s="82"/>
      <c r="P12" s="82"/>
    </row>
    <row r="13" spans="1:16" ht="15" thickBot="1" x14ac:dyDescent="0.35">
      <c r="A13" s="699" t="s">
        <v>466</v>
      </c>
      <c r="B13" s="699"/>
      <c r="C13" s="195">
        <v>3276</v>
      </c>
      <c r="D13" s="195">
        <v>2886</v>
      </c>
      <c r="E13" s="195">
        <v>3849</v>
      </c>
      <c r="F13" s="195">
        <v>2532</v>
      </c>
      <c r="G13" s="195">
        <v>3216</v>
      </c>
      <c r="H13" s="195">
        <v>2862</v>
      </c>
      <c r="I13" s="195">
        <v>3214</v>
      </c>
      <c r="J13" s="195">
        <v>2785</v>
      </c>
      <c r="K13" s="195">
        <v>2270</v>
      </c>
      <c r="L13" s="195">
        <v>2073</v>
      </c>
      <c r="M13" s="195"/>
      <c r="N13" s="195"/>
      <c r="O13" s="195"/>
      <c r="P13" s="195"/>
    </row>
  </sheetData>
  <mergeCells count="3">
    <mergeCell ref="A5:A8"/>
    <mergeCell ref="A9:A12"/>
    <mergeCell ref="A13:B13"/>
  </mergeCells>
  <pageMargins left="0.7" right="0.7" top="0.75" bottom="0.75" header="0.3" footer="0.3"/>
  <drawing r:id="rId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151E3-E29B-42B1-A6DB-666BE3CA9636}">
  <dimension ref="A1:J16"/>
  <sheetViews>
    <sheetView workbookViewId="0">
      <selection activeCell="I5" sqref="I5:I16"/>
    </sheetView>
  </sheetViews>
  <sheetFormatPr baseColWidth="10" defaultColWidth="28.44140625" defaultRowHeight="15" customHeight="1" x14ac:dyDescent="0.3"/>
  <cols>
    <col min="1" max="1" width="16.44140625" customWidth="1"/>
    <col min="2" max="2" width="11.44140625" customWidth="1"/>
    <col min="3" max="9" width="8.44140625" customWidth="1"/>
    <col min="10" max="10" width="8.44140625" style="499" customWidth="1"/>
    <col min="11" max="17" width="8.44140625" customWidth="1"/>
    <col min="18" max="18" width="5.44140625" customWidth="1"/>
  </cols>
  <sheetData>
    <row r="1" spans="1:10" ht="15" customHeight="1" x14ac:dyDescent="0.3">
      <c r="A1" t="s">
        <v>355</v>
      </c>
      <c r="B1">
        <v>224</v>
      </c>
    </row>
    <row r="2" spans="1:10" ht="15" customHeight="1" x14ac:dyDescent="0.3">
      <c r="A2" t="s">
        <v>5</v>
      </c>
      <c r="B2" t="s">
        <v>284</v>
      </c>
    </row>
    <row r="4" spans="1:10" ht="15" customHeight="1" x14ac:dyDescent="0.3">
      <c r="J4"/>
    </row>
    <row r="5" spans="1:10" ht="15" customHeight="1" x14ac:dyDescent="0.3">
      <c r="A5" s="697" t="s">
        <v>2074</v>
      </c>
      <c r="B5" s="697"/>
      <c r="C5" s="278">
        <v>2019</v>
      </c>
      <c r="D5" s="278">
        <v>2020</v>
      </c>
      <c r="E5" s="278">
        <v>2021</v>
      </c>
      <c r="F5" s="278">
        <v>2022</v>
      </c>
      <c r="G5" s="278">
        <v>2023</v>
      </c>
      <c r="H5" s="278">
        <v>2024</v>
      </c>
      <c r="I5" s="278">
        <v>2025</v>
      </c>
      <c r="J5" s="281" t="s">
        <v>466</v>
      </c>
    </row>
    <row r="6" spans="1:10" ht="15" customHeight="1" x14ac:dyDescent="0.3">
      <c r="A6" s="61" t="s">
        <v>2075</v>
      </c>
      <c r="B6" s="61" t="s">
        <v>2076</v>
      </c>
      <c r="C6" s="99">
        <v>11028</v>
      </c>
      <c r="D6" s="99">
        <v>12887</v>
      </c>
      <c r="E6" s="99">
        <v>18690</v>
      </c>
      <c r="F6" s="99">
        <v>18087</v>
      </c>
      <c r="G6" s="99">
        <v>15005</v>
      </c>
      <c r="H6" s="500">
        <v>13671</v>
      </c>
      <c r="I6" s="500">
        <v>13703</v>
      </c>
      <c r="J6" s="282">
        <f>+SUM(C6:H6)</f>
        <v>89368</v>
      </c>
    </row>
    <row r="7" spans="1:10" ht="15" customHeight="1" x14ac:dyDescent="0.3">
      <c r="A7" s="61" t="s">
        <v>2075</v>
      </c>
      <c r="B7" s="61" t="s">
        <v>2077</v>
      </c>
      <c r="C7" s="99">
        <v>10845</v>
      </c>
      <c r="D7" s="99">
        <v>12691</v>
      </c>
      <c r="E7" s="99">
        <v>17443</v>
      </c>
      <c r="F7" s="99">
        <v>17045</v>
      </c>
      <c r="G7" s="99">
        <v>6010</v>
      </c>
      <c r="H7" s="500">
        <v>12109</v>
      </c>
      <c r="I7" s="500">
        <v>13071</v>
      </c>
      <c r="J7" s="282">
        <f>+SUM(C7:H7)</f>
        <v>76143</v>
      </c>
    </row>
    <row r="8" spans="1:10" ht="15" customHeight="1" x14ac:dyDescent="0.3">
      <c r="A8" s="61" t="s">
        <v>2075</v>
      </c>
      <c r="B8" s="61" t="s">
        <v>2078</v>
      </c>
      <c r="C8" s="283">
        <f>+C7/C6</f>
        <v>0.98340587595212192</v>
      </c>
      <c r="D8" s="283">
        <f t="shared" ref="D8:G8" si="0">+D7/D6</f>
        <v>0.98479087452471481</v>
      </c>
      <c r="E8" s="283">
        <f t="shared" si="0"/>
        <v>0.9332798287854468</v>
      </c>
      <c r="F8" s="283">
        <f t="shared" si="0"/>
        <v>0.94238956156355391</v>
      </c>
      <c r="G8" s="283">
        <f t="shared" si="0"/>
        <v>0.40053315561479508</v>
      </c>
      <c r="H8" s="501">
        <f>+H7/H6</f>
        <v>0.88574354472971983</v>
      </c>
      <c r="I8" s="501">
        <f>I7/I6</f>
        <v>0.95387871269065172</v>
      </c>
      <c r="J8" s="397">
        <f>+J7/J6</f>
        <v>0.85201638170262284</v>
      </c>
    </row>
    <row r="9" spans="1:10" ht="15" customHeight="1" x14ac:dyDescent="0.3">
      <c r="A9" s="700" t="s">
        <v>2074</v>
      </c>
      <c r="B9" s="700"/>
      <c r="C9" s="284">
        <v>2018</v>
      </c>
      <c r="D9" s="284">
        <v>2019</v>
      </c>
      <c r="E9" s="284">
        <v>2020</v>
      </c>
      <c r="F9" s="284">
        <v>2021</v>
      </c>
      <c r="G9" s="284">
        <v>2022</v>
      </c>
      <c r="H9" s="284">
        <v>2023</v>
      </c>
      <c r="I9" s="284">
        <v>2024</v>
      </c>
      <c r="J9" s="285"/>
    </row>
    <row r="10" spans="1:10" ht="15" customHeight="1" x14ac:dyDescent="0.3">
      <c r="A10" s="61" t="s">
        <v>2079</v>
      </c>
      <c r="B10" s="61" t="s">
        <v>2076</v>
      </c>
      <c r="C10" s="99">
        <v>9652</v>
      </c>
      <c r="D10" s="99">
        <v>11028</v>
      </c>
      <c r="E10" s="99">
        <v>12887</v>
      </c>
      <c r="F10" s="99">
        <v>18690</v>
      </c>
      <c r="G10" s="99">
        <v>18087</v>
      </c>
      <c r="H10" s="99">
        <v>15005</v>
      </c>
      <c r="I10" s="99">
        <v>14249</v>
      </c>
      <c r="J10" s="282">
        <f>+SUM(C10:H10)</f>
        <v>85349</v>
      </c>
    </row>
    <row r="11" spans="1:10" ht="15" customHeight="1" x14ac:dyDescent="0.3">
      <c r="A11" s="61" t="s">
        <v>2079</v>
      </c>
      <c r="B11" s="61" t="s">
        <v>2077</v>
      </c>
      <c r="C11" s="61">
        <v>293</v>
      </c>
      <c r="D11" s="61">
        <v>908</v>
      </c>
      <c r="E11" s="99">
        <v>1007</v>
      </c>
      <c r="F11" s="99">
        <v>1247</v>
      </c>
      <c r="G11" s="61">
        <v>587</v>
      </c>
      <c r="H11" s="500">
        <v>1180</v>
      </c>
      <c r="I11" s="500">
        <v>3890</v>
      </c>
      <c r="J11" s="282">
        <f>+SUM(C11:H11)</f>
        <v>5222</v>
      </c>
    </row>
    <row r="12" spans="1:10" ht="15" customHeight="1" x14ac:dyDescent="0.3">
      <c r="A12" s="61" t="s">
        <v>2079</v>
      </c>
      <c r="B12" s="61" t="s">
        <v>2078</v>
      </c>
      <c r="C12" s="283">
        <f t="shared" ref="C12:J12" si="1">+C11/C10</f>
        <v>3.0356402818068794E-2</v>
      </c>
      <c r="D12" s="283">
        <f t="shared" si="1"/>
        <v>8.2335872324990927E-2</v>
      </c>
      <c r="E12" s="283">
        <f t="shared" si="1"/>
        <v>7.814076200822534E-2</v>
      </c>
      <c r="F12" s="283">
        <f t="shared" si="1"/>
        <v>6.6720171214553231E-2</v>
      </c>
      <c r="G12" s="283">
        <f t="shared" si="1"/>
        <v>3.2454248908055511E-2</v>
      </c>
      <c r="H12" s="283">
        <f t="shared" si="1"/>
        <v>7.8640453182272571E-2</v>
      </c>
      <c r="I12" s="283">
        <f>I11/I10</f>
        <v>0.27300161414836127</v>
      </c>
      <c r="J12" s="398">
        <f t="shared" si="1"/>
        <v>6.1184079485406974E-2</v>
      </c>
    </row>
    <row r="13" spans="1:10" ht="15" customHeight="1" x14ac:dyDescent="0.3">
      <c r="A13" s="700" t="s">
        <v>2074</v>
      </c>
      <c r="B13" s="700"/>
      <c r="C13" s="284">
        <v>2015</v>
      </c>
      <c r="D13" s="284">
        <v>2016</v>
      </c>
      <c r="E13" s="284">
        <v>2017</v>
      </c>
      <c r="F13" s="284">
        <v>2018</v>
      </c>
      <c r="G13" s="284">
        <v>2019</v>
      </c>
      <c r="H13" s="284">
        <v>2020</v>
      </c>
      <c r="I13" s="284">
        <v>2021</v>
      </c>
      <c r="J13" s="285"/>
    </row>
    <row r="14" spans="1:10" ht="15" customHeight="1" x14ac:dyDescent="0.3">
      <c r="A14" s="61" t="s">
        <v>2080</v>
      </c>
      <c r="B14" s="61" t="s">
        <v>2076</v>
      </c>
      <c r="C14" s="99">
        <v>5386</v>
      </c>
      <c r="D14" s="99">
        <v>6814</v>
      </c>
      <c r="E14" s="99">
        <v>7751</v>
      </c>
      <c r="F14" s="99">
        <v>9652</v>
      </c>
      <c r="G14" s="99">
        <v>11028</v>
      </c>
      <c r="H14" s="99">
        <v>12887</v>
      </c>
      <c r="I14" s="99">
        <v>16399</v>
      </c>
      <c r="J14" s="282">
        <f>+SUM(C14:G14)</f>
        <v>40631</v>
      </c>
    </row>
    <row r="15" spans="1:10" ht="15" customHeight="1" x14ac:dyDescent="0.3">
      <c r="A15" s="61" t="s">
        <v>2080</v>
      </c>
      <c r="B15" s="61" t="s">
        <v>2077</v>
      </c>
      <c r="C15" s="61">
        <v>303</v>
      </c>
      <c r="D15" s="61">
        <v>360</v>
      </c>
      <c r="E15" s="61">
        <v>303</v>
      </c>
      <c r="F15" s="61">
        <v>314</v>
      </c>
      <c r="G15" s="99">
        <v>327</v>
      </c>
      <c r="H15" s="498">
        <v>327</v>
      </c>
      <c r="I15" s="498">
        <v>1188</v>
      </c>
      <c r="J15" s="282">
        <f>+SUM(C15:G15)</f>
        <v>1607</v>
      </c>
    </row>
    <row r="16" spans="1:10" ht="15" customHeight="1" x14ac:dyDescent="0.3">
      <c r="A16" s="61" t="s">
        <v>2080</v>
      </c>
      <c r="B16" s="61" t="s">
        <v>2078</v>
      </c>
      <c r="C16" s="283">
        <f>+C15/C14</f>
        <v>5.6256962495358338E-2</v>
      </c>
      <c r="D16" s="283">
        <f>+D15/D14</f>
        <v>5.2832403874376287E-2</v>
      </c>
      <c r="E16" s="283">
        <f>+E15/E14</f>
        <v>3.9091730099342019E-2</v>
      </c>
      <c r="F16" s="283">
        <f>+F15/F14</f>
        <v>3.2532117695814336E-2</v>
      </c>
      <c r="G16" s="283">
        <f>+G15/G14</f>
        <v>2.9651795429815015E-2</v>
      </c>
      <c r="H16" s="283">
        <f>H15/H14</f>
        <v>2.5374408318460464E-2</v>
      </c>
      <c r="I16" s="283">
        <f>I15/I14</f>
        <v>7.2443441673272754E-2</v>
      </c>
      <c r="J16" s="397">
        <f>+J15/J14</f>
        <v>3.9551081686397087E-2</v>
      </c>
    </row>
  </sheetData>
  <mergeCells count="3">
    <mergeCell ref="A13:B13"/>
    <mergeCell ref="A5:B5"/>
    <mergeCell ref="A9:B9"/>
  </mergeCells>
  <pageMargins left="0.7" right="0.7" top="0.75" bottom="0.75" header="0.3" footer="0.3"/>
  <drawing r:id="rId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A5859-77AB-4E0F-9699-A56A712D85EB}">
  <dimension ref="A1:I10"/>
  <sheetViews>
    <sheetView workbookViewId="0">
      <selection activeCell="I5" sqref="I5"/>
    </sheetView>
  </sheetViews>
  <sheetFormatPr baseColWidth="10" defaultColWidth="28.44140625" defaultRowHeight="14.4" x14ac:dyDescent="0.3"/>
  <cols>
    <col min="1" max="1" width="16.44140625" customWidth="1"/>
    <col min="2" max="2" width="11.44140625" customWidth="1"/>
    <col min="3" max="15" width="8.44140625" customWidth="1"/>
    <col min="16" max="16" width="5.44140625" customWidth="1"/>
  </cols>
  <sheetData>
    <row r="1" spans="1:9" x14ac:dyDescent="0.3">
      <c r="A1" t="s">
        <v>355</v>
      </c>
      <c r="B1">
        <v>225</v>
      </c>
    </row>
    <row r="2" spans="1:9" x14ac:dyDescent="0.3">
      <c r="A2" t="s">
        <v>5</v>
      </c>
      <c r="B2" t="s">
        <v>288</v>
      </c>
    </row>
    <row r="3" spans="1:9" ht="15" thickBot="1" x14ac:dyDescent="0.35"/>
    <row r="4" spans="1:9" ht="34.5" customHeight="1" thickBot="1" x14ac:dyDescent="0.35">
      <c r="A4" s="286" t="s">
        <v>464</v>
      </c>
      <c r="B4" s="286">
        <v>2016</v>
      </c>
      <c r="C4" s="286">
        <v>2017</v>
      </c>
      <c r="D4" s="286">
        <v>2018</v>
      </c>
      <c r="E4" s="286">
        <v>2019</v>
      </c>
      <c r="F4" s="286">
        <v>2020</v>
      </c>
      <c r="G4" s="286">
        <v>2021</v>
      </c>
      <c r="H4" s="286">
        <v>2022</v>
      </c>
      <c r="I4" s="286">
        <v>2023</v>
      </c>
    </row>
    <row r="5" spans="1:9" ht="24.75" customHeight="1" thickBot="1" x14ac:dyDescent="0.35">
      <c r="A5" s="287" t="s">
        <v>2081</v>
      </c>
      <c r="B5" s="288">
        <v>0.77</v>
      </c>
      <c r="C5" s="288">
        <v>0.73</v>
      </c>
      <c r="D5" s="288">
        <v>0.73</v>
      </c>
      <c r="E5" s="288">
        <v>0.73</v>
      </c>
      <c r="F5" s="288">
        <v>0.71</v>
      </c>
      <c r="G5" s="288">
        <v>0.7</v>
      </c>
      <c r="H5" s="288"/>
      <c r="I5" s="288"/>
    </row>
    <row r="6" spans="1:9" ht="23.25" customHeight="1" thickBot="1" x14ac:dyDescent="0.35">
      <c r="A6" s="289" t="s">
        <v>2059</v>
      </c>
      <c r="B6" s="290">
        <v>0.86</v>
      </c>
      <c r="C6" s="290">
        <v>0.86</v>
      </c>
      <c r="D6" s="290">
        <v>0.85</v>
      </c>
      <c r="E6" s="290">
        <v>0.85</v>
      </c>
      <c r="F6" s="290">
        <v>0.8</v>
      </c>
      <c r="G6" s="290">
        <v>0.82</v>
      </c>
      <c r="H6" s="290"/>
      <c r="I6" s="290"/>
    </row>
    <row r="7" spans="1:9" ht="26.25" customHeight="1" thickBot="1" x14ac:dyDescent="0.35">
      <c r="A7" s="287" t="s">
        <v>2082</v>
      </c>
      <c r="B7" s="288">
        <v>0.93</v>
      </c>
      <c r="C7" s="288">
        <v>0.92</v>
      </c>
      <c r="D7" s="288">
        <v>0.92</v>
      </c>
      <c r="E7" s="288">
        <v>0.91</v>
      </c>
      <c r="F7" s="288">
        <v>0.87</v>
      </c>
      <c r="G7" s="288">
        <v>0.89</v>
      </c>
      <c r="H7" s="288"/>
      <c r="I7" s="288"/>
    </row>
    <row r="8" spans="1:9" ht="27.75" customHeight="1" thickBot="1" x14ac:dyDescent="0.35">
      <c r="A8" s="289" t="s">
        <v>2083</v>
      </c>
      <c r="B8" s="290">
        <v>0.95</v>
      </c>
      <c r="C8" s="290">
        <v>0.94</v>
      </c>
      <c r="D8" s="290">
        <v>0.95</v>
      </c>
      <c r="E8" s="290">
        <v>0.94</v>
      </c>
      <c r="F8" s="290">
        <v>0.94</v>
      </c>
      <c r="G8" s="290">
        <v>0.94</v>
      </c>
      <c r="H8" s="290"/>
      <c r="I8" s="290"/>
    </row>
    <row r="9" spans="1:9" ht="26.25" customHeight="1" thickBot="1" x14ac:dyDescent="0.35">
      <c r="A9" s="287" t="s">
        <v>2084</v>
      </c>
      <c r="B9" s="288">
        <v>0.94</v>
      </c>
      <c r="C9" s="288">
        <v>0.95</v>
      </c>
      <c r="D9" s="288">
        <v>0.95</v>
      </c>
      <c r="E9" s="288">
        <v>0.95</v>
      </c>
      <c r="F9" s="288">
        <v>0.93</v>
      </c>
      <c r="G9" s="288">
        <v>0.94</v>
      </c>
      <c r="H9" s="288"/>
      <c r="I9" s="288"/>
    </row>
    <row r="10" spans="1:9" ht="37.5" customHeight="1" thickBot="1" x14ac:dyDescent="0.35">
      <c r="A10" s="289" t="s">
        <v>2085</v>
      </c>
      <c r="B10" s="290">
        <v>1</v>
      </c>
      <c r="C10" s="290">
        <v>0.93</v>
      </c>
      <c r="D10" s="290">
        <v>0.8</v>
      </c>
      <c r="E10" s="290">
        <v>0.94</v>
      </c>
      <c r="F10" s="290">
        <v>0.89</v>
      </c>
      <c r="G10" s="290">
        <v>0.89</v>
      </c>
      <c r="H10" s="290"/>
      <c r="I10" s="290"/>
    </row>
  </sheetData>
  <pageMargins left="0.7" right="0.7" top="0.75" bottom="0.75" header="0.3" footer="0.3"/>
  <drawing r:id="rId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B8B6F-1133-4480-9611-F50B573E6EF5}">
  <dimension ref="A1:E9"/>
  <sheetViews>
    <sheetView workbookViewId="0">
      <selection activeCell="E5" sqref="E5"/>
    </sheetView>
  </sheetViews>
  <sheetFormatPr baseColWidth="10" defaultColWidth="28.44140625" defaultRowHeight="14.4" x14ac:dyDescent="0.3"/>
  <cols>
    <col min="1" max="1" width="16.44140625" customWidth="1"/>
    <col min="2" max="2" width="11.44140625" customWidth="1"/>
    <col min="3" max="15" width="8.44140625" customWidth="1"/>
    <col min="16" max="16" width="5.44140625" customWidth="1"/>
  </cols>
  <sheetData>
    <row r="1" spans="1:5" x14ac:dyDescent="0.3">
      <c r="A1" t="s">
        <v>355</v>
      </c>
      <c r="B1">
        <v>226</v>
      </c>
    </row>
    <row r="2" spans="1:5" x14ac:dyDescent="0.3">
      <c r="A2" t="s">
        <v>5</v>
      </c>
      <c r="B2" t="s">
        <v>290</v>
      </c>
    </row>
    <row r="4" spans="1:5" ht="15" thickBot="1" x14ac:dyDescent="0.35"/>
    <row r="5" spans="1:5" ht="29.4" thickBot="1" x14ac:dyDescent="0.35">
      <c r="A5" s="286" t="s">
        <v>1950</v>
      </c>
      <c r="B5" s="286" t="s">
        <v>2086</v>
      </c>
      <c r="C5" s="286" t="s">
        <v>2087</v>
      </c>
      <c r="D5" s="286" t="s">
        <v>2088</v>
      </c>
      <c r="E5" s="286" t="s">
        <v>2089</v>
      </c>
    </row>
    <row r="6" spans="1:5" ht="15" thickBot="1" x14ac:dyDescent="0.35">
      <c r="A6" s="287" t="s">
        <v>2081</v>
      </c>
      <c r="B6" s="288">
        <v>0.84</v>
      </c>
      <c r="C6" s="288">
        <v>0.14000000000000001</v>
      </c>
      <c r="D6" s="288">
        <v>0.02</v>
      </c>
      <c r="E6" s="288">
        <v>0</v>
      </c>
    </row>
    <row r="7" spans="1:5" ht="15" thickBot="1" x14ac:dyDescent="0.35">
      <c r="A7" s="289" t="s">
        <v>2059</v>
      </c>
      <c r="B7" s="290">
        <v>0.74</v>
      </c>
      <c r="C7" s="290">
        <v>0.22</v>
      </c>
      <c r="D7" s="290">
        <v>0.03</v>
      </c>
      <c r="E7" s="290">
        <v>0.01</v>
      </c>
    </row>
    <row r="8" spans="1:5" ht="15" thickBot="1" x14ac:dyDescent="0.35">
      <c r="A8" s="287" t="s">
        <v>2090</v>
      </c>
      <c r="B8" s="288">
        <v>0.38</v>
      </c>
      <c r="C8" s="288">
        <v>0.43</v>
      </c>
      <c r="D8" s="288">
        <v>0.12</v>
      </c>
      <c r="E8" s="288">
        <v>7.0000000000000007E-2</v>
      </c>
    </row>
    <row r="9" spans="1:5" ht="15" thickBot="1" x14ac:dyDescent="0.35">
      <c r="A9" s="289" t="s">
        <v>2067</v>
      </c>
      <c r="B9" s="290">
        <v>0.3</v>
      </c>
      <c r="C9" s="290">
        <v>0.48</v>
      </c>
      <c r="D9" s="290">
        <v>0.15</v>
      </c>
      <c r="E9" s="290">
        <v>7.0000000000000007E-2</v>
      </c>
    </row>
  </sheetData>
  <pageMargins left="0.7" right="0.7" top="0.75" bottom="0.75" header="0.3" footer="0.3"/>
  <drawing r:id="rId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8E8D2-83FF-4C26-87A5-0EF223DE76BB}">
  <dimension ref="A1:C26"/>
  <sheetViews>
    <sheetView workbookViewId="0">
      <selection activeCell="A7" sqref="A7"/>
    </sheetView>
  </sheetViews>
  <sheetFormatPr baseColWidth="10" defaultColWidth="28.44140625" defaultRowHeight="14.4" x14ac:dyDescent="0.3"/>
  <cols>
    <col min="1" max="1" width="16.44140625" customWidth="1"/>
    <col min="2" max="2" width="11.44140625" customWidth="1"/>
    <col min="3" max="3" width="46.44140625" customWidth="1"/>
    <col min="4" max="4" width="8.44140625" customWidth="1"/>
    <col min="5" max="5" width="5.44140625" customWidth="1"/>
  </cols>
  <sheetData>
    <row r="1" spans="1:3" x14ac:dyDescent="0.3">
      <c r="A1" t="s">
        <v>355</v>
      </c>
      <c r="B1">
        <v>227</v>
      </c>
    </row>
    <row r="2" spans="1:3" x14ac:dyDescent="0.3">
      <c r="A2" t="s">
        <v>5</v>
      </c>
      <c r="B2" t="s">
        <v>291</v>
      </c>
    </row>
    <row r="4" spans="1:3" ht="15" thickBot="1" x14ac:dyDescent="0.35">
      <c r="A4" s="91" t="s">
        <v>2091</v>
      </c>
      <c r="B4" s="91" t="s">
        <v>2076</v>
      </c>
      <c r="C4" s="91" t="s">
        <v>2092</v>
      </c>
    </row>
    <row r="5" spans="1:3" ht="15" thickBot="1" x14ac:dyDescent="0.35">
      <c r="A5" s="279">
        <v>0.20300000000000001</v>
      </c>
      <c r="B5" s="156">
        <v>8373</v>
      </c>
      <c r="C5" s="71" t="s">
        <v>2093</v>
      </c>
    </row>
    <row r="6" spans="1:3" ht="15" thickBot="1" x14ac:dyDescent="0.35">
      <c r="A6" s="279">
        <v>0.17199999999999999</v>
      </c>
      <c r="B6" s="156">
        <v>7106</v>
      </c>
      <c r="C6" s="71" t="s">
        <v>2094</v>
      </c>
    </row>
    <row r="7" spans="1:3" ht="15" thickBot="1" x14ac:dyDescent="0.35">
      <c r="A7" s="279">
        <v>9.0999999999999998E-2</v>
      </c>
      <c r="B7" s="156">
        <v>3742</v>
      </c>
      <c r="C7" s="71" t="s">
        <v>2095</v>
      </c>
    </row>
    <row r="8" spans="1:3" ht="15" thickBot="1" x14ac:dyDescent="0.35">
      <c r="A8" s="279">
        <v>7.8E-2</v>
      </c>
      <c r="B8" s="156">
        <v>3209</v>
      </c>
      <c r="C8" s="71" t="s">
        <v>2096</v>
      </c>
    </row>
    <row r="9" spans="1:3" ht="27" thickBot="1" x14ac:dyDescent="0.35">
      <c r="A9" s="279">
        <v>7.9000000000000001E-2</v>
      </c>
      <c r="B9" s="156">
        <v>3259</v>
      </c>
      <c r="C9" s="71" t="s">
        <v>2097</v>
      </c>
    </row>
    <row r="10" spans="1:3" ht="27" thickBot="1" x14ac:dyDescent="0.35">
      <c r="A10" s="279">
        <v>7.0000000000000007E-2</v>
      </c>
      <c r="B10" s="156">
        <v>2904</v>
      </c>
      <c r="C10" s="71" t="s">
        <v>2098</v>
      </c>
    </row>
    <row r="11" spans="1:3" ht="15" thickBot="1" x14ac:dyDescent="0.35">
      <c r="A11" s="279">
        <v>5.5E-2</v>
      </c>
      <c r="B11" s="156">
        <v>2267</v>
      </c>
      <c r="C11" s="71" t="s">
        <v>2099</v>
      </c>
    </row>
    <row r="12" spans="1:3" ht="15" thickBot="1" x14ac:dyDescent="0.35">
      <c r="A12" s="279">
        <v>4.9000000000000002E-2</v>
      </c>
      <c r="B12" s="156">
        <v>2024</v>
      </c>
      <c r="C12" s="71" t="s">
        <v>2100</v>
      </c>
    </row>
    <row r="13" spans="1:3" ht="15" thickBot="1" x14ac:dyDescent="0.35">
      <c r="A13" s="279">
        <v>5.1999999999999998E-2</v>
      </c>
      <c r="B13" s="156">
        <v>2140</v>
      </c>
      <c r="C13" s="71" t="s">
        <v>2101</v>
      </c>
    </row>
    <row r="14" spans="1:3" ht="15" thickBot="1" x14ac:dyDescent="0.35">
      <c r="A14" s="279">
        <v>2.5999999999999999E-2</v>
      </c>
      <c r="B14" s="156">
        <v>1061</v>
      </c>
      <c r="C14" s="71" t="s">
        <v>2102</v>
      </c>
    </row>
    <row r="15" spans="1:3" ht="15" thickBot="1" x14ac:dyDescent="0.35">
      <c r="A15" s="279">
        <v>0.03</v>
      </c>
      <c r="B15" s="156">
        <v>1233</v>
      </c>
      <c r="C15" s="71" t="s">
        <v>2103</v>
      </c>
    </row>
    <row r="16" spans="1:3" ht="15" thickBot="1" x14ac:dyDescent="0.35">
      <c r="A16" s="279">
        <v>0.03</v>
      </c>
      <c r="B16" s="156">
        <v>1229</v>
      </c>
      <c r="C16" s="71" t="s">
        <v>2104</v>
      </c>
    </row>
    <row r="17" spans="1:3" ht="15" thickBot="1" x14ac:dyDescent="0.35">
      <c r="A17" s="279">
        <v>0.01</v>
      </c>
      <c r="B17" s="71">
        <v>405</v>
      </c>
      <c r="C17" s="71" t="s">
        <v>2105</v>
      </c>
    </row>
    <row r="18" spans="1:3" ht="27" thickBot="1" x14ac:dyDescent="0.35">
      <c r="A18" s="279">
        <v>1.4E-2</v>
      </c>
      <c r="B18" s="71">
        <v>565</v>
      </c>
      <c r="C18" s="71" t="s">
        <v>2106</v>
      </c>
    </row>
    <row r="19" spans="1:3" ht="15" thickBot="1" x14ac:dyDescent="0.35">
      <c r="A19" s="279">
        <v>6.0000000000000001E-3</v>
      </c>
      <c r="B19" s="71">
        <v>241</v>
      </c>
      <c r="C19" s="71" t="s">
        <v>2107</v>
      </c>
    </row>
    <row r="20" spans="1:3" ht="15" thickBot="1" x14ac:dyDescent="0.35">
      <c r="A20" s="279">
        <v>8.9999999999999993E-3</v>
      </c>
      <c r="B20" s="71">
        <v>378</v>
      </c>
      <c r="C20" s="71" t="s">
        <v>2108</v>
      </c>
    </row>
    <row r="21" spans="1:3" ht="15" thickBot="1" x14ac:dyDescent="0.35">
      <c r="A21" s="279">
        <v>8.0000000000000002E-3</v>
      </c>
      <c r="B21" s="71">
        <v>315</v>
      </c>
      <c r="C21" s="71" t="s">
        <v>2109</v>
      </c>
    </row>
    <row r="22" spans="1:3" ht="15" thickBot="1" x14ac:dyDescent="0.35">
      <c r="A22" s="279">
        <v>7.0000000000000001E-3</v>
      </c>
      <c r="B22" s="71">
        <v>296</v>
      </c>
      <c r="C22" s="71" t="s">
        <v>2110</v>
      </c>
    </row>
    <row r="23" spans="1:3" ht="27" thickBot="1" x14ac:dyDescent="0.35">
      <c r="A23" s="279">
        <v>6.0000000000000001E-3</v>
      </c>
      <c r="B23" s="71">
        <v>228</v>
      </c>
      <c r="C23" s="71" t="s">
        <v>2111</v>
      </c>
    </row>
    <row r="24" spans="1:3" ht="53.4" thickBot="1" x14ac:dyDescent="0.35">
      <c r="A24" s="279">
        <v>2E-3</v>
      </c>
      <c r="B24" s="71">
        <v>76</v>
      </c>
      <c r="C24" s="71" t="s">
        <v>2112</v>
      </c>
    </row>
    <row r="25" spans="1:3" ht="27" thickBot="1" x14ac:dyDescent="0.35">
      <c r="A25" s="279">
        <v>3.0000000000000001E-3</v>
      </c>
      <c r="B25" s="71">
        <v>105</v>
      </c>
      <c r="C25" s="71" t="s">
        <v>2113</v>
      </c>
    </row>
    <row r="26" spans="1:3" ht="40.200000000000003" thickBot="1" x14ac:dyDescent="0.35">
      <c r="A26" s="279">
        <v>4.0000000000000001E-3</v>
      </c>
      <c r="B26" s="71">
        <v>173</v>
      </c>
      <c r="C26" s="71" t="s">
        <v>2114</v>
      </c>
    </row>
  </sheetData>
  <pageMargins left="0.7" right="0.7" top="0.75" bottom="0.75" header="0.3" footer="0.3"/>
  <drawing r:id="rId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EA1B7-C108-4EE7-8459-B23E2DA217EA}">
  <dimension ref="A1:P16"/>
  <sheetViews>
    <sheetView workbookViewId="0">
      <selection activeCell="N4" sqref="N4:O13"/>
    </sheetView>
  </sheetViews>
  <sheetFormatPr baseColWidth="10" defaultColWidth="28.44140625" defaultRowHeight="14.4" x14ac:dyDescent="0.3"/>
  <cols>
    <col min="1" max="1" width="16.44140625" customWidth="1"/>
    <col min="2" max="2" width="25" customWidth="1"/>
    <col min="3" max="15" width="8.44140625" customWidth="1"/>
    <col min="16" max="16" width="5.44140625" customWidth="1"/>
  </cols>
  <sheetData>
    <row r="1" spans="1:16" x14ac:dyDescent="0.3">
      <c r="A1" t="s">
        <v>355</v>
      </c>
      <c r="B1">
        <v>228</v>
      </c>
    </row>
    <row r="2" spans="1:16" x14ac:dyDescent="0.3">
      <c r="A2" t="s">
        <v>5</v>
      </c>
      <c r="B2" t="s">
        <v>292</v>
      </c>
    </row>
    <row r="3" spans="1:16" ht="15" thickBot="1" x14ac:dyDescent="0.35"/>
    <row r="4" spans="1:16" ht="15" thickBot="1" x14ac:dyDescent="0.35">
      <c r="A4" s="395" t="s">
        <v>2035</v>
      </c>
      <c r="B4" s="395" t="s">
        <v>2115</v>
      </c>
      <c r="C4" s="395" t="s">
        <v>422</v>
      </c>
      <c r="D4" s="395" t="s">
        <v>423</v>
      </c>
      <c r="E4" s="395" t="s">
        <v>424</v>
      </c>
      <c r="F4" s="395" t="s">
        <v>425</v>
      </c>
      <c r="G4" s="395" t="s">
        <v>426</v>
      </c>
      <c r="H4" s="395" t="s">
        <v>427</v>
      </c>
      <c r="I4" s="395" t="s">
        <v>428</v>
      </c>
      <c r="J4" s="395" t="s">
        <v>429</v>
      </c>
      <c r="K4" s="395" t="s">
        <v>430</v>
      </c>
      <c r="L4" s="395" t="s">
        <v>358</v>
      </c>
      <c r="M4" s="395" t="s">
        <v>359</v>
      </c>
      <c r="N4" s="395" t="s">
        <v>360</v>
      </c>
      <c r="O4" s="395" t="s">
        <v>361</v>
      </c>
      <c r="P4" s="395" t="s">
        <v>362</v>
      </c>
    </row>
    <row r="5" spans="1:16" ht="15" thickBot="1" x14ac:dyDescent="0.35">
      <c r="A5" s="640" t="s">
        <v>448</v>
      </c>
      <c r="B5" s="75" t="s">
        <v>2116</v>
      </c>
      <c r="C5" s="291">
        <v>0.44</v>
      </c>
      <c r="D5" s="291">
        <v>0.46</v>
      </c>
      <c r="E5" s="291">
        <v>0.46</v>
      </c>
      <c r="F5" s="291">
        <v>0.42</v>
      </c>
      <c r="G5" s="291">
        <v>0.46</v>
      </c>
      <c r="H5" s="291">
        <v>0.44</v>
      </c>
      <c r="I5" s="291">
        <v>0.49</v>
      </c>
      <c r="J5" s="291">
        <v>0.46</v>
      </c>
      <c r="K5" s="291">
        <v>0.47</v>
      </c>
      <c r="L5" s="291">
        <v>0.76</v>
      </c>
      <c r="M5" s="291">
        <v>0.66</v>
      </c>
      <c r="N5" s="291"/>
      <c r="O5" s="291"/>
      <c r="P5" s="291"/>
    </row>
    <row r="6" spans="1:16" ht="15" thickBot="1" x14ac:dyDescent="0.35">
      <c r="A6" s="642"/>
      <c r="B6" s="75" t="s">
        <v>2117</v>
      </c>
      <c r="C6" s="291">
        <v>0.14000000000000001</v>
      </c>
      <c r="D6" s="291">
        <v>0.13</v>
      </c>
      <c r="E6" s="291">
        <v>0.14000000000000001</v>
      </c>
      <c r="F6" s="291">
        <v>0.16</v>
      </c>
      <c r="G6" s="291">
        <v>0.15</v>
      </c>
      <c r="H6" s="291">
        <v>0.14000000000000001</v>
      </c>
      <c r="I6" s="291">
        <v>0.15</v>
      </c>
      <c r="J6" s="291">
        <v>0.15</v>
      </c>
      <c r="K6" s="291">
        <v>0.13</v>
      </c>
      <c r="L6" s="291">
        <v>7.0000000000000007E-2</v>
      </c>
      <c r="M6" s="291">
        <v>0.1673</v>
      </c>
      <c r="N6" s="291"/>
      <c r="O6" s="291"/>
      <c r="P6" s="291"/>
    </row>
    <row r="7" spans="1:16" ht="15" thickBot="1" x14ac:dyDescent="0.35">
      <c r="A7" s="642"/>
      <c r="B7" s="75" t="s">
        <v>2118</v>
      </c>
      <c r="C7" s="291">
        <v>0.04</v>
      </c>
      <c r="D7" s="291">
        <v>0.04</v>
      </c>
      <c r="E7" s="291">
        <v>0.03</v>
      </c>
      <c r="F7" s="291">
        <v>0.05</v>
      </c>
      <c r="G7" s="291">
        <v>7.0000000000000007E-2</v>
      </c>
      <c r="H7" s="291">
        <v>0.08</v>
      </c>
      <c r="I7" s="291">
        <v>0.06</v>
      </c>
      <c r="J7" s="291">
        <v>7.0000000000000007E-2</v>
      </c>
      <c r="K7" s="291">
        <v>0.09</v>
      </c>
      <c r="L7" s="291">
        <v>0</v>
      </c>
      <c r="M7" s="291">
        <v>7.6200000000000004E-2</v>
      </c>
      <c r="N7" s="291"/>
      <c r="O7" s="291"/>
      <c r="P7" s="291"/>
    </row>
    <row r="8" spans="1:16" ht="15" thickBot="1" x14ac:dyDescent="0.35">
      <c r="A8" s="641"/>
      <c r="B8" s="75" t="s">
        <v>2119</v>
      </c>
      <c r="C8" s="291">
        <v>0.38</v>
      </c>
      <c r="D8" s="291">
        <v>0.37</v>
      </c>
      <c r="E8" s="291">
        <v>0.37</v>
      </c>
      <c r="F8" s="291">
        <v>0.37</v>
      </c>
      <c r="G8" s="291">
        <v>0.32</v>
      </c>
      <c r="H8" s="291">
        <v>0.34</v>
      </c>
      <c r="I8" s="291">
        <v>0.3</v>
      </c>
      <c r="J8" s="291">
        <v>0.32</v>
      </c>
      <c r="K8" s="291">
        <v>0.31</v>
      </c>
      <c r="L8" s="291">
        <v>0.17</v>
      </c>
      <c r="M8" s="291">
        <v>9.6600000000000005E-2</v>
      </c>
      <c r="N8" s="291"/>
      <c r="O8" s="291"/>
      <c r="P8" s="291"/>
    </row>
    <row r="9" spans="1:16" ht="15" thickBot="1" x14ac:dyDescent="0.35">
      <c r="A9" s="640" t="s">
        <v>440</v>
      </c>
      <c r="B9" s="75" t="s">
        <v>2116</v>
      </c>
      <c r="C9" s="291">
        <v>0.46</v>
      </c>
      <c r="D9" s="291">
        <v>0.44</v>
      </c>
      <c r="E9" s="291">
        <v>0.41</v>
      </c>
      <c r="F9" s="291">
        <v>0.48</v>
      </c>
      <c r="G9" s="291">
        <v>0.51</v>
      </c>
      <c r="H9" s="291">
        <v>0.49</v>
      </c>
      <c r="I9" s="291">
        <v>0.52</v>
      </c>
      <c r="J9" s="291">
        <v>0.51</v>
      </c>
      <c r="K9" s="291">
        <v>0.56000000000000005</v>
      </c>
      <c r="L9" s="291">
        <v>0.66</v>
      </c>
      <c r="M9" s="291">
        <v>0.62370000000000003</v>
      </c>
      <c r="N9" s="291"/>
      <c r="O9" s="291"/>
      <c r="P9" s="291"/>
    </row>
    <row r="10" spans="1:16" ht="15" thickBot="1" x14ac:dyDescent="0.35">
      <c r="A10" s="642"/>
      <c r="B10" s="75" t="s">
        <v>2117</v>
      </c>
      <c r="C10" s="291">
        <v>0.16</v>
      </c>
      <c r="D10" s="291">
        <v>0.14000000000000001</v>
      </c>
      <c r="E10" s="291">
        <v>0.15</v>
      </c>
      <c r="F10" s="291">
        <v>0.21</v>
      </c>
      <c r="G10" s="291">
        <v>0.22</v>
      </c>
      <c r="H10" s="291">
        <v>0.21</v>
      </c>
      <c r="I10" s="291">
        <v>0.21</v>
      </c>
      <c r="J10" s="291">
        <v>0.2</v>
      </c>
      <c r="K10" s="291">
        <v>0.18</v>
      </c>
      <c r="L10" s="291">
        <v>0.25</v>
      </c>
      <c r="M10" s="291">
        <v>0.2445</v>
      </c>
      <c r="N10" s="291"/>
      <c r="O10" s="291"/>
      <c r="P10" s="291"/>
    </row>
    <row r="11" spans="1:16" ht="15" thickBot="1" x14ac:dyDescent="0.35">
      <c r="A11" s="642"/>
      <c r="B11" s="75" t="s">
        <v>2118</v>
      </c>
      <c r="C11" s="291">
        <v>0.04</v>
      </c>
      <c r="D11" s="291">
        <v>0.04</v>
      </c>
      <c r="E11" s="291">
        <v>0.04</v>
      </c>
      <c r="F11" s="291">
        <v>0.06</v>
      </c>
      <c r="G11" s="291">
        <v>7.0000000000000007E-2</v>
      </c>
      <c r="H11" s="291">
        <v>0.08</v>
      </c>
      <c r="I11" s="291">
        <v>7.0000000000000007E-2</v>
      </c>
      <c r="J11" s="291">
        <v>7.0000000000000007E-2</v>
      </c>
      <c r="K11" s="291">
        <v>0.06</v>
      </c>
      <c r="L11" s="291">
        <v>0.09</v>
      </c>
      <c r="M11" s="291">
        <v>8.4400000000000003E-2</v>
      </c>
      <c r="N11" s="291"/>
      <c r="O11" s="291"/>
      <c r="P11" s="291"/>
    </row>
    <row r="12" spans="1:16" ht="15" thickBot="1" x14ac:dyDescent="0.35">
      <c r="A12" s="641"/>
      <c r="B12" s="75" t="s">
        <v>2119</v>
      </c>
      <c r="C12" s="291">
        <v>0.34</v>
      </c>
      <c r="D12" s="291">
        <v>0.37</v>
      </c>
      <c r="E12" s="291">
        <v>0.4</v>
      </c>
      <c r="F12" s="291">
        <v>0.25</v>
      </c>
      <c r="G12" s="291">
        <v>0.2</v>
      </c>
      <c r="H12" s="291">
        <v>0.22</v>
      </c>
      <c r="I12" s="291">
        <v>0.2</v>
      </c>
      <c r="J12" s="291">
        <v>0.22</v>
      </c>
      <c r="K12" s="291">
        <v>0.2</v>
      </c>
      <c r="L12" s="291">
        <v>0</v>
      </c>
      <c r="M12" s="291">
        <v>4.7699999999999999E-2</v>
      </c>
      <c r="N12" s="291"/>
      <c r="O12" s="291"/>
      <c r="P12" s="291"/>
    </row>
    <row r="13" spans="1:16" ht="15" thickBot="1" x14ac:dyDescent="0.35">
      <c r="A13" s="691" t="s">
        <v>2120</v>
      </c>
      <c r="B13" s="691"/>
      <c r="C13" s="76">
        <v>3515</v>
      </c>
      <c r="D13" s="76">
        <v>4491</v>
      </c>
      <c r="E13" s="76">
        <v>5222</v>
      </c>
      <c r="F13" s="76">
        <v>12516</v>
      </c>
      <c r="G13" s="76">
        <v>12326</v>
      </c>
      <c r="H13" s="76">
        <v>12032</v>
      </c>
      <c r="I13" s="76">
        <v>6244</v>
      </c>
      <c r="J13" s="76">
        <v>4347</v>
      </c>
      <c r="K13" s="78">
        <v>444</v>
      </c>
      <c r="L13" s="78">
        <v>4393</v>
      </c>
      <c r="M13" s="505">
        <v>6564</v>
      </c>
      <c r="N13" s="78"/>
      <c r="O13" s="505"/>
      <c r="P13" s="505"/>
    </row>
    <row r="14" spans="1:16" x14ac:dyDescent="0.3">
      <c r="D14" s="427"/>
      <c r="F14" s="427"/>
      <c r="H14" s="427"/>
      <c r="J14" s="427"/>
    </row>
    <row r="15" spans="1:16" x14ac:dyDescent="0.3">
      <c r="C15" s="381"/>
      <c r="D15" s="381"/>
      <c r="E15" s="381"/>
      <c r="F15" s="381"/>
      <c r="G15" s="381"/>
      <c r="H15" s="381"/>
      <c r="I15" s="381"/>
      <c r="J15" s="381"/>
      <c r="K15" s="381"/>
      <c r="L15" s="381"/>
    </row>
    <row r="16" spans="1:16" x14ac:dyDescent="0.3">
      <c r="C16" s="381"/>
      <c r="D16" s="381"/>
      <c r="E16" s="381"/>
      <c r="F16" s="381"/>
      <c r="G16" s="381"/>
      <c r="H16" s="381"/>
      <c r="I16" s="381"/>
      <c r="J16" s="381"/>
      <c r="K16" s="381"/>
      <c r="L16" s="381"/>
    </row>
  </sheetData>
  <mergeCells count="3">
    <mergeCell ref="A13:B13"/>
    <mergeCell ref="A5:A8"/>
    <mergeCell ref="A9:A12"/>
  </mergeCells>
  <pageMargins left="0.7" right="0.7" top="0.75" bottom="0.75" header="0.3" footer="0.3"/>
  <drawing r:id="rId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4340C-2460-45C6-8858-62D85911366A}">
  <dimension ref="A5:J19"/>
  <sheetViews>
    <sheetView workbookViewId="0">
      <selection activeCell="H6" sqref="H6:H19"/>
    </sheetView>
  </sheetViews>
  <sheetFormatPr baseColWidth="10" defaultColWidth="28.44140625" defaultRowHeight="15" customHeight="1" x14ac:dyDescent="0.3"/>
  <cols>
    <col min="1" max="1" width="27.44140625" bestFit="1" customWidth="1"/>
    <col min="2" max="7" width="5.44140625" bestFit="1" customWidth="1"/>
    <col min="8" max="8" width="5.44140625" customWidth="1"/>
    <col min="9" max="9" width="6.6640625" bestFit="1" customWidth="1"/>
    <col min="10" max="10" width="14.44140625" customWidth="1"/>
  </cols>
  <sheetData>
    <row r="5" spans="1:10" ht="15" customHeight="1" x14ac:dyDescent="0.3">
      <c r="A5" s="446"/>
      <c r="B5" s="446">
        <v>2019</v>
      </c>
      <c r="C5" s="446">
        <v>2020</v>
      </c>
      <c r="D5" s="446">
        <v>2021</v>
      </c>
      <c r="E5" s="446">
        <v>2022</v>
      </c>
      <c r="F5" s="446">
        <v>2023</v>
      </c>
      <c r="G5" s="446">
        <v>2024</v>
      </c>
      <c r="H5" s="446">
        <v>2025</v>
      </c>
      <c r="I5" s="446" t="s">
        <v>362</v>
      </c>
      <c r="J5" s="446" t="s">
        <v>2121</v>
      </c>
    </row>
    <row r="6" spans="1:10" ht="15" customHeight="1" x14ac:dyDescent="0.3">
      <c r="A6" s="443" t="s">
        <v>2122</v>
      </c>
      <c r="B6" s="443">
        <v>28</v>
      </c>
      <c r="C6" s="443">
        <v>12</v>
      </c>
      <c r="D6" s="443">
        <v>66</v>
      </c>
      <c r="E6" s="443">
        <v>26</v>
      </c>
      <c r="F6" s="443">
        <v>107</v>
      </c>
      <c r="G6" s="443">
        <v>80</v>
      </c>
      <c r="H6" s="443"/>
      <c r="I6" s="443"/>
      <c r="J6" s="443">
        <f t="shared" ref="J6:J19" si="0">+SUM(B6:I6)</f>
        <v>319</v>
      </c>
    </row>
    <row r="7" spans="1:10" ht="15" customHeight="1" x14ac:dyDescent="0.3">
      <c r="A7" s="447" t="s">
        <v>2123</v>
      </c>
      <c r="B7" s="447">
        <f t="shared" ref="B7:F7" si="1">+SUM(B8:B18)</f>
        <v>669</v>
      </c>
      <c r="C7" s="447">
        <f t="shared" si="1"/>
        <v>2718</v>
      </c>
      <c r="D7" s="447">
        <f t="shared" si="1"/>
        <v>2426</v>
      </c>
      <c r="E7" s="447">
        <f t="shared" si="1"/>
        <v>2112</v>
      </c>
      <c r="F7" s="447">
        <f t="shared" si="1"/>
        <v>977</v>
      </c>
      <c r="G7" s="447">
        <f>+SUM(G8:G18)</f>
        <v>325</v>
      </c>
      <c r="H7" s="447"/>
      <c r="I7" s="447"/>
      <c r="J7" s="447">
        <f t="shared" si="0"/>
        <v>9227</v>
      </c>
    </row>
    <row r="8" spans="1:10" ht="15" customHeight="1" x14ac:dyDescent="0.3">
      <c r="A8" s="444" t="s">
        <v>2124</v>
      </c>
      <c r="B8" s="445">
        <v>21</v>
      </c>
      <c r="C8" s="445">
        <v>260</v>
      </c>
      <c r="D8" s="445">
        <v>34</v>
      </c>
      <c r="E8" s="445"/>
      <c r="F8" s="445">
        <v>103</v>
      </c>
      <c r="G8" s="445">
        <v>5</v>
      </c>
      <c r="H8" s="445"/>
      <c r="I8" s="445"/>
      <c r="J8" s="445">
        <f t="shared" si="0"/>
        <v>423</v>
      </c>
    </row>
    <row r="9" spans="1:10" ht="15" customHeight="1" x14ac:dyDescent="0.3">
      <c r="A9" s="444" t="s">
        <v>2125</v>
      </c>
      <c r="B9" s="445">
        <v>17</v>
      </c>
      <c r="C9" s="445">
        <v>545</v>
      </c>
      <c r="D9" s="445">
        <v>1720</v>
      </c>
      <c r="E9" s="445">
        <v>1355</v>
      </c>
      <c r="F9" s="445">
        <v>511</v>
      </c>
      <c r="G9" s="445">
        <v>99</v>
      </c>
      <c r="H9" s="445"/>
      <c r="I9" s="445"/>
      <c r="J9" s="445">
        <f t="shared" si="0"/>
        <v>4247</v>
      </c>
    </row>
    <row r="10" spans="1:10" ht="15" customHeight="1" x14ac:dyDescent="0.3">
      <c r="A10" s="444" t="s">
        <v>2126</v>
      </c>
      <c r="B10" s="445">
        <v>118</v>
      </c>
      <c r="C10" s="445">
        <v>461</v>
      </c>
      <c r="D10" s="445"/>
      <c r="E10" s="445">
        <v>51</v>
      </c>
      <c r="F10" s="445"/>
      <c r="G10" s="445">
        <v>151</v>
      </c>
      <c r="H10" s="445"/>
      <c r="I10" s="445"/>
      <c r="J10" s="445">
        <f t="shared" si="0"/>
        <v>781</v>
      </c>
    </row>
    <row r="11" spans="1:10" ht="15" customHeight="1" x14ac:dyDescent="0.3">
      <c r="A11" s="444" t="s">
        <v>2127</v>
      </c>
      <c r="B11" s="445"/>
      <c r="C11" s="445"/>
      <c r="D11" s="445"/>
      <c r="E11" s="445">
        <v>54</v>
      </c>
      <c r="F11" s="445"/>
      <c r="G11" s="445">
        <v>18</v>
      </c>
      <c r="H11" s="445"/>
      <c r="I11" s="445"/>
      <c r="J11" s="445">
        <f t="shared" si="0"/>
        <v>72</v>
      </c>
    </row>
    <row r="12" spans="1:10" ht="15" customHeight="1" x14ac:dyDescent="0.3">
      <c r="A12" s="444" t="s">
        <v>2128</v>
      </c>
      <c r="B12" s="445"/>
      <c r="C12" s="445">
        <v>35</v>
      </c>
      <c r="D12" s="445">
        <v>565</v>
      </c>
      <c r="E12" s="445">
        <v>508</v>
      </c>
      <c r="F12" s="445"/>
      <c r="G12" s="445">
        <v>13</v>
      </c>
      <c r="H12" s="445"/>
      <c r="I12" s="445"/>
      <c r="J12" s="445">
        <f t="shared" si="0"/>
        <v>1121</v>
      </c>
    </row>
    <row r="13" spans="1:10" ht="15" customHeight="1" x14ac:dyDescent="0.3">
      <c r="A13" s="444" t="s">
        <v>2129</v>
      </c>
      <c r="B13" s="445"/>
      <c r="C13" s="445">
        <v>1372</v>
      </c>
      <c r="D13" s="445"/>
      <c r="E13" s="445">
        <v>91</v>
      </c>
      <c r="F13" s="445"/>
      <c r="G13" s="445">
        <v>10</v>
      </c>
      <c r="H13" s="445"/>
      <c r="I13" s="445"/>
      <c r="J13" s="445">
        <f t="shared" si="0"/>
        <v>1473</v>
      </c>
    </row>
    <row r="14" spans="1:10" ht="15" customHeight="1" x14ac:dyDescent="0.3">
      <c r="A14" s="444" t="s">
        <v>2130</v>
      </c>
      <c r="B14" s="445"/>
      <c r="C14" s="445">
        <v>45</v>
      </c>
      <c r="D14" s="445">
        <v>13</v>
      </c>
      <c r="E14" s="445"/>
      <c r="F14" s="445"/>
      <c r="G14" s="445">
        <v>0</v>
      </c>
      <c r="H14" s="445"/>
      <c r="I14" s="445"/>
      <c r="J14" s="445">
        <f t="shared" si="0"/>
        <v>58</v>
      </c>
    </row>
    <row r="15" spans="1:10" ht="15" customHeight="1" x14ac:dyDescent="0.3">
      <c r="A15" s="444" t="s">
        <v>2131</v>
      </c>
      <c r="B15" s="445"/>
      <c r="C15" s="445"/>
      <c r="D15" s="445">
        <v>7</v>
      </c>
      <c r="E15" s="445"/>
      <c r="F15" s="445"/>
      <c r="G15" s="445">
        <v>16</v>
      </c>
      <c r="H15" s="445"/>
      <c r="I15" s="445"/>
      <c r="J15" s="445">
        <f t="shared" si="0"/>
        <v>23</v>
      </c>
    </row>
    <row r="16" spans="1:10" ht="15" customHeight="1" x14ac:dyDescent="0.3">
      <c r="A16" s="444" t="s">
        <v>2132</v>
      </c>
      <c r="B16" s="445">
        <v>102</v>
      </c>
      <c r="C16" s="445"/>
      <c r="D16" s="445">
        <v>15</v>
      </c>
      <c r="E16" s="445"/>
      <c r="F16" s="445">
        <v>7</v>
      </c>
      <c r="G16" s="445">
        <v>10</v>
      </c>
      <c r="H16" s="445"/>
      <c r="I16" s="445"/>
      <c r="J16" s="445">
        <f t="shared" si="0"/>
        <v>134</v>
      </c>
    </row>
    <row r="17" spans="1:10" ht="15" customHeight="1" x14ac:dyDescent="0.3">
      <c r="A17" s="444" t="s">
        <v>2133</v>
      </c>
      <c r="B17" s="445"/>
      <c r="C17" s="445"/>
      <c r="D17" s="445"/>
      <c r="E17" s="445">
        <v>39</v>
      </c>
      <c r="F17" s="445">
        <v>3</v>
      </c>
      <c r="G17" s="445">
        <v>0</v>
      </c>
      <c r="H17" s="445"/>
      <c r="I17" s="445"/>
      <c r="J17" s="445">
        <f t="shared" si="0"/>
        <v>42</v>
      </c>
    </row>
    <row r="18" spans="1:10" ht="15" customHeight="1" x14ac:dyDescent="0.3">
      <c r="A18" s="444" t="s">
        <v>820</v>
      </c>
      <c r="B18" s="445">
        <v>411</v>
      </c>
      <c r="C18" s="445"/>
      <c r="D18" s="445">
        <v>72</v>
      </c>
      <c r="E18" s="445">
        <v>14</v>
      </c>
      <c r="F18" s="445">
        <v>353</v>
      </c>
      <c r="G18" s="445">
        <v>3</v>
      </c>
      <c r="H18" s="445"/>
      <c r="I18" s="445"/>
      <c r="J18" s="445">
        <f t="shared" si="0"/>
        <v>853</v>
      </c>
    </row>
    <row r="19" spans="1:10" ht="15" customHeight="1" x14ac:dyDescent="0.3">
      <c r="A19" s="447" t="s">
        <v>2134</v>
      </c>
      <c r="B19" s="447">
        <f>+B7+B6</f>
        <v>697</v>
      </c>
      <c r="C19" s="447">
        <f t="shared" ref="C19:G19" si="2">+C7+C6</f>
        <v>2730</v>
      </c>
      <c r="D19" s="447">
        <f t="shared" si="2"/>
        <v>2492</v>
      </c>
      <c r="E19" s="447">
        <f t="shared" si="2"/>
        <v>2138</v>
      </c>
      <c r="F19" s="447">
        <f t="shared" si="2"/>
        <v>1084</v>
      </c>
      <c r="G19" s="447">
        <f t="shared" si="2"/>
        <v>405</v>
      </c>
      <c r="H19" s="447"/>
      <c r="I19" s="447"/>
      <c r="J19" s="447">
        <f t="shared" si="0"/>
        <v>9546</v>
      </c>
    </row>
  </sheetData>
  <pageMargins left="0.7" right="0.7" top="0.75" bottom="0.75" header="0.3" footer="0.3"/>
  <drawing r:id="rId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E7BC4-FD7D-47FB-85FD-052830E4EEBB}">
  <dimension ref="A1:R15"/>
  <sheetViews>
    <sheetView workbookViewId="0">
      <selection activeCell="S4" sqref="S4"/>
    </sheetView>
  </sheetViews>
  <sheetFormatPr baseColWidth="10" defaultColWidth="28.44140625" defaultRowHeight="14.4" x14ac:dyDescent="0.3"/>
  <cols>
    <col min="1" max="1" width="16.44140625" customWidth="1"/>
    <col min="2" max="2" width="35.44140625" bestFit="1" customWidth="1"/>
    <col min="3" max="3" width="4" bestFit="1" customWidth="1"/>
    <col min="4" max="4" width="8.44140625" customWidth="1"/>
    <col min="5" max="6" width="4.44140625" bestFit="1" customWidth="1"/>
    <col min="7" max="8" width="5.44140625" bestFit="1" customWidth="1"/>
    <col min="9" max="9" width="6.44140625" customWidth="1"/>
    <col min="10" max="10" width="8.44140625" customWidth="1"/>
    <col min="11" max="13" width="4.44140625" bestFit="1" customWidth="1"/>
    <col min="14" max="14" width="8.33203125" customWidth="1"/>
    <col min="15" max="15" width="4.44140625" bestFit="1" customWidth="1"/>
    <col min="16" max="16" width="5.44140625" customWidth="1"/>
    <col min="17" max="17" width="4" customWidth="1"/>
    <col min="18" max="18" width="3.33203125" bestFit="1" customWidth="1"/>
  </cols>
  <sheetData>
    <row r="1" spans="1:18" x14ac:dyDescent="0.3">
      <c r="A1" t="s">
        <v>355</v>
      </c>
      <c r="B1">
        <v>231</v>
      </c>
    </row>
    <row r="2" spans="1:18" x14ac:dyDescent="0.3">
      <c r="A2" t="s">
        <v>5</v>
      </c>
      <c r="B2" t="s">
        <v>295</v>
      </c>
    </row>
    <row r="3" spans="1:18" ht="15" thickBot="1" x14ac:dyDescent="0.35"/>
    <row r="4" spans="1:18" ht="50.85" customHeight="1" thickBot="1" x14ac:dyDescent="0.35">
      <c r="A4" s="292" t="s">
        <v>2035</v>
      </c>
      <c r="B4" s="292" t="s">
        <v>2135</v>
      </c>
      <c r="C4" s="292" t="s">
        <v>422</v>
      </c>
      <c r="D4" s="705" t="s">
        <v>423</v>
      </c>
      <c r="E4" s="705"/>
      <c r="F4" s="292" t="s">
        <v>424</v>
      </c>
      <c r="G4" s="292" t="s">
        <v>425</v>
      </c>
      <c r="H4" s="292" t="s">
        <v>426</v>
      </c>
      <c r="I4" s="292" t="s">
        <v>427</v>
      </c>
      <c r="J4" s="705" t="s">
        <v>428</v>
      </c>
      <c r="K4" s="705"/>
      <c r="L4" s="292" t="s">
        <v>429</v>
      </c>
      <c r="M4" s="292" t="s">
        <v>430</v>
      </c>
      <c r="N4" s="292" t="s">
        <v>358</v>
      </c>
      <c r="O4" s="292" t="s">
        <v>359</v>
      </c>
      <c r="P4" s="292" t="s">
        <v>360</v>
      </c>
      <c r="Q4" s="292" t="s">
        <v>361</v>
      </c>
      <c r="R4" s="292" t="s">
        <v>362</v>
      </c>
    </row>
    <row r="5" spans="1:18" ht="15.6" thickBot="1" x14ac:dyDescent="0.35">
      <c r="A5" s="706" t="s">
        <v>448</v>
      </c>
      <c r="B5" s="61" t="s">
        <v>2136</v>
      </c>
      <c r="C5" s="283">
        <v>0.34</v>
      </c>
      <c r="D5" s="704">
        <v>0.3</v>
      </c>
      <c r="E5" s="704"/>
      <c r="F5" s="283">
        <v>0.33</v>
      </c>
      <c r="G5" s="283">
        <v>0.32</v>
      </c>
      <c r="H5" s="283">
        <v>0.34</v>
      </c>
      <c r="I5" s="293">
        <v>0.42</v>
      </c>
      <c r="J5" s="707">
        <v>0.44</v>
      </c>
      <c r="K5" s="707"/>
      <c r="L5" s="293">
        <v>0.48</v>
      </c>
      <c r="M5" s="293">
        <v>0.42</v>
      </c>
      <c r="N5" s="294">
        <v>0.44</v>
      </c>
      <c r="O5" s="294">
        <v>0.44</v>
      </c>
      <c r="P5" s="294"/>
      <c r="Q5" s="294"/>
      <c r="R5" s="294"/>
    </row>
    <row r="6" spans="1:18" ht="15.6" thickBot="1" x14ac:dyDescent="0.35">
      <c r="A6" s="703"/>
      <c r="B6" s="61" t="s">
        <v>2137</v>
      </c>
      <c r="C6" s="283">
        <v>0.54</v>
      </c>
      <c r="D6" s="704">
        <v>0.57999999999999996</v>
      </c>
      <c r="E6" s="704"/>
      <c r="F6" s="283">
        <v>0.56000000000000005</v>
      </c>
      <c r="G6" s="283">
        <v>0.56999999999999995</v>
      </c>
      <c r="H6" s="283">
        <v>0.55000000000000004</v>
      </c>
      <c r="I6" s="293">
        <v>0.41</v>
      </c>
      <c r="J6" s="707">
        <v>0.39</v>
      </c>
      <c r="K6" s="707"/>
      <c r="L6" s="293">
        <v>0.37</v>
      </c>
      <c r="M6" s="293">
        <v>0.33</v>
      </c>
      <c r="N6" s="294">
        <v>0.38</v>
      </c>
      <c r="O6" s="294">
        <v>0.37</v>
      </c>
      <c r="P6" s="294"/>
      <c r="Q6" s="294"/>
      <c r="R6" s="294"/>
    </row>
    <row r="7" spans="1:18" ht="15.6" thickBot="1" x14ac:dyDescent="0.35">
      <c r="A7" s="703"/>
      <c r="B7" s="61" t="s">
        <v>2138</v>
      </c>
      <c r="C7" s="283">
        <v>7.0000000000000007E-2</v>
      </c>
      <c r="D7" s="704">
        <v>7.0000000000000007E-2</v>
      </c>
      <c r="E7" s="704"/>
      <c r="F7" s="283">
        <v>7.0000000000000007E-2</v>
      </c>
      <c r="G7" s="283">
        <v>7.0000000000000007E-2</v>
      </c>
      <c r="H7" s="283">
        <v>7.0000000000000007E-2</v>
      </c>
      <c r="I7" s="293">
        <v>0.13</v>
      </c>
      <c r="J7" s="707">
        <v>0.13</v>
      </c>
      <c r="K7" s="707"/>
      <c r="L7" s="293">
        <v>0.11</v>
      </c>
      <c r="M7" s="293">
        <v>0.15</v>
      </c>
      <c r="N7" s="294">
        <v>0.13</v>
      </c>
      <c r="O7" s="294">
        <v>0.14000000000000001</v>
      </c>
      <c r="P7" s="294"/>
      <c r="Q7" s="294"/>
      <c r="R7" s="294"/>
    </row>
    <row r="8" spans="1:18" ht="15.6" thickBot="1" x14ac:dyDescent="0.35">
      <c r="A8" s="703"/>
      <c r="B8" s="61" t="s">
        <v>2139</v>
      </c>
      <c r="C8" s="283">
        <v>0.04</v>
      </c>
      <c r="D8" s="704">
        <v>0.05</v>
      </c>
      <c r="E8" s="704"/>
      <c r="F8" s="283">
        <v>0.03</v>
      </c>
      <c r="G8" s="283">
        <v>0.03</v>
      </c>
      <c r="H8" s="283">
        <v>0.03</v>
      </c>
      <c r="I8" s="293">
        <v>0.03</v>
      </c>
      <c r="J8" s="707">
        <v>0.02</v>
      </c>
      <c r="K8" s="707"/>
      <c r="L8" s="293">
        <v>0.03</v>
      </c>
      <c r="M8" s="293">
        <v>0.05</v>
      </c>
      <c r="N8" s="294">
        <v>0.03</v>
      </c>
      <c r="O8" s="294">
        <v>0.03</v>
      </c>
      <c r="P8" s="294"/>
      <c r="Q8" s="294"/>
      <c r="R8" s="294"/>
    </row>
    <row r="9" spans="1:18" ht="15.6" thickBot="1" x14ac:dyDescent="0.35">
      <c r="A9" s="703"/>
      <c r="B9" s="61" t="s">
        <v>2140</v>
      </c>
      <c r="C9" s="283">
        <v>0.01</v>
      </c>
      <c r="D9" s="704">
        <v>0.01</v>
      </c>
      <c r="E9" s="704"/>
      <c r="F9" s="283">
        <v>0.01</v>
      </c>
      <c r="G9" s="283">
        <v>0.01</v>
      </c>
      <c r="H9" s="283">
        <v>0.01</v>
      </c>
      <c r="I9" s="283">
        <v>0.01</v>
      </c>
      <c r="J9" s="704">
        <v>0.01</v>
      </c>
      <c r="K9" s="704"/>
      <c r="L9" s="283">
        <v>0.02</v>
      </c>
      <c r="M9" s="283">
        <v>0.04</v>
      </c>
      <c r="N9" s="294">
        <v>0.02</v>
      </c>
      <c r="O9" s="294">
        <v>0.02</v>
      </c>
      <c r="P9" s="294"/>
      <c r="Q9" s="294"/>
      <c r="R9" s="294"/>
    </row>
    <row r="10" spans="1:18" ht="15.6" thickBot="1" x14ac:dyDescent="0.35">
      <c r="A10" s="703" t="s">
        <v>440</v>
      </c>
      <c r="B10" s="61" t="s">
        <v>2136</v>
      </c>
      <c r="C10" s="283">
        <v>0.47</v>
      </c>
      <c r="D10" s="704">
        <v>0.47</v>
      </c>
      <c r="E10" s="704"/>
      <c r="F10" s="283">
        <v>0.47</v>
      </c>
      <c r="G10" s="283">
        <v>0.51</v>
      </c>
      <c r="H10" s="283">
        <v>0.49</v>
      </c>
      <c r="I10" s="283">
        <v>0.56999999999999995</v>
      </c>
      <c r="J10" s="704">
        <v>0.56000000000000005</v>
      </c>
      <c r="K10" s="704"/>
      <c r="L10" s="283">
        <v>0.57999999999999996</v>
      </c>
      <c r="M10" s="283">
        <v>0.6</v>
      </c>
      <c r="N10" s="294">
        <v>0.57999999999999996</v>
      </c>
      <c r="O10" s="294">
        <v>0.6</v>
      </c>
      <c r="P10" s="294"/>
      <c r="Q10" s="294"/>
      <c r="R10" s="294"/>
    </row>
    <row r="11" spans="1:18" ht="15.6" thickBot="1" x14ac:dyDescent="0.35">
      <c r="A11" s="703"/>
      <c r="B11" s="61" t="s">
        <v>2137</v>
      </c>
      <c r="C11" s="283">
        <v>0.48</v>
      </c>
      <c r="D11" s="704">
        <v>0.48</v>
      </c>
      <c r="E11" s="704"/>
      <c r="F11" s="283">
        <v>0.48</v>
      </c>
      <c r="G11" s="283">
        <v>0.34</v>
      </c>
      <c r="H11" s="283">
        <v>0.37</v>
      </c>
      <c r="I11" s="283">
        <v>0.33</v>
      </c>
      <c r="J11" s="704">
        <v>0.34</v>
      </c>
      <c r="K11" s="704"/>
      <c r="L11" s="283">
        <v>0.33</v>
      </c>
      <c r="M11" s="283">
        <v>0.28999999999999998</v>
      </c>
      <c r="N11" s="294">
        <v>0.32</v>
      </c>
      <c r="O11" s="294">
        <v>0.31</v>
      </c>
      <c r="P11" s="294"/>
      <c r="Q11" s="294"/>
      <c r="R11" s="294"/>
    </row>
    <row r="12" spans="1:18" ht="15.6" thickBot="1" x14ac:dyDescent="0.35">
      <c r="A12" s="703"/>
      <c r="B12" s="61" t="s">
        <v>2138</v>
      </c>
      <c r="C12" s="283">
        <v>0.03</v>
      </c>
      <c r="D12" s="704">
        <v>0.03</v>
      </c>
      <c r="E12" s="704"/>
      <c r="F12" s="283">
        <v>0.03</v>
      </c>
      <c r="G12" s="283">
        <v>0.11</v>
      </c>
      <c r="H12" s="283">
        <v>0.11</v>
      </c>
      <c r="I12" s="283">
        <v>0.08</v>
      </c>
      <c r="J12" s="704">
        <v>0.08</v>
      </c>
      <c r="K12" s="704"/>
      <c r="L12" s="283">
        <v>0.08</v>
      </c>
      <c r="M12" s="283">
        <v>0.09</v>
      </c>
      <c r="N12" s="294">
        <v>0.08</v>
      </c>
      <c r="O12" s="294">
        <v>7.0000000000000007E-2</v>
      </c>
      <c r="P12" s="294"/>
      <c r="Q12" s="294"/>
      <c r="R12" s="294"/>
    </row>
    <row r="13" spans="1:18" ht="15.6" thickBot="1" x14ac:dyDescent="0.35">
      <c r="A13" s="703"/>
      <c r="B13" s="61" t="s">
        <v>2139</v>
      </c>
      <c r="C13" s="283">
        <v>0.02</v>
      </c>
      <c r="D13" s="704">
        <v>0.02</v>
      </c>
      <c r="E13" s="704"/>
      <c r="F13" s="283">
        <v>0.01</v>
      </c>
      <c r="G13" s="283">
        <v>0.03</v>
      </c>
      <c r="H13" s="283">
        <v>0.02</v>
      </c>
      <c r="I13" s="283">
        <v>0.01</v>
      </c>
      <c r="J13" s="704">
        <v>0.01</v>
      </c>
      <c r="K13" s="704"/>
      <c r="L13" s="283">
        <v>0.01</v>
      </c>
      <c r="M13" s="283">
        <v>0.01</v>
      </c>
      <c r="N13" s="294">
        <v>0.01</v>
      </c>
      <c r="O13" s="294">
        <v>0.01</v>
      </c>
      <c r="P13" s="294"/>
      <c r="Q13" s="294"/>
      <c r="R13" s="294"/>
    </row>
    <row r="14" spans="1:18" ht="15.6" thickBot="1" x14ac:dyDescent="0.35">
      <c r="A14" s="703"/>
      <c r="B14" s="61" t="s">
        <v>2140</v>
      </c>
      <c r="C14" s="283">
        <v>0</v>
      </c>
      <c r="D14" s="704">
        <v>0.01</v>
      </c>
      <c r="E14" s="704"/>
      <c r="F14" s="283">
        <v>0</v>
      </c>
      <c r="G14" s="283">
        <v>0.02</v>
      </c>
      <c r="H14" s="283">
        <v>0.01</v>
      </c>
      <c r="I14" s="283">
        <v>0.01</v>
      </c>
      <c r="J14" s="704">
        <v>0.01</v>
      </c>
      <c r="K14" s="704"/>
      <c r="L14" s="283">
        <v>0.01</v>
      </c>
      <c r="M14" s="283">
        <v>0</v>
      </c>
      <c r="N14" s="294">
        <v>0.01</v>
      </c>
      <c r="O14" s="294">
        <v>0.01</v>
      </c>
      <c r="P14" s="294"/>
      <c r="Q14" s="294"/>
      <c r="R14" s="294"/>
    </row>
    <row r="15" spans="1:18" ht="15" thickBot="1" x14ac:dyDescent="0.35">
      <c r="A15" s="701" t="s">
        <v>2120</v>
      </c>
      <c r="B15" s="701"/>
      <c r="C15" s="702">
        <v>3515</v>
      </c>
      <c r="D15" s="702"/>
      <c r="E15" s="295">
        <v>4491</v>
      </c>
      <c r="F15" s="295">
        <v>5222</v>
      </c>
      <c r="G15" s="295">
        <v>12516</v>
      </c>
      <c r="H15" s="295">
        <v>12326</v>
      </c>
      <c r="I15" s="702">
        <v>12032</v>
      </c>
      <c r="J15" s="702"/>
      <c r="K15" s="295">
        <v>6244</v>
      </c>
      <c r="L15" s="295">
        <v>4347</v>
      </c>
      <c r="M15" s="295">
        <v>444</v>
      </c>
      <c r="N15" s="295">
        <v>4393</v>
      </c>
      <c r="O15" s="505">
        <v>6564</v>
      </c>
      <c r="P15" s="505"/>
      <c r="Q15" s="505"/>
      <c r="R15" s="505"/>
    </row>
  </sheetData>
  <mergeCells count="27">
    <mergeCell ref="D4:E4"/>
    <mergeCell ref="J4:K4"/>
    <mergeCell ref="A5:A9"/>
    <mergeCell ref="D5:E5"/>
    <mergeCell ref="J5:K5"/>
    <mergeCell ref="D6:E6"/>
    <mergeCell ref="J6:K6"/>
    <mergeCell ref="D7:E7"/>
    <mergeCell ref="J7:K7"/>
    <mergeCell ref="D8:E8"/>
    <mergeCell ref="J8:K8"/>
    <mergeCell ref="D9:E9"/>
    <mergeCell ref="J9:K9"/>
    <mergeCell ref="A15:B15"/>
    <mergeCell ref="C15:D15"/>
    <mergeCell ref="I15:J15"/>
    <mergeCell ref="A10:A14"/>
    <mergeCell ref="D10:E10"/>
    <mergeCell ref="J10:K10"/>
    <mergeCell ref="D11:E11"/>
    <mergeCell ref="J11:K11"/>
    <mergeCell ref="D12:E12"/>
    <mergeCell ref="J12:K12"/>
    <mergeCell ref="D13:E13"/>
    <mergeCell ref="J13:K13"/>
    <mergeCell ref="D14:E14"/>
    <mergeCell ref="J14:K14"/>
  </mergeCells>
  <pageMargins left="0.7" right="0.7" top="0.75" bottom="0.75" header="0.3" footer="0.3"/>
  <drawing r:id="rId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7011B-480E-4486-94CA-D73B618D7837}">
  <dimension ref="A1:O5"/>
  <sheetViews>
    <sheetView workbookViewId="0">
      <selection activeCell="N4" sqref="N4"/>
    </sheetView>
  </sheetViews>
  <sheetFormatPr baseColWidth="10" defaultColWidth="28.44140625" defaultRowHeight="14.4" x14ac:dyDescent="0.3"/>
  <cols>
    <col min="1" max="1" width="16.44140625" customWidth="1"/>
    <col min="2" max="2" width="11.44140625" customWidth="1"/>
    <col min="3" max="11" width="5.44140625" bestFit="1" customWidth="1"/>
    <col min="12" max="15" width="8.44140625" customWidth="1"/>
  </cols>
  <sheetData>
    <row r="1" spans="1:15" x14ac:dyDescent="0.3">
      <c r="A1" t="s">
        <v>355</v>
      </c>
      <c r="B1">
        <v>232</v>
      </c>
    </row>
    <row r="2" spans="1:15" x14ac:dyDescent="0.3">
      <c r="A2" t="s">
        <v>5</v>
      </c>
      <c r="B2" t="s">
        <v>354</v>
      </c>
    </row>
    <row r="3" spans="1:15" ht="15" thickBot="1" x14ac:dyDescent="0.35"/>
    <row r="4" spans="1:15" ht="28.2" thickBot="1" x14ac:dyDescent="0.35">
      <c r="A4" s="52"/>
      <c r="B4" s="296" t="s">
        <v>422</v>
      </c>
      <c r="C4" s="296" t="s">
        <v>423</v>
      </c>
      <c r="D4" s="296" t="s">
        <v>424</v>
      </c>
      <c r="E4" s="296" t="s">
        <v>425</v>
      </c>
      <c r="F4" s="296" t="s">
        <v>426</v>
      </c>
      <c r="G4" s="296" t="s">
        <v>427</v>
      </c>
      <c r="H4" s="296" t="s">
        <v>428</v>
      </c>
      <c r="I4" s="296" t="s">
        <v>429</v>
      </c>
      <c r="J4" s="296" t="s">
        <v>430</v>
      </c>
      <c r="K4" s="296" t="s">
        <v>358</v>
      </c>
      <c r="L4" s="296" t="s">
        <v>359</v>
      </c>
      <c r="M4" s="403" t="s">
        <v>360</v>
      </c>
      <c r="N4" s="403" t="s">
        <v>361</v>
      </c>
      <c r="O4" s="403" t="s">
        <v>362</v>
      </c>
    </row>
    <row r="5" spans="1:15" ht="15" thickBot="1" x14ac:dyDescent="0.35">
      <c r="A5" s="56" t="s">
        <v>2141</v>
      </c>
      <c r="B5" s="36">
        <v>216</v>
      </c>
      <c r="C5" s="36">
        <v>167</v>
      </c>
      <c r="D5" s="36">
        <v>273</v>
      </c>
      <c r="E5" s="36">
        <v>193</v>
      </c>
      <c r="F5" s="36">
        <v>400</v>
      </c>
      <c r="G5" s="36">
        <v>102</v>
      </c>
      <c r="H5" s="36">
        <v>358</v>
      </c>
      <c r="I5" s="36">
        <v>247</v>
      </c>
      <c r="J5" s="36">
        <v>481</v>
      </c>
      <c r="K5" s="36">
        <v>359</v>
      </c>
      <c r="L5" s="36">
        <v>577</v>
      </c>
      <c r="M5" s="36">
        <v>677</v>
      </c>
      <c r="N5" s="36"/>
      <c r="O5" s="36"/>
    </row>
  </sheetData>
  <pageMargins left="0.7" right="0.7" top="0.75" bottom="0.75" header="0.3" footer="0.3"/>
  <drawing r:id="rId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BDF6-E984-40CA-B791-BF6C84AF90F8}">
  <dimension ref="A1:K10"/>
  <sheetViews>
    <sheetView workbookViewId="0">
      <selection activeCell="M1" sqref="M1"/>
    </sheetView>
  </sheetViews>
  <sheetFormatPr baseColWidth="10" defaultColWidth="28.44140625" defaultRowHeight="14.4" x14ac:dyDescent="0.3"/>
  <cols>
    <col min="1" max="1" width="16.44140625" customWidth="1"/>
    <col min="2" max="2" width="30.44140625" customWidth="1"/>
    <col min="3" max="3" width="8.44140625" customWidth="1"/>
    <col min="4" max="4" width="9.44140625" bestFit="1" customWidth="1"/>
    <col min="5" max="5" width="14.44140625" customWidth="1"/>
    <col min="6" max="11" width="8.44140625" customWidth="1"/>
    <col min="12" max="12" width="5.44140625" customWidth="1"/>
  </cols>
  <sheetData>
    <row r="1" spans="1:11" x14ac:dyDescent="0.3">
      <c r="A1" t="s">
        <v>355</v>
      </c>
      <c r="B1">
        <v>239</v>
      </c>
    </row>
    <row r="2" spans="1:11" x14ac:dyDescent="0.3">
      <c r="A2" t="s">
        <v>5</v>
      </c>
      <c r="B2" t="s">
        <v>298</v>
      </c>
    </row>
    <row r="5" spans="1:11" ht="15.6" thickBot="1" x14ac:dyDescent="0.35">
      <c r="A5" s="51" t="s">
        <v>2035</v>
      </c>
      <c r="B5" s="51" t="s">
        <v>2142</v>
      </c>
      <c r="C5" s="51" t="s">
        <v>422</v>
      </c>
      <c r="D5" s="51">
        <v>2020</v>
      </c>
      <c r="E5" s="51">
        <v>2021</v>
      </c>
      <c r="F5" s="51">
        <v>2022</v>
      </c>
      <c r="G5" s="51">
        <v>2023</v>
      </c>
      <c r="H5" s="51">
        <v>2024</v>
      </c>
      <c r="I5" s="51">
        <v>2025</v>
      </c>
      <c r="J5" s="51" t="s">
        <v>362</v>
      </c>
      <c r="K5" s="51" t="s">
        <v>466</v>
      </c>
    </row>
    <row r="6" spans="1:11" ht="15.6" thickBot="1" x14ac:dyDescent="0.35">
      <c r="A6" s="709" t="s">
        <v>440</v>
      </c>
      <c r="B6" s="63" t="s">
        <v>2143</v>
      </c>
      <c r="C6" s="63">
        <v>3</v>
      </c>
      <c r="D6" s="63">
        <v>194</v>
      </c>
      <c r="E6" s="63">
        <v>66</v>
      </c>
      <c r="F6" s="63">
        <v>7</v>
      </c>
      <c r="G6" s="63">
        <v>135</v>
      </c>
      <c r="H6" s="48">
        <v>140</v>
      </c>
      <c r="I6" s="558">
        <v>35</v>
      </c>
      <c r="J6" s="48"/>
      <c r="K6" s="48">
        <f>+SUM(C6:I6)</f>
        <v>580</v>
      </c>
    </row>
    <row r="7" spans="1:11" ht="15.6" thickBot="1" x14ac:dyDescent="0.35">
      <c r="A7" s="710"/>
      <c r="B7" s="63" t="s">
        <v>2144</v>
      </c>
      <c r="C7" s="63">
        <v>1</v>
      </c>
      <c r="D7" s="63">
        <v>3</v>
      </c>
      <c r="E7" s="63">
        <v>1</v>
      </c>
      <c r="F7" s="63">
        <v>0</v>
      </c>
      <c r="G7" s="63">
        <v>3</v>
      </c>
      <c r="H7" s="48">
        <v>6</v>
      </c>
      <c r="I7" s="558">
        <v>47</v>
      </c>
      <c r="J7" s="48"/>
      <c r="K7" s="48">
        <f t="shared" ref="K7:K9" si="0">+SUM(C7:I7)</f>
        <v>61</v>
      </c>
    </row>
    <row r="8" spans="1:11" ht="15.6" thickBot="1" x14ac:dyDescent="0.35">
      <c r="A8" s="709" t="s">
        <v>448</v>
      </c>
      <c r="B8" s="63" t="s">
        <v>2143</v>
      </c>
      <c r="C8" s="63">
        <v>9</v>
      </c>
      <c r="D8" s="63">
        <v>17</v>
      </c>
      <c r="E8" s="63">
        <v>38</v>
      </c>
      <c r="F8" s="63">
        <v>17</v>
      </c>
      <c r="G8" s="63">
        <v>49</v>
      </c>
      <c r="H8" s="63">
        <v>34</v>
      </c>
      <c r="I8" s="548">
        <v>9</v>
      </c>
      <c r="J8" s="63"/>
      <c r="K8" s="48">
        <f t="shared" si="0"/>
        <v>173</v>
      </c>
    </row>
    <row r="9" spans="1:11" ht="15.6" thickBot="1" x14ac:dyDescent="0.35">
      <c r="A9" s="710"/>
      <c r="B9" s="63" t="s">
        <v>2144</v>
      </c>
      <c r="C9" s="63">
        <v>6</v>
      </c>
      <c r="D9" s="63">
        <v>4</v>
      </c>
      <c r="E9" s="63">
        <v>7</v>
      </c>
      <c r="F9" s="63">
        <v>7</v>
      </c>
      <c r="G9" s="63">
        <v>0</v>
      </c>
      <c r="H9" s="63">
        <v>20</v>
      </c>
      <c r="I9" s="548">
        <v>14</v>
      </c>
      <c r="J9" s="63"/>
      <c r="K9" s="48">
        <f t="shared" si="0"/>
        <v>58</v>
      </c>
    </row>
    <row r="10" spans="1:11" ht="15.6" thickBot="1" x14ac:dyDescent="0.35">
      <c r="A10" s="708" t="s">
        <v>466</v>
      </c>
      <c r="B10" s="708"/>
      <c r="C10" s="64">
        <f t="shared" ref="C10:G10" si="1">+SUM(C6:C9)</f>
        <v>19</v>
      </c>
      <c r="D10" s="64">
        <f t="shared" si="1"/>
        <v>218</v>
      </c>
      <c r="E10" s="64">
        <f t="shared" si="1"/>
        <v>112</v>
      </c>
      <c r="F10" s="64">
        <f t="shared" si="1"/>
        <v>31</v>
      </c>
      <c r="G10" s="64">
        <f t="shared" si="1"/>
        <v>187</v>
      </c>
      <c r="H10" s="64">
        <f>+SUM(H6:H9)</f>
        <v>200</v>
      </c>
      <c r="I10" s="549">
        <f>+SUM(I6:I9)</f>
        <v>105</v>
      </c>
      <c r="J10" s="64"/>
      <c r="K10" s="64">
        <f>+SUM(K6:K9)</f>
        <v>872</v>
      </c>
    </row>
  </sheetData>
  <mergeCells count="3">
    <mergeCell ref="A10:B10"/>
    <mergeCell ref="A6:A7"/>
    <mergeCell ref="A8:A9"/>
  </mergeCells>
  <pageMargins left="0.7" right="0.7" top="0.75" bottom="0.75" header="0.3" footer="0.3"/>
  <pageSetup paperSize="0" orientation="portrait" horizontalDpi="0" verticalDpi="0" copies="0"/>
  <ignoredErrors>
    <ignoredError sqref="D10 E10:H10" formulaRange="1"/>
  </ignoredErrors>
  <drawing r:id="rId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2B4C3-EF0B-4850-87AB-4EC35657D5F8}">
  <dimension ref="A1:B12"/>
  <sheetViews>
    <sheetView workbookViewId="0"/>
  </sheetViews>
  <sheetFormatPr baseColWidth="10" defaultColWidth="28.44140625" defaultRowHeight="14.4" x14ac:dyDescent="0.3"/>
  <cols>
    <col min="1" max="1" width="16.44140625" customWidth="1"/>
    <col min="2" max="2" width="18.44140625" customWidth="1"/>
    <col min="3" max="15" width="8.44140625" customWidth="1"/>
    <col min="16" max="16" width="5.44140625" customWidth="1"/>
  </cols>
  <sheetData>
    <row r="1" spans="1:2" x14ac:dyDescent="0.3">
      <c r="A1" t="s">
        <v>355</v>
      </c>
      <c r="B1">
        <v>240</v>
      </c>
    </row>
    <row r="2" spans="1:2" x14ac:dyDescent="0.3">
      <c r="A2" t="s">
        <v>5</v>
      </c>
      <c r="B2" t="s">
        <v>299</v>
      </c>
    </row>
    <row r="4" spans="1:2" ht="15" thickBot="1" x14ac:dyDescent="0.35"/>
    <row r="5" spans="1:2" ht="15.6" thickBot="1" x14ac:dyDescent="0.35">
      <c r="A5" s="62" t="s">
        <v>2145</v>
      </c>
      <c r="B5" s="62" t="s">
        <v>2146</v>
      </c>
    </row>
    <row r="6" spans="1:2" ht="15.6" thickBot="1" x14ac:dyDescent="0.35">
      <c r="A6" s="63">
        <v>2021</v>
      </c>
      <c r="B6" s="63">
        <v>15</v>
      </c>
    </row>
    <row r="7" spans="1:2" ht="15.6" thickBot="1" x14ac:dyDescent="0.35">
      <c r="A7" s="63">
        <v>2022</v>
      </c>
      <c r="B7" s="63">
        <v>8</v>
      </c>
    </row>
    <row r="8" spans="1:2" ht="15.6" thickBot="1" x14ac:dyDescent="0.35">
      <c r="A8" s="63">
        <v>2023</v>
      </c>
      <c r="B8" s="63">
        <v>27</v>
      </c>
    </row>
    <row r="9" spans="1:2" ht="15.6" thickBot="1" x14ac:dyDescent="0.35">
      <c r="A9" s="63">
        <v>2024</v>
      </c>
      <c r="B9" s="63">
        <v>80</v>
      </c>
    </row>
    <row r="10" spans="1:2" ht="15.6" thickBot="1" x14ac:dyDescent="0.35">
      <c r="A10" s="548" t="s">
        <v>360</v>
      </c>
      <c r="B10" s="548">
        <v>93</v>
      </c>
    </row>
    <row r="11" spans="1:2" ht="15.6" thickBot="1" x14ac:dyDescent="0.35">
      <c r="A11" s="63">
        <v>2026</v>
      </c>
      <c r="B11" s="63"/>
    </row>
    <row r="12" spans="1:2" ht="15.6" thickBot="1" x14ac:dyDescent="0.35">
      <c r="A12" s="64" t="s">
        <v>536</v>
      </c>
      <c r="B12" s="64">
        <f>+SUM(B6:B10)</f>
        <v>223</v>
      </c>
    </row>
  </sheetData>
  <pageMargins left="0.7" right="0.7" top="0.75" bottom="0.75" header="0.3" footer="0.3"/>
  <drawing r:id="rId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1EA86-A58B-467D-A785-0AE6DFE60668}">
  <dimension ref="A1:D33"/>
  <sheetViews>
    <sheetView workbookViewId="0">
      <selection activeCell="B24" sqref="B24"/>
    </sheetView>
  </sheetViews>
  <sheetFormatPr baseColWidth="10" defaultColWidth="8.44140625" defaultRowHeight="14.4" x14ac:dyDescent="0.3"/>
  <cols>
    <col min="1" max="1" width="40.88671875" bestFit="1" customWidth="1"/>
    <col min="2" max="2" width="11.109375" customWidth="1"/>
    <col min="3" max="3" width="15.44140625" customWidth="1"/>
  </cols>
  <sheetData>
    <row r="1" spans="1:4" x14ac:dyDescent="0.3">
      <c r="A1" t="s">
        <v>355</v>
      </c>
      <c r="B1">
        <v>81</v>
      </c>
    </row>
    <row r="2" spans="1:4" x14ac:dyDescent="0.3">
      <c r="A2" t="s">
        <v>5</v>
      </c>
      <c r="B2" t="s">
        <v>2147</v>
      </c>
    </row>
    <row r="4" spans="1:4" x14ac:dyDescent="0.3">
      <c r="A4" s="711" t="s">
        <v>2147</v>
      </c>
      <c r="B4" s="712"/>
      <c r="C4" s="712"/>
      <c r="D4" s="712"/>
    </row>
    <row r="5" spans="1:4" x14ac:dyDescent="0.3">
      <c r="A5" s="492" t="s">
        <v>2148</v>
      </c>
      <c r="B5" s="494" t="s">
        <v>2149</v>
      </c>
      <c r="C5" s="494" t="s">
        <v>2150</v>
      </c>
      <c r="D5" s="495" t="s">
        <v>466</v>
      </c>
    </row>
    <row r="6" spans="1:4" x14ac:dyDescent="0.3">
      <c r="A6" s="502" t="s">
        <v>2151</v>
      </c>
      <c r="B6" s="503" t="s">
        <v>1475</v>
      </c>
      <c r="C6" s="503">
        <v>2</v>
      </c>
      <c r="D6" s="504">
        <v>2</v>
      </c>
    </row>
    <row r="7" spans="1:4" x14ac:dyDescent="0.3">
      <c r="A7" s="502" t="s">
        <v>2152</v>
      </c>
      <c r="B7" s="503">
        <v>1</v>
      </c>
      <c r="C7" s="503">
        <v>1</v>
      </c>
      <c r="D7" s="503">
        <v>2</v>
      </c>
    </row>
    <row r="8" spans="1:4" x14ac:dyDescent="0.3">
      <c r="A8" s="502" t="s">
        <v>2153</v>
      </c>
      <c r="B8" s="503" t="s">
        <v>1475</v>
      </c>
      <c r="C8" s="503">
        <v>6</v>
      </c>
      <c r="D8" s="503">
        <v>6</v>
      </c>
    </row>
    <row r="9" spans="1:4" x14ac:dyDescent="0.3">
      <c r="A9" s="502" t="s">
        <v>2154</v>
      </c>
      <c r="B9" s="503">
        <v>1</v>
      </c>
      <c r="C9" s="503">
        <v>11</v>
      </c>
      <c r="D9" s="503">
        <v>12</v>
      </c>
    </row>
    <row r="10" spans="1:4" x14ac:dyDescent="0.3">
      <c r="A10" s="502" t="s">
        <v>2155</v>
      </c>
      <c r="B10" s="503" t="s">
        <v>1475</v>
      </c>
      <c r="C10" s="503">
        <v>2</v>
      </c>
      <c r="D10" s="503">
        <v>2</v>
      </c>
    </row>
    <row r="11" spans="1:4" x14ac:dyDescent="0.3">
      <c r="A11" s="502" t="s">
        <v>2156</v>
      </c>
      <c r="B11" s="503" t="s">
        <v>1475</v>
      </c>
      <c r="C11" s="503">
        <v>13</v>
      </c>
      <c r="D11" s="503">
        <v>13</v>
      </c>
    </row>
    <row r="12" spans="1:4" x14ac:dyDescent="0.3">
      <c r="A12" s="502" t="s">
        <v>956</v>
      </c>
      <c r="B12" s="503">
        <v>2</v>
      </c>
      <c r="C12" s="503">
        <v>13</v>
      </c>
      <c r="D12" s="503">
        <v>15</v>
      </c>
    </row>
    <row r="13" spans="1:4" x14ac:dyDescent="0.3">
      <c r="A13" s="502" t="s">
        <v>2157</v>
      </c>
      <c r="B13" s="503">
        <v>3</v>
      </c>
      <c r="C13" s="503">
        <v>2</v>
      </c>
      <c r="D13" s="503">
        <v>5</v>
      </c>
    </row>
    <row r="14" spans="1:4" x14ac:dyDescent="0.3">
      <c r="A14" s="502" t="s">
        <v>961</v>
      </c>
      <c r="B14" s="503">
        <v>4</v>
      </c>
      <c r="C14" s="503">
        <v>10</v>
      </c>
      <c r="D14" s="503">
        <v>14</v>
      </c>
    </row>
    <row r="15" spans="1:4" x14ac:dyDescent="0.3">
      <c r="A15" s="502" t="s">
        <v>2158</v>
      </c>
      <c r="B15" s="503">
        <v>2</v>
      </c>
      <c r="C15" s="503">
        <v>31</v>
      </c>
      <c r="D15" s="503">
        <v>33</v>
      </c>
    </row>
    <row r="16" spans="1:4" x14ac:dyDescent="0.3">
      <c r="A16" s="502" t="s">
        <v>2159</v>
      </c>
      <c r="B16" s="503" t="s">
        <v>1475</v>
      </c>
      <c r="C16" s="503">
        <v>4</v>
      </c>
      <c r="D16" s="503">
        <v>4</v>
      </c>
    </row>
    <row r="17" spans="1:4" x14ac:dyDescent="0.3">
      <c r="A17" s="502" t="s">
        <v>2160</v>
      </c>
      <c r="B17" s="503">
        <v>1</v>
      </c>
      <c r="C17" s="503">
        <v>5</v>
      </c>
      <c r="D17" s="503">
        <v>6</v>
      </c>
    </row>
    <row r="18" spans="1:4" x14ac:dyDescent="0.3">
      <c r="A18" s="502" t="s">
        <v>2161</v>
      </c>
      <c r="B18" s="503">
        <v>3</v>
      </c>
      <c r="C18" s="503">
        <v>10</v>
      </c>
      <c r="D18" s="503">
        <v>13</v>
      </c>
    </row>
    <row r="19" spans="1:4" x14ac:dyDescent="0.3">
      <c r="A19" s="502" t="s">
        <v>2162</v>
      </c>
      <c r="B19" s="503" t="s">
        <v>1475</v>
      </c>
      <c r="C19" s="503">
        <v>2</v>
      </c>
      <c r="D19" s="503">
        <v>2</v>
      </c>
    </row>
    <row r="20" spans="1:4" x14ac:dyDescent="0.3">
      <c r="A20" s="502" t="s">
        <v>2163</v>
      </c>
      <c r="B20" s="503" t="s">
        <v>1475</v>
      </c>
      <c r="C20" s="503">
        <v>24</v>
      </c>
      <c r="D20" s="503">
        <v>24</v>
      </c>
    </row>
    <row r="21" spans="1:4" x14ac:dyDescent="0.3">
      <c r="A21" s="502" t="s">
        <v>2164</v>
      </c>
      <c r="B21" s="503">
        <v>7</v>
      </c>
      <c r="C21" s="503">
        <v>12</v>
      </c>
      <c r="D21" s="503">
        <v>19</v>
      </c>
    </row>
    <row r="22" spans="1:4" x14ac:dyDescent="0.3">
      <c r="A22" s="502" t="s">
        <v>2165</v>
      </c>
      <c r="B22" s="503" t="s">
        <v>1475</v>
      </c>
      <c r="C22" s="503">
        <v>6</v>
      </c>
      <c r="D22" s="503">
        <v>6</v>
      </c>
    </row>
    <row r="23" spans="1:4" x14ac:dyDescent="0.3">
      <c r="A23" s="502" t="s">
        <v>2166</v>
      </c>
      <c r="B23" s="503">
        <v>5</v>
      </c>
      <c r="C23" s="503">
        <v>8</v>
      </c>
      <c r="D23" s="503">
        <v>13</v>
      </c>
    </row>
    <row r="24" spans="1:4" x14ac:dyDescent="0.3">
      <c r="A24" s="502" t="s">
        <v>2167</v>
      </c>
      <c r="B24" s="503" t="s">
        <v>1475</v>
      </c>
      <c r="C24" s="503">
        <v>7</v>
      </c>
      <c r="D24" s="503">
        <v>7</v>
      </c>
    </row>
    <row r="25" spans="1:4" x14ac:dyDescent="0.3">
      <c r="A25" s="502" t="s">
        <v>2168</v>
      </c>
      <c r="B25" s="503">
        <v>1</v>
      </c>
      <c r="C25" s="503">
        <v>6</v>
      </c>
      <c r="D25" s="503">
        <v>7</v>
      </c>
    </row>
    <row r="26" spans="1:4" x14ac:dyDescent="0.3">
      <c r="A26" s="502" t="s">
        <v>2169</v>
      </c>
      <c r="B26" s="503">
        <v>4</v>
      </c>
      <c r="C26" s="503">
        <v>8</v>
      </c>
      <c r="D26" s="503">
        <v>12</v>
      </c>
    </row>
    <row r="27" spans="1:4" x14ac:dyDescent="0.3">
      <c r="A27" s="502" t="s">
        <v>2170</v>
      </c>
      <c r="B27" s="503" t="s">
        <v>1475</v>
      </c>
      <c r="C27" s="503">
        <v>8</v>
      </c>
      <c r="D27" s="503">
        <v>8</v>
      </c>
    </row>
    <row r="28" spans="1:4" x14ac:dyDescent="0.3">
      <c r="A28" s="502" t="s">
        <v>2171</v>
      </c>
      <c r="B28" s="503" t="s">
        <v>1475</v>
      </c>
      <c r="C28" s="503">
        <v>13</v>
      </c>
      <c r="D28" s="503">
        <v>13</v>
      </c>
    </row>
    <row r="29" spans="1:4" x14ac:dyDescent="0.3">
      <c r="A29" s="502" t="s">
        <v>963</v>
      </c>
      <c r="B29" s="503">
        <v>3</v>
      </c>
      <c r="C29" s="503">
        <v>9</v>
      </c>
      <c r="D29" s="503">
        <v>12</v>
      </c>
    </row>
    <row r="30" spans="1:4" x14ac:dyDescent="0.3">
      <c r="A30" s="502" t="s">
        <v>2172</v>
      </c>
      <c r="B30" s="503" t="s">
        <v>1475</v>
      </c>
      <c r="C30" s="503">
        <v>7</v>
      </c>
      <c r="D30" s="503">
        <v>7</v>
      </c>
    </row>
    <row r="31" spans="1:4" x14ac:dyDescent="0.3">
      <c r="A31" s="493" t="s">
        <v>536</v>
      </c>
      <c r="B31" s="496">
        <f>SUM(B6:B30)</f>
        <v>37</v>
      </c>
      <c r="C31" s="496">
        <f>SUM(C6:C30)</f>
        <v>220</v>
      </c>
      <c r="D31" s="496">
        <f>SUM(D6:D30)</f>
        <v>257</v>
      </c>
    </row>
    <row r="33" spans="1:1" x14ac:dyDescent="0.3">
      <c r="A33" t="s">
        <v>2173</v>
      </c>
    </row>
  </sheetData>
  <mergeCells count="1">
    <mergeCell ref="A4:D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87dcc16-ad9c-4aed-8595-d8b714944830">
      <Terms xmlns="http://schemas.microsoft.com/office/infopath/2007/PartnerControls"/>
    </lcf76f155ced4ddcb4097134ff3c332f>
    <TaxCatchAll xmlns="eb4e1f33-0654-4877-a695-74ac1243131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B3553A73F55864994CAF6806DB2233B" ma:contentTypeVersion="16" ma:contentTypeDescription="Crear nuevo documento." ma:contentTypeScope="" ma:versionID="40e87b0a73e3942a50ead3ad93b989e8">
  <xsd:schema xmlns:xsd="http://www.w3.org/2001/XMLSchema" xmlns:xs="http://www.w3.org/2001/XMLSchema" xmlns:p="http://schemas.microsoft.com/office/2006/metadata/properties" xmlns:ns2="787dcc16-ad9c-4aed-8595-d8b714944830" xmlns:ns3="eb4e1f33-0654-4877-a695-74ac1243131b" targetNamespace="http://schemas.microsoft.com/office/2006/metadata/properties" ma:root="true" ma:fieldsID="46ab28b4f7e6d5f298055490f0d92ab6" ns2:_="" ns3:_="">
    <xsd:import namespace="787dcc16-ad9c-4aed-8595-d8b714944830"/>
    <xsd:import namespace="eb4e1f33-0654-4877-a695-74ac1243131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7dcc16-ad9c-4aed-8595-d8b7149448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e1f33-0654-4877-a695-74ac1243131b"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7" nillable="true" ma:displayName="Taxonomy Catch All Column" ma:hidden="true" ma:list="{aa4390d4-2628-4064-8b8a-3c2a6eda6940}" ma:internalName="TaxCatchAll" ma:showField="CatchAllData" ma:web="eb4e1f33-0654-4877-a695-74ac124313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F74926-57AB-41CC-8952-32FE8C225BBF}">
  <ds:schemaRefs>
    <ds:schemaRef ds:uri="http://schemas.microsoft.com/sharepoint/v3/contenttype/forms"/>
  </ds:schemaRefs>
</ds:datastoreItem>
</file>

<file path=customXml/itemProps2.xml><?xml version="1.0" encoding="utf-8"?>
<ds:datastoreItem xmlns:ds="http://schemas.openxmlformats.org/officeDocument/2006/customXml" ds:itemID="{FCA7C52D-7117-4301-A7A3-6B869A9A873C}">
  <ds:schemaRefs>
    <ds:schemaRef ds:uri="http://schemas.microsoft.com/office/2006/metadata/properties"/>
    <ds:schemaRef ds:uri="http://schemas.microsoft.com/office/infopath/2007/PartnerControls"/>
    <ds:schemaRef ds:uri="787dcc16-ad9c-4aed-8595-d8b714944830"/>
    <ds:schemaRef ds:uri="eb4e1f33-0654-4877-a695-74ac1243131b"/>
  </ds:schemaRefs>
</ds:datastoreItem>
</file>

<file path=customXml/itemProps3.xml><?xml version="1.0" encoding="utf-8"?>
<ds:datastoreItem xmlns:ds="http://schemas.openxmlformats.org/officeDocument/2006/customXml" ds:itemID="{0FDAF2F5-ADD8-4E7C-AF5C-FE20327453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7dcc16-ad9c-4aed-8595-d8b714944830"/>
    <ds:schemaRef ds:uri="eb4e1f33-0654-4877-a695-74ac124313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171</vt:i4>
      </vt:variant>
      <vt:variant>
        <vt:lpstr>Rangos con nombre</vt:lpstr>
      </vt:variant>
      <vt:variant>
        <vt:i4>1</vt:i4>
      </vt:variant>
    </vt:vector>
  </HeadingPairs>
  <TitlesOfParts>
    <vt:vector size="172" baseType="lpstr">
      <vt:lpstr>Respaldo</vt:lpstr>
      <vt:lpstr>Índice Tablas</vt:lpstr>
      <vt:lpstr>Tabla 1</vt:lpstr>
      <vt:lpstr>Tabla 2</vt:lpstr>
      <vt:lpstr>Tabla 3</vt:lpstr>
      <vt:lpstr>Tabla 4</vt:lpstr>
      <vt:lpstr>Hoja1</vt:lpstr>
      <vt:lpstr>Gráfico 1</vt:lpstr>
      <vt:lpstr>Tabla 5</vt:lpstr>
      <vt:lpstr>Tabla 6</vt:lpstr>
      <vt:lpstr>Gráfico 2</vt:lpstr>
      <vt:lpstr>Tabla 7</vt:lpstr>
      <vt:lpstr>Tabla 8</vt:lpstr>
      <vt:lpstr>Tabla 9</vt:lpstr>
      <vt:lpstr>Tabla 10</vt:lpstr>
      <vt:lpstr>Tabla 23</vt:lpstr>
      <vt:lpstr>Tabla 29</vt:lpstr>
      <vt:lpstr>Tabla 32</vt:lpstr>
      <vt:lpstr>Tabla 33</vt:lpstr>
      <vt:lpstr>Tabla 34</vt:lpstr>
      <vt:lpstr>Ilustración 20</vt:lpstr>
      <vt:lpstr>Ilustración 21</vt:lpstr>
      <vt:lpstr>Ilustración 22</vt:lpstr>
      <vt:lpstr>Tabla 36</vt:lpstr>
      <vt:lpstr>Tabla 39</vt:lpstr>
      <vt:lpstr>Tabla 40</vt:lpstr>
      <vt:lpstr>Tabla 41</vt:lpstr>
      <vt:lpstr>Tabla 42</vt:lpstr>
      <vt:lpstr>Tabla 43</vt:lpstr>
      <vt:lpstr>Tabla 44</vt:lpstr>
      <vt:lpstr>Gráfico 3</vt:lpstr>
      <vt:lpstr>Tabla 45</vt:lpstr>
      <vt:lpstr>Tabla 46</vt:lpstr>
      <vt:lpstr>Tabla 47</vt:lpstr>
      <vt:lpstr>Tabla 48</vt:lpstr>
      <vt:lpstr>Tabla 49</vt:lpstr>
      <vt:lpstr>Gráfico 4</vt:lpstr>
      <vt:lpstr>Tabla 53</vt:lpstr>
      <vt:lpstr>Gráfico 5</vt:lpstr>
      <vt:lpstr>Tabla 55</vt:lpstr>
      <vt:lpstr>Tabla 57</vt:lpstr>
      <vt:lpstr>Tabla 58</vt:lpstr>
      <vt:lpstr>Tabla 61</vt:lpstr>
      <vt:lpstr>Tabla 62</vt:lpstr>
      <vt:lpstr>Tabla 63</vt:lpstr>
      <vt:lpstr>Tabla 64</vt:lpstr>
      <vt:lpstr>Tabla 65</vt:lpstr>
      <vt:lpstr>Tabla 66</vt:lpstr>
      <vt:lpstr>Gráfico 6</vt:lpstr>
      <vt:lpstr>Tabla 67</vt:lpstr>
      <vt:lpstr>Tabla 68</vt:lpstr>
      <vt:lpstr>Tabla 69</vt:lpstr>
      <vt:lpstr>Tabla 70</vt:lpstr>
      <vt:lpstr>Tabla 71</vt:lpstr>
      <vt:lpstr>Tabla 72</vt:lpstr>
      <vt:lpstr>Tabla 73</vt:lpstr>
      <vt:lpstr>Gráfico 8</vt:lpstr>
      <vt:lpstr>Tabla 74</vt:lpstr>
      <vt:lpstr>Tabla 75</vt:lpstr>
      <vt:lpstr>Tabla 76</vt:lpstr>
      <vt:lpstr>Tabla 77</vt:lpstr>
      <vt:lpstr>Tabla 82</vt:lpstr>
      <vt:lpstr>Tabla 83</vt:lpstr>
      <vt:lpstr>Tabla 85</vt:lpstr>
      <vt:lpstr>Gráfico 9</vt:lpstr>
      <vt:lpstr>Tabla 87</vt:lpstr>
      <vt:lpstr>Tabla 98</vt:lpstr>
      <vt:lpstr>Tabla 99</vt:lpstr>
      <vt:lpstr>Tabla 100</vt:lpstr>
      <vt:lpstr>Tabla 199</vt:lpstr>
      <vt:lpstr>Tabla 101</vt:lpstr>
      <vt:lpstr>Tabla 105</vt:lpstr>
      <vt:lpstr>Tabla 108</vt:lpstr>
      <vt:lpstr>Tabla 110</vt:lpstr>
      <vt:lpstr>Tabla 111</vt:lpstr>
      <vt:lpstr>Tabla 112</vt:lpstr>
      <vt:lpstr>Tabla 113</vt:lpstr>
      <vt:lpstr>Tabla 114</vt:lpstr>
      <vt:lpstr>Tabla 115</vt:lpstr>
      <vt:lpstr>Tabla 116</vt:lpstr>
      <vt:lpstr>Tabla 137</vt:lpstr>
      <vt:lpstr>Tabla 121</vt:lpstr>
      <vt:lpstr>Tabla 122</vt:lpstr>
      <vt:lpstr>Tabla 123</vt:lpstr>
      <vt:lpstr>Tabla 126</vt:lpstr>
      <vt:lpstr>Tabla 127</vt:lpstr>
      <vt:lpstr>Gráfico 13</vt:lpstr>
      <vt:lpstr>Tabla 131</vt:lpstr>
      <vt:lpstr>Tabla 132</vt:lpstr>
      <vt:lpstr>Tabla 133</vt:lpstr>
      <vt:lpstr>Tabla 134</vt:lpstr>
      <vt:lpstr>Tabla 135</vt:lpstr>
      <vt:lpstr>Gráfico 15</vt:lpstr>
      <vt:lpstr>Tabla 136</vt:lpstr>
      <vt:lpstr>Tabla 138</vt:lpstr>
      <vt:lpstr>Tabla 139</vt:lpstr>
      <vt:lpstr>Tabla 144</vt:lpstr>
      <vt:lpstr>Tabla 145</vt:lpstr>
      <vt:lpstr>Tabla 147</vt:lpstr>
      <vt:lpstr>Tabla 148</vt:lpstr>
      <vt:lpstr>Tabla 149</vt:lpstr>
      <vt:lpstr>Tabla 150</vt:lpstr>
      <vt:lpstr>Tabla 151</vt:lpstr>
      <vt:lpstr>Gráfico 16</vt:lpstr>
      <vt:lpstr>Tabla 152</vt:lpstr>
      <vt:lpstr>Tabla 153</vt:lpstr>
      <vt:lpstr>Tabla 154</vt:lpstr>
      <vt:lpstr>Tabla 156</vt:lpstr>
      <vt:lpstr>Tabla 157</vt:lpstr>
      <vt:lpstr>Tabla 159</vt:lpstr>
      <vt:lpstr>Tabla 161</vt:lpstr>
      <vt:lpstr>Tabla 164</vt:lpstr>
      <vt:lpstr>Tabla 165</vt:lpstr>
      <vt:lpstr>Tabla 166</vt:lpstr>
      <vt:lpstr>Tabla 167</vt:lpstr>
      <vt:lpstr>Tabla 168</vt:lpstr>
      <vt:lpstr>Tabla 169</vt:lpstr>
      <vt:lpstr>Tabla 170</vt:lpstr>
      <vt:lpstr>Tabla 171</vt:lpstr>
      <vt:lpstr>Tabla 172</vt:lpstr>
      <vt:lpstr>Tabla 173</vt:lpstr>
      <vt:lpstr>Tabla 174</vt:lpstr>
      <vt:lpstr>Tabla 175</vt:lpstr>
      <vt:lpstr>Tabla 179</vt:lpstr>
      <vt:lpstr>Gráfico 17</vt:lpstr>
      <vt:lpstr>Tabla 181</vt:lpstr>
      <vt:lpstr>Gráfico 18</vt:lpstr>
      <vt:lpstr>Tabla 182</vt:lpstr>
      <vt:lpstr>Tabla 183</vt:lpstr>
      <vt:lpstr>Gráfico 19</vt:lpstr>
      <vt:lpstr>Tabla 184</vt:lpstr>
      <vt:lpstr>Tabla 185</vt:lpstr>
      <vt:lpstr>Tabla 186</vt:lpstr>
      <vt:lpstr>Tabla 187</vt:lpstr>
      <vt:lpstr>Tabla 188</vt:lpstr>
      <vt:lpstr>Tabla 189</vt:lpstr>
      <vt:lpstr>Tabla 190</vt:lpstr>
      <vt:lpstr>Tabla 191</vt:lpstr>
      <vt:lpstr>Tabla 193</vt:lpstr>
      <vt:lpstr>Tabla 194</vt:lpstr>
      <vt:lpstr>Gráfico 20</vt:lpstr>
      <vt:lpstr>Gráfico 21</vt:lpstr>
      <vt:lpstr>Tabla 196</vt:lpstr>
      <vt:lpstr>Tabla 197</vt:lpstr>
      <vt:lpstr>Tabla 198</vt:lpstr>
      <vt:lpstr>Tabla 201</vt:lpstr>
      <vt:lpstr>Tabla 204</vt:lpstr>
      <vt:lpstr>Tabla 205</vt:lpstr>
      <vt:lpstr>Tabla 206</vt:lpstr>
      <vt:lpstr>Tabla 208</vt:lpstr>
      <vt:lpstr>Tabla 209</vt:lpstr>
      <vt:lpstr>Tabla 210</vt:lpstr>
      <vt:lpstr>Tabla 212</vt:lpstr>
      <vt:lpstr>Tabla 214</vt:lpstr>
      <vt:lpstr>Tabla 215</vt:lpstr>
      <vt:lpstr>Tabla 216</vt:lpstr>
      <vt:lpstr>Tabla 217</vt:lpstr>
      <vt:lpstr>Tabla 218</vt:lpstr>
      <vt:lpstr>Tabla 219</vt:lpstr>
      <vt:lpstr>Tabla 221</vt:lpstr>
      <vt:lpstr>Tabla 224</vt:lpstr>
      <vt:lpstr>Tabla 225</vt:lpstr>
      <vt:lpstr>Tabla 226</vt:lpstr>
      <vt:lpstr>Tabla 227</vt:lpstr>
      <vt:lpstr>Tabla 228</vt:lpstr>
      <vt:lpstr>Tabla 229</vt:lpstr>
      <vt:lpstr>Tabla 231</vt:lpstr>
      <vt:lpstr>Tabla 232</vt:lpstr>
      <vt:lpstr>Tabla 239</vt:lpstr>
      <vt:lpstr>Tabla 240</vt:lpstr>
      <vt:lpstr>Tabla 81</vt:lpstr>
      <vt:lpstr>'Tabla 99'!_Hlk170381596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Rincon Q</dc:creator>
  <cp:keywords/>
  <dc:description/>
  <cp:lastModifiedBy>Ximena Silva</cp:lastModifiedBy>
  <cp:revision/>
  <dcterms:created xsi:type="dcterms:W3CDTF">2015-06-05T18:19:34Z</dcterms:created>
  <dcterms:modified xsi:type="dcterms:W3CDTF">2026-09-28T06:59:46Z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0x0101004B3553A73F55864994CAF6806DB2233B</vt:lpwstr>
  </property>
</Properties>
</file>