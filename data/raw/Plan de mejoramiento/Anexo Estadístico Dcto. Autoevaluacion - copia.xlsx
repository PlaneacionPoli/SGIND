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98" documentId="8_{A41A0173-9A35-4061-AD59-BE265171FB17}" xr6:coauthVersionLast="47" xr6:coauthVersionMax="47" xr10:uidLastSave="{9BDCE335-0E09-4986-BAD1-E5B61BD27817}"/>
  <bookViews>
    <workbookView xWindow="9510" yWindow="-90" windowWidth="19380" windowHeight="10260" tabRatio="780" firstSheet="44" activeTab="51"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r:id="rId20"/>
    <sheet name="Ilustración 21" sheetId="21" state="hidden" r:id="rId21"/>
    <sheet name="Ilustración 22" sheetId="23"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25" l="1"/>
  <c r="C11" i="126"/>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<sst xmlns="http://schemas.openxmlformats.org/spreadsheetml/2006/main" count="7041" uniqueCount="2115">
  <si>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</si>
  <si>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</si>
  <si>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</si>
  <si>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</si>
  <si>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</si>
  <si>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</si>
  <si>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</si>
  <si>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</si>
  <si>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</si>
  <si>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</si>
  <si>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</si>
  <si>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</si>
  <si>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</si>
  <si>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</si>
  <si>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</si>
  <si>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</si>
  <si>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</si>
  <si>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</si>
  <si>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</si>
  <si>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</si>
  <si>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</si>
  <si>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</si>
  <si>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</si>
  <si>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</si>
  <si>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</si>
  <si>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</si>
  <si>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</si>
  <si>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</si>
  <si>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</si>
  <si>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</si>
  <si>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</si>
  <si>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</si>
  <si>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</si>
  <si>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</si>
  <si>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</si>
  <si>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</si>
  <si>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</si>
  <si>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</si>
  <si>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</si>
  <si>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</si>
  <si>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</si>
  <si>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</si>
  <si>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</si>
  <si>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</si>
  <si>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</si>
  <si>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</si>
  <si>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</si>
  <si>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</si>
  <si>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</si>
  <si>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</si>
  <si>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</si>
  <si>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</si>
  <si>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</si>
  <si>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</si>
  <si>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</si>
  <si>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</si>
  <si>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</si>
  <si>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</si>
  <si>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</si>
  <si>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</si>
  <si>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</si>
  <si>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</si>
  <si>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</si>
  <si>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</si>
  <si>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</si>
  <si>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</si>
  <si>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</si>
  <si>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</si>
  <si>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</si>
  <si>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</si>
  <si>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</si>
  <si>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</si>
  <si>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</si>
  <si>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</si>
  <si>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</si>
  <si>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</si>
  <si>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</si>
  <si>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</si>
  <si>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</si>
  <si>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</si>
  <si>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</si>
  <si>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</si>
  <si>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</si>
  <si>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</si>
  <si>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</si>
  <si>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</si>
  <si>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</si>
  <si>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</si>
  <si>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</si>
  <si>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</si>
  <si>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</si>
  <si>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</si>
  <si>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</si>
  <si>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</si>
  <si>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</si>
  <si>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</si>
  <si>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</si>
  <si>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</si>
  <si>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</si>
  <si>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</si>
  <si>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</si>
  <si>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</si>
  <si>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</si>
  <si>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</si>
  <si>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</si>
  <si>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</si>
  <si>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</si>
  <si>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</si>
  <si>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</si>
  <si>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</si>
  <si>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</si>
  <si>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</si>
  <si>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</si>
  <si>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</si>
  <si>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</si>
  <si>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</si>
  <si>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</si>
  <si>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</si>
  <si>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</si>
  <si>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</si>
  <si>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</si>
  <si>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</si>
  <si>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</si>
  <si>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</si>
  <si>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</si>
  <si>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</si>
  <si>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</si>
  <si>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</si>
  <si>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</si>
  <si>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</si>
  <si>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</si>
  <si>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</si>
  <si>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</si>
  <si>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</si>
  <si>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</si>
  <si>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</si>
  <si>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</si>
  <si>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</si>
  <si>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</si>
  <si>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</si>
  <si>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</si>
  <si>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</si>
  <si>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</si>
  <si>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</si>
  <si>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</si>
  <si>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</si>
  <si>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</si>
  <si>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</si>
  <si>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</si>
  <si>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</si>
  <si>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</si>
  <si>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</si>
  <si>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</si>
  <si>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</si>
  <si>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</si>
  <si>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</si>
  <si>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</si>
  <si>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</si>
  <si>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</si>
  <si>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</si>
  <si>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</si>
  <si>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</si>
  <si>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</si>
  <si>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</si>
  <si>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</si>
  <si>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</si>
  <si>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</si>
  <si>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</si>
  <si>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</si>
  <si>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</si>
  <si>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</si>
  <si>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</si>
  <si>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</si>
  <si>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</si>
  <si>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</si>
  <si>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</si>
  <si>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</si>
  <si>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</si>
  <si>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</si>
  <si>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</si>
  <si>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</si>
  <si>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</si>
  <si>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</si>
  <si>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</si>
  <si>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</si>
  <si>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</si>
  <si>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</si>
  <si>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</si>
  <si>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</si>
  <si>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</si>
  <si>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</si>
  <si>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</si>
  <si>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</si>
  <si>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</si>
  <si>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</si>
  <si>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</si>
  <si>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</si>
  <si>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</si>
  <si>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</si>
  <si>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</si>
  <si>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</si>
  <si>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</si>
  <si>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</si>
  <si>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</si>
  <si>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</si>
  <si>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</si>
  <si>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</si>
  <si>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</si>
  <si>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</si>
  <si>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</si>
  <si>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</si>
  <si>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</si>
  <si>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</si>
  <si>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</si>
  <si>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</si>
  <si>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</si>
  <si>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</si>
  <si>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</si>
  <si>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</si>
  <si>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</si>
  <si>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</si>
  <si>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</si>
  <si>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</si>
  <si>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</si>
  <si>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</si>
  <si>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</si>
  <si>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</si>
  <si>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</si>
  <si>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</si>
  <si>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</si>
  <si>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</si>
  <si>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</si>
  <si>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</si>
  <si>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</si>
  <si>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</si>
  <si>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</si>
  <si>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</si>
  <si>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</si>
  <si>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</si>
  <si>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</si>
  <si>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</si>
  <si>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</si>
  <si>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</si>
  <si>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</si>
  <si>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</si>
  <si>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</si>
  <si>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</si>
  <si>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</si>
  <si>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</si>
  <si>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</si>
  <si>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</si>
  <si>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</si>
  <si>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</si>
  <si>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</si>
  <si>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</si>
  <si>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</si>
  <si>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</si>
  <si>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</si>
  <si>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</si>
  <si>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</si>
  <si>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</si>
  <si>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</si>
  <si>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</si>
  <si>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</si>
  <si>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</si>
  <si>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</si>
  <si>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</si>
  <si>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</si>
  <si>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</si>
  <si>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</si>
  <si>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</si>
  <si>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</si>
  <si>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</si>
  <si>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</si>
  <si>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</si>
  <si>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</si>
  <si>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</si>
  <si>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</si>
  <si>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</si>
  <si>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</si>
  <si>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</si>
  <si>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</si>
  <si>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</si>
  <si>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</si>
  <si>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</si>
  <si>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</si>
  <si>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</si>
  <si>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</si>
  <si>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</si>
  <si>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</si>
  <si>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</si>
  <si>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</si>
  <si>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</si>
  <si>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</si>
  <si>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</si>
  <si>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</si>
  <si>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</si>
  <si>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</si>
  <si>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</si>
  <si>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</si>
  <si>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</si>
  <si>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</si>
  <si>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</si>
  <si>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</si>
  <si>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</si>
  <si>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</si>
  <si>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</si>
  <si>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</si>
  <si>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</si>
  <si>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</si>
  <si>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</si>
  <si>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</si>
  <si>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</si>
  <si>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</si>
  <si>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</si>
  <si>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</si>
  <si>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</si>
  <si>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</si>
  <si>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</si>
  <si>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</si>
  <si>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</si>
  <si>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</si>
  <si>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</si>
  <si>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</si>
  <si>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</si>
  <si>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</si>
  <si>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</si>
  <si>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</si>
  <si>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</si>
  <si>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</si>
  <si>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</si>
  <si>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</si>
  <si>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</si>
  <si>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</si>
  <si>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</si>
  <si>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</si>
  <si>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</si>
  <si>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</si>
  <si>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</si>
  <si>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</si>
  <si>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</si>
  <si>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</si>
  <si>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</si>
  <si>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</si>
  <si>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</si>
  <si>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</si>
  <si>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</si>
  <si>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</si>
  <si>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</si>
  <si>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</si>
  <si>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</si>
  <si>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</si>
  <si>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</si>
  <si>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</si>
  <si>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</si>
  <si>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</si>
  <si>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</si>
  <si>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</si>
  <si>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</si>
  <si>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</si>
  <si>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</si>
  <si>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</si>
  <si>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</si>
  <si>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</si>
  <si>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</si>
  <si>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</si>
  <si>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</si>
  <si>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</si>
  <si>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</si>
  <si>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</si>
  <si>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</si>
  <si>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</si>
  <si>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</si>
  <si>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</si>
  <si>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</si>
  <si>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</si>
  <si>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</si>
  <si>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</si>
  <si>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</si>
  <si>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</si>
  <si>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</si>
  <si>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</si>
  <si>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</si>
  <si>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</si>
  <si>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</si>
  <si>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</si>
  <si>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</si>
  <si>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</si>
  <si>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</si>
  <si>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</si>
  <si>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</si>
  <si>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</si>
  <si>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</si>
  <si>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</si>
  <si>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</si>
  <si>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</si>
  <si>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</si>
  <si>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</si>
  <si>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</si>
  <si>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</si>
  <si>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</si>
  <si>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</si>
  <si>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</si>
  <si>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</si>
  <si>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</si>
  <si>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</si>
  <si>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</si>
  <si>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</si>
  <si>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</si>
  <si>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</si>
  <si>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</si>
  <si>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</si>
  <si>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</si>
  <si>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</si>
  <si>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</si>
  <si>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</si>
  <si>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</si>
  <si>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</si>
  <si>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</si>
  <si>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</si>
  <si>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</si>
  <si>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</si>
  <si>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</si>
  <si>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</si>
  <si>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</si>
  <si>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</si>
  <si>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</si>
  <si>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</si>
  <si>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</si>
  <si>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</si>
  <si>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</si>
  <si>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</si>
  <si>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</si>
  <si>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</si>
  <si>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</si>
  <si>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</si>
  <si>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</si>
  <si>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</si>
  <si>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</si>
  <si>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</si>
  <si>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</si>
  <si>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</si>
  <si>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</si>
  <si>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</si>
  <si>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</si>
  <si>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</si>
  <si>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</si>
  <si>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</si>
  <si>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</si>
  <si>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</si>
  <si>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</si>
  <si>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</si>
  <si>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</si>
  <si>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</si>
  <si>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</si>
  <si>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</si>
  <si>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</si>
  <si>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</si>
  <si>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</si>
  <si>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</si>
  <si>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</si>
  <si>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</si>
  <si>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</si>
  <si>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</si>
  <si>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</si>
  <si>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</si>
  <si>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</si>
  <si>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</si>
  <si>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</si>
  <si>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</si>
  <si>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</si>
  <si>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</si>
  <si>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</si>
  <si>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</si>
  <si>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</si>
  <si>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</si>
  <si>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</si>
  <si>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</si>
  <si>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</si>
  <si>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</si>
  <si>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</si>
  <si>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</si>
  <si>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</si>
  <si>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</si>
  <si>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</si>
  <si>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</si>
  <si>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</si>
  <si>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</si>
  <si>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</si>
  <si>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</si>
  <si>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</si>
  <si>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</si>
  <si>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</si>
  <si>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</si>
  <si>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</si>
  <si>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</si>
  <si>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</si>
  <si>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</si>
  <si>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</si>
  <si>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</si>
  <si>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</si>
  <si>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</si>
  <si>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</si>
  <si>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</si>
  <si>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</si>
  <si>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</si>
  <si>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</si>
  <si>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</si>
  <si>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</si>
  <si>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</si>
  <si>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</si>
  <si>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</si>
  <si>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</si>
  <si>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</si>
  <si>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</si>
  <si>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</si>
  <si>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</si>
  <si>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</si>
  <si>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</si>
  <si>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</si>
  <si>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</si>
  <si>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</si>
  <si>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</si>
  <si>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</si>
  <si>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</si>
  <si>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</si>
  <si>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</si>
  <si>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</si>
  <si>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</si>
  <si>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</si>
  <si>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</si>
  <si>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</si>
  <si>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</si>
  <si>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</si>
  <si>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</si>
  <si>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</si>
  <si>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</si>
  <si>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</si>
  <si>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</si>
  <si>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</si>
  <si>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</si>
  <si>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</si>
  <si>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</si>
  <si>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</si>
  <si>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</si>
  <si>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</si>
  <si>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</si>
  <si>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</si>
  <si>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</si>
  <si>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</si>
  <si>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</si>
  <si>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</si>
  <si>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</si>
  <si>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</si>
  <si>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</si>
  <si>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</si>
  <si>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</si>
  <si>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</si>
  <si>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</si>
  <si>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</si>
  <si>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</si>
  <si>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</si>
  <si>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</si>
  <si>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</si>
  <si>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</si>
  <si>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</si>
  <si>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</si>
  <si>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</si>
  <si>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</si>
  <si>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</si>
  <si>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</si>
  <si>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</si>
  <si>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</si>
  <si>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</si>
  <si>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</si>
  <si>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</si>
  <si>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</si>
  <si>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</si>
  <si>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</si>
  <si>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</si>
  <si>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</si>
  <si>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</si>
  <si>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</si>
  <si>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</si>
  <si>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</si>
  <si>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</si>
  <si>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</si>
  <si>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</si>
  <si>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</si>
  <si>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</si>
  <si>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</si>
  <si>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</si>
  <si>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</si>
  <si>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</si>
  <si>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</si>
  <si>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</si>
  <si>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</si>
  <si>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</si>
  <si>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</si>
  <si>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</si>
  <si>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</si>
  <si>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</si>
  <si>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</si>
  <si>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</si>
  <si>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</si>
  <si>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</si>
  <si>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</si>
  <si>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</si>
  <si>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</si>
  <si>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</si>
  <si>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</si>
  <si>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</si>
  <si>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</si>
  <si>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</si>
  <si>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</si>
  <si>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</si>
  <si>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</si>
  <si>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</si>
  <si>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</si>
  <si>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</si>
  <si>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</si>
  <si>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</si>
  <si>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</si>
  <si>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</si>
  <si>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</si>
  <si>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</si>
  <si>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</si>
  <si>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</si>
  <si>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</si>
  <si>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</si>
  <si>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</si>
  <si>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</si>
  <si>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</si>
  <si>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</si>
  <si>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</si>
  <si>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</si>
  <si>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</si>
  <si>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</si>
  <si>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</si>
  <si>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</si>
  <si>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</si>
  <si>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</si>
  <si>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</si>
  <si>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</si>
  <si>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</si>
  <si>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</si>
  <si>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</si>
  <si>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</si>
  <si>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</si>
  <si>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</si>
  <si>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</si>
  <si>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</si>
  <si>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</si>
  <si>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</si>
  <si>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</si>
  <si>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</si>
  <si>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</si>
  <si>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</si>
  <si>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</si>
  <si>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</si>
  <si>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</si>
  <si>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</si>
  <si>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</si>
  <si>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</si>
  <si>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</si>
  <si>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</si>
  <si>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</si>
  <si>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</si>
  <si>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</si>
  <si>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</si>
  <si>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</si>
  <si>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</si>
  <si>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</si>
  <si>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</si>
  <si>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</si>
  <si>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</si>
  <si>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</si>
  <si>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</si>
  <si>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</si>
  <si>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</si>
  <si>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</si>
  <si>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</si>
  <si>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</si>
  <si>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</si>
  <si>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</si>
  <si>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</si>
  <si>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</si>
  <si>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</si>
  <si>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</si>
  <si>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</si>
  <si>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</si>
  <si>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</si>
  <si>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</si>
  <si>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</si>
  <si>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</si>
  <si>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</si>
  <si>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</si>
  <si>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</si>
  <si>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</si>
  <si>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</si>
  <si>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</si>
  <si>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</si>
  <si>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</si>
  <si>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</si>
  <si>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</si>
  <si>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</si>
  <si>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</si>
  <si>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</si>
  <si>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</si>
  <si>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</si>
  <si>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</si>
  <si>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</si>
  <si>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</si>
  <si>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</si>
  <si>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</si>
  <si>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</si>
  <si>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</si>
  <si>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</si>
  <si>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</si>
  <si>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</si>
  <si>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</si>
  <si>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</si>
  <si>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</si>
  <si>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</si>
  <si>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</si>
  <si>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</si>
  <si>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</si>
  <si>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</si>
  <si>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</si>
  <si>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</si>
  <si>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</si>
  <si>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</si>
  <si>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</si>
  <si>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</si>
  <si>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</si>
  <si>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</si>
  <si>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</si>
  <si>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</si>
  <si>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</si>
  <si>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</si>
  <si>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</si>
  <si>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</si>
  <si>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</si>
  <si>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</si>
  <si>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</si>
  <si>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</si>
  <si>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</si>
  <si>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</si>
  <si>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</si>
  <si>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</si>
  <si>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</si>
  <si>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</si>
  <si>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</si>
  <si>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</si>
  <si>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</si>
  <si>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</si>
  <si>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</si>
  <si>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</si>
  <si>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</si>
  <si>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</si>
  <si>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</si>
  <si>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</si>
  <si>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</si>
  <si>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</si>
  <si>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</si>
  <si>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</si>
  <si>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</si>
  <si>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</si>
  <si>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</si>
  <si>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</si>
  <si>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</si>
  <si>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</si>
  <si>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</si>
  <si>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</si>
  <si>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</si>
  <si>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</si>
  <si>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</si>
  <si>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</si>
  <si>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</si>
  <si>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</si>
  <si>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</si>
  <si>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</si>
  <si>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</si>
  <si>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</si>
  <si>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</si>
  <si>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</si>
  <si>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</si>
  <si>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</si>
  <si>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</si>
  <si>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</si>
  <si>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</si>
  <si>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</si>
  <si>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</si>
  <si>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</si>
  <si>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</si>
  <si>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</si>
  <si>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</si>
  <si>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</si>
  <si>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</si>
  <si>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</si>
  <si>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</si>
  <si>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</si>
  <si>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</si>
  <si>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</si>
  <si>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</si>
  <si>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</si>
  <si>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</si>
  <si>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</si>
  <si>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</si>
  <si>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</si>
  <si>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</si>
  <si>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</si>
  <si>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</si>
  <si>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</si>
  <si>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</si>
  <si>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</si>
  <si>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</si>
  <si>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</si>
  <si>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</si>
  <si>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</si>
  <si>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</si>
  <si>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</si>
  <si>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</si>
  <si>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</si>
  <si>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</si>
  <si>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</si>
  <si>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</si>
  <si>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</si>
  <si>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</si>
  <si>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</si>
  <si>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</si>
  <si>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</si>
  <si>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</si>
  <si>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</si>
  <si>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</si>
  <si>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</si>
  <si>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</si>
  <si>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</si>
  <si>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</si>
  <si>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</si>
  <si>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</si>
  <si>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</si>
  <si>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</si>
  <si>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</si>
  <si>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</si>
  <si>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</si>
  <si>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</si>
  <si>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</si>
  <si>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</si>
  <si>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</si>
  <si>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</si>
  <si>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</si>
  <si>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</si>
  <si>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</si>
  <si>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</si>
  <si>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</si>
  <si>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</si>
  <si>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</si>
  <si>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</si>
  <si>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</si>
  <si>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</si>
  <si>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</si>
  <si>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</si>
  <si>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</si>
  <si>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</si>
  <si>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</si>
  <si>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</si>
  <si>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</si>
  <si>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</si>
  <si>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</si>
  <si>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</si>
  <si>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</si>
  <si>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</si>
  <si>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</si>
  <si>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</si>
  <si>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</si>
  <si>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</si>
  <si>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</si>
  <si>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</si>
  <si>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</si>
  <si>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</si>
  <si>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</si>
  <si>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</si>
  <si>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</si>
  <si>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</si>
  <si>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</si>
  <si>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</si>
  <si>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</si>
  <si>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</si>
  <si>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</si>
  <si>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</si>
  <si>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</si>
  <si>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</si>
  <si>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</si>
  <si>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</si>
  <si>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</si>
  <si>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</si>
  <si>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</si>
  <si>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</si>
  <si>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</si>
  <si>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</si>
  <si>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</si>
  <si>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</si>
  <si>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</si>
  <si>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</si>
  <si>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</si>
  <si>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</si>
  <si>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</si>
  <si>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</si>
  <si>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</si>
  <si>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</si>
  <si>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</si>
  <si>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</si>
  <si>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</si>
  <si>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</si>
  <si>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</si>
  <si>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</si>
  <si>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</si>
  <si>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</si>
  <si>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</si>
  <si>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</si>
  <si>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</si>
  <si>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</si>
  <si>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</si>
  <si>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</si>
  <si>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</si>
  <si>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</si>
  <si>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</si>
  <si>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</si>
  <si>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</si>
  <si>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</si>
  <si>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</si>
  <si>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</si>
  <si>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</si>
  <si>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</si>
  <si>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</si>
  <si>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</si>
  <si>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</si>
  <si>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</si>
  <si>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</si>
  <si>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</si>
  <si>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</si>
  <si>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</si>
  <si>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</si>
  <si>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</si>
  <si>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</si>
  <si>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</si>
  <si>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</si>
  <si>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</si>
  <si>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</si>
  <si>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</si>
  <si>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</si>
  <si>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</si>
  <si>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</si>
  <si>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</si>
  <si>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</si>
  <si>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</si>
  <si>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</si>
  <si>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</si>
  <si>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</si>
  <si>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</si>
  <si>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</si>
  <si>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</si>
  <si>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</si>
  <si>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</si>
  <si>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</si>
  <si>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</si>
  <si>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</si>
  <si>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</si>
  <si>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</si>
  <si>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</si>
  <si>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</si>
  <si>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</si>
  <si>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</si>
  <si>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</si>
  <si>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</si>
  <si>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</si>
  <si>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</si>
  <si>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</si>
  <si>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</si>
  <si>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</si>
  <si>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</si>
  <si>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</si>
  <si>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</si>
  <si>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</si>
  <si>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</si>
  <si>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</si>
  <si>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</si>
  <si>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</si>
  <si>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</si>
  <si>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</si>
  <si>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</si>
  <si>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</si>
  <si>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</si>
  <si>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</si>
  <si>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</si>
  <si>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</si>
  <si>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</si>
  <si>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</si>
  <si>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</si>
  <si>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</si>
  <si>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</si>
  <si>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</si>
  <si>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</si>
  <si>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</si>
  <si>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</si>
  <si>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</si>
  <si>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</si>
  <si>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</si>
  <si>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</si>
  <si>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</si>
  <si>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</si>
  <si>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</si>
  <si>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</si>
  <si>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</si>
  <si>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</si>
  <si>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</si>
  <si>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</si>
  <si>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</si>
  <si>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</si>
  <si>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</si>
  <si>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</si>
  <si>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</si>
  <si>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</si>
  <si>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</si>
  <si>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</si>
  <si>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</si>
  <si>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</si>
  <si>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</si>
  <si>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</si>
  <si>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</si>
  <si>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</si>
  <si>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</si>
  <si>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</si>
  <si>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</si>
  <si>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</si>
  <si>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</si>
  <si>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</si>
  <si>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</si>
  <si>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</si>
  <si>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</si>
  <si>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</si>
  <si>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</si>
  <si>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</si>
  <si>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</si>
  <si>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</si>
  <si>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</si>
  <si>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</si>
  <si>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</si>
  <si>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</si>
  <si>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</si>
  <si>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</si>
  <si>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</si>
  <si>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</si>
  <si>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</si>
  <si>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</si>
  <si>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</si>
  <si>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</si>
  <si>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</si>
  <si>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</si>
  <si>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</si>
  <si>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</si>
  <si>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</si>
  <si>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</si>
  <si>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</si>
  <si>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</si>
  <si>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</si>
  <si>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</si>
  <si>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</si>
  <si>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</si>
  <si>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</si>
  <si>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</si>
  <si>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</si>
  <si>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</si>
  <si>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</si>
  <si>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</si>
  <si>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</si>
  <si>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</si>
  <si>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</si>
  <si>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</si>
  <si>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</si>
  <si>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</si>
  <si>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</si>
  <si>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</si>
  <si>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</si>
  <si>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</si>
  <si>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</si>
  <si>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</si>
  <si>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</si>
  <si>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</si>
  <si>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</si>
  <si>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</si>
  <si>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</si>
  <si>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</si>
  <si>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</si>
  <si>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</si>
  <si>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</si>
  <si>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</si>
  <si>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</si>
  <si>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</si>
  <si>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</si>
  <si>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</si>
  <si>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</si>
  <si>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</si>
  <si>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</si>
  <si>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</si>
  <si>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</si>
  <si>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</si>
  <si>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</si>
  <si>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</si>
  <si>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</si>
  <si>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</si>
  <si>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</si>
  <si>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</si>
  <si>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</si>
  <si>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</si>
  <si>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</si>
  <si>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</si>
  <si>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</si>
  <si>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</si>
  <si>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</si>
  <si>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</si>
  <si>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</si>
  <si>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</si>
  <si>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</si>
  <si>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</si>
  <si>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</si>
  <si>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</si>
  <si>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</si>
  <si>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</si>
  <si>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</si>
  <si>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</si>
  <si>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</si>
  <si>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</si>
  <si>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</si>
  <si>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</si>
  <si>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</si>
  <si>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</si>
  <si>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</si>
  <si>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</si>
  <si>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</si>
  <si>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</si>
  <si>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</si>
  <si>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</si>
  <si>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</si>
  <si>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</si>
  <si>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</si>
  <si>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</si>
  <si>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</si>
  <si>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</si>
  <si>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</si>
  <si>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</si>
  <si>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</si>
  <si>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</si>
  <si>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</si>
  <si>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</si>
  <si>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</si>
  <si>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</si>
  <si>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</si>
  <si>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</si>
  <si>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</si>
  <si>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</si>
  <si>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</si>
  <si>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</si>
  <si>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</si>
  <si>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</si>
  <si>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</si>
  <si>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</si>
  <si>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</si>
  <si>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</si>
  <si>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</si>
  <si>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</si>
  <si>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</si>
  <si>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</si>
  <si>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</si>
  <si>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</si>
  <si>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</si>
  <si>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</si>
  <si>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</si>
  <si>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</si>
  <si>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</si>
  <si>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</si>
  <si>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</si>
  <si>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</si>
  <si>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</si>
  <si>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</si>
  <si>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</si>
  <si>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</si>
  <si>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</si>
  <si>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</si>
  <si>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</si>
  <si>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</si>
  <si>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</si>
  <si>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</si>
  <si>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</si>
  <si>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</si>
  <si>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</si>
  <si>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</si>
  <si>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</si>
  <si>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</si>
  <si>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</si>
  <si>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</si>
  <si>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</si>
  <si>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</si>
  <si>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</si>
  <si>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</si>
  <si>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</si>
  <si>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</si>
  <si>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</si>
  <si>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</si>
  <si>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</si>
  <si>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</si>
  <si>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</si>
  <si>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</si>
  <si>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</si>
  <si>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</si>
  <si>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</si>
  <si>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</si>
  <si>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</si>
  <si>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</si>
  <si>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</si>
  <si>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</si>
  <si>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</si>
  <si>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</si>
  <si>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</si>
  <si>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</si>
  <si>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</si>
  <si>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</si>
  <si>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</si>
  <si>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</si>
  <si>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</si>
  <si>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</si>
  <si>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</si>
  <si>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</si>
  <si>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</si>
  <si>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</si>
  <si>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</si>
  <si>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</si>
  <si>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</si>
  <si>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</si>
  <si>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</si>
  <si>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</si>
  <si>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</si>
  <si>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</si>
  <si>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</si>
  <si>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</si>
  <si>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</si>
  <si>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</si>
  <si>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</si>
  <si>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</si>
  <si>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</si>
  <si>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</si>
  <si>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</si>
  <si>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</si>
  <si>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</si>
  <si>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</si>
  <si>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</si>
  <si>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</si>
  <si>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</si>
  <si>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</si>
  <si>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</si>
  <si>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</si>
  <si>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</si>
  <si>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</si>
  <si>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</si>
  <si>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</si>
  <si>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</si>
  <si>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</si>
  <si>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</si>
  <si>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</si>
  <si>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</si>
  <si>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</si>
  <si>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</si>
  <si>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</si>
  <si>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</si>
  <si>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</si>
  <si>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</si>
  <si>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</si>
  <si>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</si>
  <si>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</si>
  <si>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</si>
  <si>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</si>
  <si>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</si>
  <si>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</si>
  <si>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</si>
  <si>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</si>
  <si>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</si>
  <si>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</si>
  <si>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</si>
  <si>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</si>
  <si>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</si>
  <si>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</si>
  <si>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</si>
  <si>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</si>
  <si>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</si>
  <si>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</si>
  <si>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</si>
  <si>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</si>
  <si>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</si>
  <si>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</si>
  <si>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</si>
  <si>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</si>
  <si>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</si>
  <si>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</si>
  <si>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</si>
  <si>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</si>
  <si>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</si>
  <si>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</si>
  <si>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</si>
  <si>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</si>
  <si>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</si>
  <si>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</si>
  <si>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</si>
  <si>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</si>
  <si>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</si>
  <si>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</si>
  <si>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</si>
  <si>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</si>
  <si>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</si>
  <si>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</si>
  <si>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</si>
  <si>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</si>
  <si>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</si>
  <si>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</si>
  <si>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</si>
  <si>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</si>
  <si>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</si>
  <si>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</si>
  <si>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</si>
  <si>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</si>
  <si>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</si>
  <si>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</si>
  <si>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</si>
  <si>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</si>
  <si>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</si>
  <si>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</si>
  <si>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</si>
  <si>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</si>
  <si>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</si>
  <si>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</si>
  <si>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</si>
  <si>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</si>
  <si>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</si>
  <si>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</si>
  <si>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</si>
  <si>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</si>
  <si>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</si>
  <si>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</si>
  <si>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</si>
  <si>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</si>
  <si>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</si>
  <si>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</si>
  <si>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</si>
  <si>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</si>
  <si>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</si>
  <si>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</si>
  <si>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</si>
  <si>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</si>
  <si>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</si>
  <si>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</si>
  <si>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</si>
  <si>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</si>
  <si>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</si>
  <si>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</si>
  <si>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</si>
  <si>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</si>
  <si>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</si>
  <si>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</si>
  <si>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</si>
  <si>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</si>
  <si>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</si>
  <si>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</si>
  <si>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</si>
  <si>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</si>
  <si>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</si>
  <si>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</si>
  <si>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</si>
  <si>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</si>
  <si>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</si>
  <si>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</si>
  <si>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</si>
  <si>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</si>
  <si>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</si>
  <si>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</si>
  <si>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</si>
  <si>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</si>
  <si>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</si>
  <si>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</si>
  <si>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</si>
  <si>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</si>
  <si>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</si>
  <si>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</si>
  <si>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</si>
  <si>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</si>
  <si>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</si>
  <si>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</si>
  <si>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</si>
  <si>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</si>
  <si>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</si>
  <si>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</si>
  <si>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</si>
  <si>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</si>
  <si>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</si>
  <si>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</si>
  <si>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</si>
  <si>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</si>
  <si>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</si>
  <si>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</si>
  <si>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</si>
  <si>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</si>
  <si>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</si>
  <si>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</si>
  <si>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</si>
  <si>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</si>
  <si>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</si>
  <si>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</si>
  <si>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</si>
  <si>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</si>
  <si>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</si>
  <si>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</si>
  <si>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</si>
  <si>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</si>
  <si>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</si>
  <si>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</si>
  <si>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</si>
  <si>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</si>
  <si>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</si>
  <si>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</si>
  <si>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</si>
  <si>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</si>
  <si>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</si>
  <si>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</si>
  <si>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</si>
  <si>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</si>
  <si>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</si>
  <si>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</si>
  <si>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</si>
  <si>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</si>
  <si>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</si>
  <si>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</si>
  <si>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</si>
  <si>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</si>
  <si>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</si>
  <si>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</si>
  <si>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</si>
  <si>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</si>
  <si>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</si>
  <si>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</si>
  <si>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</si>
  <si>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</si>
  <si>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</si>
  <si>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</si>
  <si>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</si>
  <si>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</si>
  <si>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</si>
  <si>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</si>
  <si>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</si>
  <si>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</si>
  <si>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</si>
  <si>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</si>
  <si>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</si>
  <si>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</si>
  <si>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</si>
  <si>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</si>
  <si>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</si>
  <si>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</si>
  <si>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</si>
  <si>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</si>
  <si>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</si>
  <si>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</si>
  <si>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</si>
  <si>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</si>
  <si>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</si>
  <si>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</si>
  <si>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</si>
  <si>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</si>
  <si>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</si>
  <si>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</si>
  <si>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</si>
  <si>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</si>
  <si>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</si>
  <si>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</si>
  <si>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</si>
  <si>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</si>
  <si>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</si>
  <si>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</si>
  <si>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</si>
  <si>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</si>
  <si>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</si>
  <si>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</si>
  <si>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</si>
  <si>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</si>
  <si>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</si>
  <si>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</si>
  <si>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</si>
  <si>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</si>
  <si>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</si>
  <si>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</si>
  <si>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</si>
  <si>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</si>
  <si>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</si>
  <si>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</si>
  <si>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</si>
  <si>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</si>
  <si>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</si>
  <si>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</si>
  <si>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</si>
  <si>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</si>
  <si>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</si>
  <si>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</si>
  <si>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</si>
  <si>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</si>
  <si>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</si>
  <si>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</si>
  <si>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</si>
  <si>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</si>
  <si>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</si>
  <si>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</si>
  <si>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</si>
  <si>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</si>
  <si>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</si>
  <si>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</si>
  <si>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</si>
  <si>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</si>
  <si>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</si>
  <si>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</si>
  <si>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</si>
  <si>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</si>
  <si>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</si>
  <si>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</si>
  <si>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</si>
  <si>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</si>
  <si>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</si>
  <si>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</si>
  <si>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</si>
  <si>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</si>
  <si>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</si>
  <si>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</si>
  <si>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</si>
  <si>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</si>
  <si>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</si>
  <si>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</si>
  <si>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</si>
  <si>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</si>
  <si>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</si>
  <si>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</si>
  <si>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</si>
  <si>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</si>
  <si>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</si>
  <si>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</si>
  <si>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</si>
  <si>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</si>
  <si>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</si>
  <si>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</si>
  <si>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</si>
  <si>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</si>
  <si>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</si>
  <si>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</si>
  <si>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</si>
  <si>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</si>
  <si>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</si>
  <si>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</si>
  <si>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</si>
  <si>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</si>
  <si>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</si>
  <si>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</si>
  <si>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</si>
  <si>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</si>
  <si>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</si>
  <si>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</si>
  <si>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</si>
  <si>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</si>
  <si>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</si>
  <si>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</si>
  <si>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</si>
  <si>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</si>
  <si>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</si>
  <si>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</si>
  <si>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</si>
  <si>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</si>
  <si>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</si>
  <si>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</si>
  <si>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</si>
  <si>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</si>
  <si>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</si>
  <si>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</si>
  <si>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</si>
  <si>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</si>
  <si>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</si>
  <si>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</si>
  <si>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</si>
  <si>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</si>
  <si>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</si>
  <si>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</si>
  <si>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</si>
  <si>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</si>
  <si>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</si>
  <si>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</si>
  <si>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</si>
  <si>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</si>
  <si>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</si>
  <si>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</si>
  <si>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</si>
  <si>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</si>
  <si>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</si>
  <si>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</si>
  <si>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</si>
  <si>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</si>
  <si>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</si>
  <si>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</si>
  <si>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</si>
  <si>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</si>
  <si>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</si>
  <si>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</si>
  <si>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</si>
  <si>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</si>
  <si>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</si>
  <si>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</si>
  <si>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</si>
  <si>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</si>
  <si>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</si>
  <si>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</si>
  <si>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</si>
  <si>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</si>
  <si>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</si>
  <si>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</si>
  <si>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</si>
  <si>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</si>
  <si>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</si>
  <si>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</si>
  <si>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</si>
  <si>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</si>
  <si>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</si>
  <si>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</si>
  <si>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</si>
  <si>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</si>
  <si>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</si>
  <si>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</si>
  <si>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</si>
  <si>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</si>
  <si>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</si>
  <si>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</si>
  <si>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</si>
  <si>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</si>
  <si>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</si>
  <si>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</si>
  <si>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</si>
  <si>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</si>
  <si>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</si>
  <si>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</si>
  <si>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</si>
  <si>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</si>
  <si>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</si>
  <si>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</si>
  <si>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</si>
  <si>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</si>
  <si>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</si>
  <si>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</si>
  <si>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</si>
  <si>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</si>
  <si>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</si>
  <si>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</si>
  <si>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</si>
  <si>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</si>
  <si>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</si>
  <si>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</si>
  <si>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</si>
  <si>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</si>
  <si>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</si>
  <si>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</si>
  <si>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</si>
  <si>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</si>
  <si>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</si>
  <si>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</si>
  <si>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</si>
  <si>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</si>
  <si>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</si>
  <si>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</si>
  <si>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</si>
  <si>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</si>
  <si>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</si>
  <si>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</si>
  <si>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</si>
  <si>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</si>
  <si>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</si>
  <si>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</si>
  <si>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</si>
  <si>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</si>
  <si>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</si>
  <si>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</si>
  <si>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</si>
  <si>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</si>
  <si>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</si>
  <si>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</si>
  <si>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</si>
  <si>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</si>
  <si>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</si>
  <si>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</si>
  <si>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</si>
  <si>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</si>
  <si>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</si>
  <si>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</si>
  <si>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</si>
  <si>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</si>
  <si>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</si>
  <si>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</si>
  <si>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</si>
  <si>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</si>
  <si>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</si>
  <si>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</si>
  <si>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</si>
  <si>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</si>
  <si>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</si>
  <si>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</si>
  <si>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</si>
  <si>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</si>
  <si>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</si>
  <si>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</si>
  <si>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</si>
  <si>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</si>
  <si>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</si>
  <si>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</si>
  <si>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</si>
  <si>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</si>
  <si>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</si>
  <si>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</si>
  <si>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</si>
  <si>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</si>
  <si>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</si>
  <si>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</si>
  <si>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</si>
  <si>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</si>
  <si>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</si>
  <si>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</si>
  <si>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</si>
  <si>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</si>
  <si>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</si>
  <si>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</si>
  <si>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</si>
  <si>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</si>
  <si>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</si>
  <si>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</si>
  <si>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</si>
  <si>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</si>
  <si>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</si>
  <si>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</si>
  <si>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</si>
  <si>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</si>
  <si>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</si>
  <si>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</si>
  <si>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</si>
  <si>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</si>
  <si>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</si>
  <si>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</si>
  <si>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</si>
  <si>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</si>
  <si>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</si>
  <si>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</si>
  <si>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</si>
  <si>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</si>
  <si>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</si>
  <si>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</si>
  <si>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</si>
  <si>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</si>
  <si>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</si>
  <si>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</si>
  <si>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</si>
  <si>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</si>
  <si>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</si>
  <si>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</si>
  <si>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</si>
  <si>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</si>
  <si>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</si>
  <si>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</si>
  <si>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</si>
  <si>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</si>
  <si>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</si>
  <si>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</si>
  <si>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</si>
  <si>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</si>
  <si>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</si>
  <si>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</si>
  <si>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</si>
  <si>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</si>
  <si>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</si>
  <si>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</si>
  <si>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</si>
  <si>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</si>
  <si>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</si>
  <si>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</si>
  <si>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</si>
  <si>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</si>
  <si>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</si>
  <si>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</si>
  <si>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</si>
  <si>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</si>
  <si>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</si>
  <si>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</si>
  <si>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</si>
  <si>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</si>
  <si>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</si>
  <si>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</si>
  <si>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</si>
  <si>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</si>
  <si>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</si>
  <si>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</si>
  <si>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</si>
  <si>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</si>
  <si>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</si>
  <si>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</si>
  <si>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</si>
  <si>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</si>
  <si>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</si>
  <si>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</si>
  <si>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</si>
  <si>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</si>
  <si>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</si>
  <si>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</si>
  <si>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</si>
  <si>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</si>
  <si>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</si>
  <si>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</si>
  <si>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</si>
  <si>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</si>
  <si>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</si>
  <si>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</si>
  <si>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</si>
  <si>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</si>
  <si>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</si>
  <si>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</si>
  <si>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</si>
  <si>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</si>
  <si>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</si>
  <si>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</si>
  <si>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</si>
  <si>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</si>
  <si>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</si>
  <si>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</si>
  <si>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</si>
  <si>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</si>
  <si>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</si>
  <si>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</si>
  <si>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</si>
  <si>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</si>
  <si>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</si>
  <si>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</si>
  <si>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</si>
  <si>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</si>
  <si>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</si>
  <si>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</si>
  <si>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</si>
  <si>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</si>
  <si>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</si>
  <si>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</si>
  <si>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</si>
  <si>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</si>
  <si>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</si>
  <si>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</si>
  <si>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</si>
  <si>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</si>
  <si>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</si>
  <si>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</si>
  <si>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</si>
  <si>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</si>
  <si>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</si>
  <si>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</si>
  <si>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</si>
  <si>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</si>
  <si>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</si>
  <si>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</si>
  <si>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</si>
  <si>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</si>
  <si>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</si>
  <si>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</si>
  <si>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</si>
  <si>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</si>
  <si>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</si>
  <si>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</si>
  <si>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</si>
  <si>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</si>
  <si>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</si>
  <si>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</si>
  <si>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</si>
  <si>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</si>
  <si>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</si>
  <si>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</si>
  <si>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</si>
  <si>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</si>
  <si>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</si>
  <si>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</si>
  <si>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</si>
  <si>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</si>
  <si>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</si>
  <si>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</si>
  <si>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</si>
  <si>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</si>
  <si>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</si>
  <si>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</si>
  <si>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</si>
  <si>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</si>
  <si>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</si>
  <si>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</si>
  <si>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</si>
  <si>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</si>
  <si>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</si>
  <si>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</si>
  <si>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</si>
  <si>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</si>
  <si>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</si>
  <si>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</si>
  <si>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</si>
  <si>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</si>
  <si>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</si>
  <si>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</si>
  <si>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</si>
  <si>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</si>
  <si>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</si>
  <si>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</si>
  <si>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</si>
  <si>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</si>
  <si>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</si>
  <si>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</si>
  <si>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</si>
  <si>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</si>
  <si>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</si>
  <si>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</si>
  <si>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</si>
  <si>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</si>
  <si>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</si>
  <si>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</si>
  <si>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</si>
  <si>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</si>
  <si>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</si>
  <si>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</si>
  <si>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</si>
  <si>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</si>
  <si>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</si>
  <si>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</si>
  <si>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</si>
  <si>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</si>
  <si>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</si>
  <si>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</si>
  <si>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</si>
  <si>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</si>
  <si>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</si>
  <si>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</si>
  <si>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</si>
  <si>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</si>
  <si>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</si>
  <si>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</si>
  <si>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</si>
  <si>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</si>
  <si>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</si>
  <si>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</si>
  <si>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</si>
  <si>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</si>
  <si>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</si>
  <si>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</si>
  <si>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</si>
  <si>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</si>
  <si>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</si>
  <si>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</si>
  <si>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</si>
  <si>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</si>
  <si>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</si>
  <si>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</si>
  <si>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</si>
  <si>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</si>
  <si>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</si>
  <si>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</si>
  <si>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</si>
  <si>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</si>
  <si>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</si>
  <si>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</si>
  <si>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</si>
  <si>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</si>
  <si>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</si>
  <si>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</si>
  <si>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</si>
  <si>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</si>
  <si>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</si>
  <si>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</si>
  <si>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</si>
  <si>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</si>
  <si>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</si>
  <si>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</si>
  <si>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</si>
  <si>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</si>
  <si>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</si>
  <si>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</si>
  <si>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</si>
  <si>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</si>
  <si>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</si>
  <si>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</si>
  <si>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</si>
  <si>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</si>
  <si>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</si>
  <si>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</si>
  <si>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</si>
  <si>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</si>
  <si>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</si>
  <si>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</si>
  <si>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</si>
  <si>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</si>
  <si>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</si>
  <si>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</si>
  <si>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</si>
  <si>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</si>
  <si>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</si>
  <si>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</si>
  <si>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</si>
  <si>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</si>
  <si>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</si>
  <si>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</si>
  <si>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</si>
  <si>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</si>
  <si>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</si>
  <si>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</si>
  <si>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</si>
  <si>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</si>
  <si>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</si>
  <si>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</si>
  <si>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</si>
  <si>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</si>
  <si>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</si>
  <si>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</si>
  <si>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</si>
  <si>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</si>
  <si>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</si>
  <si>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</si>
  <si>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</si>
  <si>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</si>
  <si>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</si>
  <si>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</si>
  <si>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</si>
  <si>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</si>
  <si>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</si>
  <si>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</si>
  <si>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</si>
  <si>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</si>
  <si>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</si>
  <si>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</si>
  <si>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</si>
  <si>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</si>
  <si>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</si>
  <si>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</si>
  <si>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</si>
  <si>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</si>
  <si>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</si>
  <si>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</si>
  <si>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</si>
  <si>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</si>
  <si>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</si>
  <si>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</si>
  <si>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</si>
  <si>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</si>
  <si>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</si>
  <si>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</si>
  <si>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</si>
  <si>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</si>
  <si>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</si>
  <si>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</si>
  <si>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</si>
  <si>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</si>
  <si>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</si>
  <si>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</si>
  <si>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</si>
  <si>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</si>
  <si>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</si>
  <si>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</si>
  <si>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</si>
  <si>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</si>
  <si>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</si>
  <si>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</si>
  <si>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</si>
  <si>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</si>
  <si>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</si>
  <si>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</si>
  <si>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</si>
  <si>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</si>
  <si>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</si>
  <si>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</si>
  <si>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</si>
  <si>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</si>
  <si>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</si>
  <si>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</si>
  <si>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</si>
  <si>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</si>
  <si>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</si>
  <si>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</si>
  <si>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</si>
  <si>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</si>
  <si>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</si>
  <si>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</si>
  <si>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</si>
  <si>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</si>
  <si>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</si>
  <si>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</si>
  <si>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</si>
  <si>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</si>
  <si>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</si>
  <si>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</si>
  <si>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</si>
  <si>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</si>
  <si>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</si>
  <si>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</si>
  <si>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</si>
  <si>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</si>
  <si>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</si>
  <si>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</si>
  <si>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</si>
  <si>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</si>
  <si>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</si>
  <si>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</si>
  <si>
    <t>FACTOR 2. Gobierno institucional y transparencia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</si>
</sst>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7">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rgb="FFFF0000"/>
        <bgColor indexed="64"/>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7">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0" fillId="5" borderId="12" xfId="0" applyFill="1" applyBorder="1" applyAlignment="1">
      <alignment vertical="center" wrapText="1"/>
    </xf>
    <xf numFmtId="0" fontId="0" fillId="36" borderId="12" xfId="0" applyFill="1" applyBorder="1" applyAlignment="1">
      <alignment vertical="center" wrapText="1"/>
    </xf>
    <xf numFmtId="0" fontId="3" fillId="5" borderId="12" xfId="1" applyFont="1" applyFill="1" applyBorder="1" applyAlignment="1">
      <alignment horizontal="left" vertical="center" wrapText="1"/>
    </xf>
    <xf numFmtId="0" fontId="0" fillId="36" borderId="12" xfId="1" applyFont="1" applyFill="1" applyBorder="1" applyAlignment="1">
      <alignment horizontal="left" vertical="center" wrapText="1"/>
    </xf>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xf numFmtId="0" fontId="3" fillId="36" borderId="12" xfId="1" applyFont="1" applyFill="1" applyBorder="1" applyAlignment="1">
      <alignment horizontal="left" vertical="center" wrapText="1"/>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filterColumn colId="0">
      <filters>
        <filter val="FACTOR 3. Desarrollo, gestión y sostenibilidad institucional"/>
      </filters>
    </filterColumn>
  </autoFilter>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45" activePane="bottomLeft" state="frozen"/>
      <selection pane="bottomLeft" activeCell="D51" sqref="D51"/>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hidden="1" x14ac:dyDescent="0.3">
      <c r="A2" s="310" t="s">
        <v>9</v>
      </c>
      <c r="B2" s="305" t="s">
        <v>10</v>
      </c>
      <c r="C2" s="310">
        <v>1</v>
      </c>
      <c r="D2" s="311">
        <v>1</v>
      </c>
      <c r="E2" s="312"/>
      <c r="F2" s="305" t="s">
        <v>11</v>
      </c>
      <c r="G2" s="305" t="s">
        <v>2109</v>
      </c>
      <c r="H2" s="305" t="s">
        <v>13</v>
      </c>
      <c r="I2" s="314" t="s">
        <v>14</v>
      </c>
      <c r="J2" s="454"/>
      <c r="BX2" s="331">
        <v>1</v>
      </c>
    </row>
    <row r="3" spans="1:76" ht="43.2" hidden="1" x14ac:dyDescent="0.3">
      <c r="A3" s="310" t="s">
        <v>9</v>
      </c>
      <c r="B3" s="305" t="s">
        <v>10</v>
      </c>
      <c r="C3" s="310">
        <v>2</v>
      </c>
      <c r="D3" s="311">
        <v>2</v>
      </c>
      <c r="E3" s="312"/>
      <c r="F3" s="305" t="s">
        <v>15</v>
      </c>
      <c r="G3" s="305" t="s">
        <v>2109</v>
      </c>
      <c r="H3" s="305" t="s">
        <v>13</v>
      </c>
      <c r="I3" s="314" t="s">
        <v>14</v>
      </c>
      <c r="J3" s="455"/>
      <c r="BX3" s="331">
        <v>2</v>
      </c>
    </row>
    <row r="4" spans="1:76" ht="43.2" hidden="1" x14ac:dyDescent="0.3">
      <c r="A4" s="310" t="s">
        <v>9</v>
      </c>
      <c r="B4" s="305" t="s">
        <v>10</v>
      </c>
      <c r="C4" s="310">
        <v>3</v>
      </c>
      <c r="D4" s="311">
        <v>3</v>
      </c>
      <c r="E4" s="312"/>
      <c r="F4" s="305" t="s">
        <v>16</v>
      </c>
      <c r="G4" s="305" t="s">
        <v>2109</v>
      </c>
      <c r="H4" s="305" t="s">
        <v>13</v>
      </c>
      <c r="I4" s="314" t="s">
        <v>14</v>
      </c>
      <c r="J4" s="455"/>
      <c r="BX4" s="331">
        <v>3</v>
      </c>
    </row>
    <row r="5" spans="1:76" ht="43.2" hidden="1" x14ac:dyDescent="0.3">
      <c r="A5" s="310" t="s">
        <v>9</v>
      </c>
      <c r="B5" s="305" t="s">
        <v>10</v>
      </c>
      <c r="C5" s="310">
        <v>4</v>
      </c>
      <c r="D5" s="311">
        <v>4</v>
      </c>
      <c r="E5" s="312"/>
      <c r="F5" s="305" t="s">
        <v>17</v>
      </c>
      <c r="G5" s="305" t="s">
        <v>2109</v>
      </c>
      <c r="H5" s="305" t="s">
        <v>13</v>
      </c>
      <c r="I5" s="314" t="s">
        <v>14</v>
      </c>
      <c r="J5" s="455"/>
      <c r="BX5" s="331">
        <v>4</v>
      </c>
    </row>
    <row r="6" spans="1:76" ht="43.2" hidden="1" x14ac:dyDescent="0.3">
      <c r="A6" s="310" t="s">
        <v>9</v>
      </c>
      <c r="B6" s="305" t="s">
        <v>10</v>
      </c>
      <c r="C6" s="310">
        <v>5</v>
      </c>
      <c r="D6" s="311">
        <v>5</v>
      </c>
      <c r="E6" s="312"/>
      <c r="F6" s="587" t="s">
        <v>18</v>
      </c>
      <c r="G6" s="305" t="s">
        <v>2109</v>
      </c>
      <c r="H6" s="305" t="s">
        <v>13</v>
      </c>
      <c r="I6" s="314" t="s">
        <v>14</v>
      </c>
      <c r="J6" s="455"/>
      <c r="BX6" s="331">
        <v>5</v>
      </c>
    </row>
    <row r="7" spans="1:76" hidden="1" x14ac:dyDescent="0.3">
      <c r="A7" s="310" t="s">
        <v>9</v>
      </c>
      <c r="B7" s="305" t="s">
        <v>10</v>
      </c>
      <c r="C7" s="310">
        <v>6</v>
      </c>
      <c r="D7" s="311">
        <v>6</v>
      </c>
      <c r="E7" s="312"/>
      <c r="F7" s="587" t="s">
        <v>303</v>
      </c>
      <c r="G7" s="305" t="s">
        <v>20</v>
      </c>
      <c r="H7" s="318" t="s">
        <v>21</v>
      </c>
      <c r="I7" s="314" t="s">
        <v>22</v>
      </c>
      <c r="J7" s="455"/>
      <c r="BX7" s="331">
        <v>6</v>
      </c>
    </row>
    <row r="8" spans="1:76" hidden="1" x14ac:dyDescent="0.3">
      <c r="A8" s="310" t="s">
        <v>9</v>
      </c>
      <c r="B8" s="305" t="s">
        <v>10</v>
      </c>
      <c r="C8" s="310">
        <v>7</v>
      </c>
      <c r="D8" s="312"/>
      <c r="E8" s="311">
        <v>1</v>
      </c>
      <c r="F8" s="587" t="s">
        <v>304</v>
      </c>
      <c r="G8" s="305" t="s">
        <v>24</v>
      </c>
      <c r="H8" s="318" t="s">
        <v>25</v>
      </c>
      <c r="I8" s="516" t="s">
        <v>26</v>
      </c>
      <c r="J8" s="455"/>
      <c r="BX8" s="331">
        <v>7</v>
      </c>
    </row>
    <row r="9" spans="1:76" hidden="1" x14ac:dyDescent="0.3">
      <c r="A9" s="310" t="s">
        <v>9</v>
      </c>
      <c r="B9" s="305" t="s">
        <v>10</v>
      </c>
      <c r="C9" s="310">
        <v>8</v>
      </c>
      <c r="D9" s="312"/>
      <c r="E9" s="311">
        <v>2</v>
      </c>
      <c r="F9" s="587" t="s">
        <v>27</v>
      </c>
      <c r="G9" s="305" t="s">
        <v>24</v>
      </c>
      <c r="H9" s="318" t="s">
        <v>25</v>
      </c>
      <c r="I9" s="516" t="s">
        <v>26</v>
      </c>
      <c r="J9" s="455"/>
      <c r="BX9" s="331">
        <v>8</v>
      </c>
    </row>
    <row r="10" spans="1:76" ht="28.8" hidden="1" x14ac:dyDescent="0.3">
      <c r="A10" s="310" t="s">
        <v>9</v>
      </c>
      <c r="B10" s="305" t="s">
        <v>10</v>
      </c>
      <c r="C10" s="310">
        <v>9</v>
      </c>
      <c r="D10" s="311">
        <v>7</v>
      </c>
      <c r="E10" s="312"/>
      <c r="F10" s="588" t="s">
        <v>305</v>
      </c>
      <c r="G10" s="305" t="s">
        <v>20</v>
      </c>
      <c r="H10" s="318" t="s">
        <v>21</v>
      </c>
      <c r="I10" s="314" t="s">
        <v>22</v>
      </c>
      <c r="J10" s="455"/>
      <c r="BX10" s="331">
        <v>9</v>
      </c>
    </row>
    <row r="11" spans="1:76" ht="28.8" hidden="1" x14ac:dyDescent="0.3">
      <c r="A11" s="310" t="s">
        <v>9</v>
      </c>
      <c r="B11" s="305" t="s">
        <v>10</v>
      </c>
      <c r="C11" s="310">
        <v>10</v>
      </c>
      <c r="D11" s="311">
        <v>8</v>
      </c>
      <c r="E11" s="312"/>
      <c r="F11" s="305" t="s">
        <v>29</v>
      </c>
      <c r="G11" s="305" t="s">
        <v>2111</v>
      </c>
      <c r="H11" s="318" t="s">
        <v>31</v>
      </c>
      <c r="I11" s="314" t="s">
        <v>32</v>
      </c>
      <c r="J11" s="455" t="s">
        <v>306</v>
      </c>
      <c r="BX11" s="331">
        <v>10</v>
      </c>
    </row>
    <row r="12" spans="1:76" ht="28.8" hidden="1" x14ac:dyDescent="0.3">
      <c r="A12" s="310" t="s">
        <v>9</v>
      </c>
      <c r="B12" s="305" t="s">
        <v>10</v>
      </c>
      <c r="C12" s="310">
        <v>11</v>
      </c>
      <c r="D12" s="311">
        <v>9</v>
      </c>
      <c r="E12" s="312"/>
      <c r="F12" s="305" t="s">
        <v>33</v>
      </c>
      <c r="G12" s="305" t="s">
        <v>2111</v>
      </c>
      <c r="H12" s="318" t="s">
        <v>31</v>
      </c>
      <c r="I12" s="314" t="s">
        <v>32</v>
      </c>
      <c r="J12" s="455" t="s">
        <v>306</v>
      </c>
      <c r="BX12" s="331">
        <v>11</v>
      </c>
    </row>
    <row r="13" spans="1:76" ht="28.8" hidden="1" x14ac:dyDescent="0.3">
      <c r="A13" s="310" t="s">
        <v>9</v>
      </c>
      <c r="B13" s="305" t="s">
        <v>10</v>
      </c>
      <c r="C13" s="310">
        <v>12</v>
      </c>
      <c r="D13" s="311">
        <v>10</v>
      </c>
      <c r="E13" s="312"/>
      <c r="F13" s="588" t="s">
        <v>307</v>
      </c>
      <c r="G13" s="305" t="s">
        <v>2111</v>
      </c>
      <c r="H13" s="318" t="s">
        <v>31</v>
      </c>
      <c r="I13" s="314" t="s">
        <v>32</v>
      </c>
      <c r="J13" s="455"/>
      <c r="BX13" s="331">
        <v>12</v>
      </c>
    </row>
    <row r="14" spans="1:76" ht="43.2" hidden="1" x14ac:dyDescent="0.3">
      <c r="A14" s="313" t="s">
        <v>35</v>
      </c>
      <c r="B14" s="313" t="s">
        <v>36</v>
      </c>
      <c r="C14" s="313">
        <v>13</v>
      </c>
      <c r="D14" s="311">
        <v>23</v>
      </c>
      <c r="E14" s="312"/>
      <c r="F14" s="589" t="s">
        <v>37</v>
      </c>
      <c r="G14" s="305" t="s">
        <v>2109</v>
      </c>
      <c r="H14" s="313" t="s">
        <v>13</v>
      </c>
      <c r="I14" s="314" t="s">
        <v>38</v>
      </c>
      <c r="J14" s="455"/>
      <c r="BX14" s="331">
        <v>13</v>
      </c>
    </row>
    <row r="15" spans="1:76" ht="28.8" hidden="1" x14ac:dyDescent="0.3">
      <c r="A15" s="313" t="s">
        <v>2114</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590" t="s">
        <v>308</v>
      </c>
      <c r="G16" s="313" t="s">
        <v>47</v>
      </c>
      <c r="H16" s="316" t="s">
        <v>48</v>
      </c>
      <c r="I16" s="314" t="s">
        <v>49</v>
      </c>
      <c r="J16" s="455"/>
      <c r="BX16" s="331">
        <v>15</v>
      </c>
    </row>
    <row r="17" spans="1:76" ht="28.8" x14ac:dyDescent="0.3">
      <c r="A17" s="313" t="s">
        <v>44</v>
      </c>
      <c r="B17" s="313" t="s">
        <v>45</v>
      </c>
      <c r="C17" s="313">
        <v>16</v>
      </c>
      <c r="D17" s="311">
        <v>33</v>
      </c>
      <c r="E17" s="312"/>
      <c r="F17" s="315"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590"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5" t="s">
        <v>62</v>
      </c>
      <c r="G21" s="313" t="s">
        <v>63</v>
      </c>
      <c r="H21" s="317" t="s">
        <v>57</v>
      </c>
      <c r="I21" s="314" t="s">
        <v>58</v>
      </c>
      <c r="J21" s="455"/>
      <c r="BX21" s="331">
        <v>20</v>
      </c>
    </row>
    <row r="22" spans="1:76" ht="28.8" x14ac:dyDescent="0.3">
      <c r="A22" s="313" t="s">
        <v>44</v>
      </c>
      <c r="B22" s="314" t="s">
        <v>53</v>
      </c>
      <c r="C22" s="313">
        <v>21</v>
      </c>
      <c r="D22" s="311">
        <v>36</v>
      </c>
      <c r="E22" s="312"/>
      <c r="F22" s="590"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590" t="s">
        <v>70</v>
      </c>
      <c r="G24" s="313" t="s">
        <v>67</v>
      </c>
      <c r="H24" s="317" t="s">
        <v>68</v>
      </c>
      <c r="I24" s="314" t="s">
        <v>69</v>
      </c>
      <c r="J24" s="455"/>
      <c r="BX24" s="331">
        <v>23</v>
      </c>
    </row>
    <row r="25" spans="1:76" ht="28.8" x14ac:dyDescent="0.3">
      <c r="A25" s="313" t="s">
        <v>44</v>
      </c>
      <c r="B25" s="314" t="s">
        <v>65</v>
      </c>
      <c r="C25" s="313">
        <v>24</v>
      </c>
      <c r="D25" s="311">
        <v>41</v>
      </c>
      <c r="E25" s="312"/>
      <c r="F25" s="590" t="s">
        <v>71</v>
      </c>
      <c r="G25" s="313" t="s">
        <v>67</v>
      </c>
      <c r="H25" s="317" t="s">
        <v>68</v>
      </c>
      <c r="I25" s="314" t="s">
        <v>69</v>
      </c>
      <c r="J25" s="455"/>
      <c r="BX25" s="331">
        <v>24</v>
      </c>
    </row>
    <row r="26" spans="1:76" ht="28.8" x14ac:dyDescent="0.3">
      <c r="A26" s="313" t="s">
        <v>44</v>
      </c>
      <c r="B26" s="314" t="s">
        <v>65</v>
      </c>
      <c r="C26" s="313">
        <v>25</v>
      </c>
      <c r="D26" s="311">
        <v>42</v>
      </c>
      <c r="E26" s="312"/>
      <c r="F26" s="315" t="s">
        <v>310</v>
      </c>
      <c r="G26" s="313" t="s">
        <v>67</v>
      </c>
      <c r="H26" s="317" t="s">
        <v>68</v>
      </c>
      <c r="I26" s="314" t="s">
        <v>69</v>
      </c>
      <c r="J26" s="455"/>
      <c r="BX26" s="331">
        <v>25</v>
      </c>
    </row>
    <row r="27" spans="1:76" ht="28.8" x14ac:dyDescent="0.3">
      <c r="A27" s="313" t="s">
        <v>44</v>
      </c>
      <c r="B27" s="314" t="s">
        <v>65</v>
      </c>
      <c r="C27" s="313">
        <v>26</v>
      </c>
      <c r="D27" s="311">
        <v>43</v>
      </c>
      <c r="E27" s="312"/>
      <c r="F27" s="315" t="s">
        <v>311</v>
      </c>
      <c r="G27" s="313" t="s">
        <v>67</v>
      </c>
      <c r="H27" s="317" t="s">
        <v>68</v>
      </c>
      <c r="I27" s="314" t="s">
        <v>69</v>
      </c>
      <c r="J27" s="455"/>
      <c r="BX27" s="331">
        <v>26</v>
      </c>
    </row>
    <row r="28" spans="1:76" ht="28.8" x14ac:dyDescent="0.3">
      <c r="A28" s="313" t="s">
        <v>44</v>
      </c>
      <c r="B28" s="314" t="s">
        <v>65</v>
      </c>
      <c r="C28" s="313">
        <v>27</v>
      </c>
      <c r="D28" s="311">
        <v>44</v>
      </c>
      <c r="E28" s="312"/>
      <c r="F28" s="315"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5"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5"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5" t="s">
        <v>312</v>
      </c>
      <c r="G39" s="313" t="s">
        <v>88</v>
      </c>
      <c r="H39" s="317" t="s">
        <v>89</v>
      </c>
      <c r="I39" s="314" t="s">
        <v>90</v>
      </c>
      <c r="J39" s="455"/>
      <c r="BX39" s="331">
        <v>38</v>
      </c>
    </row>
    <row r="40" spans="1:76" ht="28.8" x14ac:dyDescent="0.3">
      <c r="A40" s="313" t="s">
        <v>44</v>
      </c>
      <c r="B40" s="314" t="s">
        <v>94</v>
      </c>
      <c r="C40" s="313">
        <v>39</v>
      </c>
      <c r="D40" s="311">
        <v>58</v>
      </c>
      <c r="E40" s="312"/>
      <c r="F40" s="315"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5"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5"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590"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589"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716" t="s">
        <v>118</v>
      </c>
      <c r="G56" s="514" t="s">
        <v>102</v>
      </c>
      <c r="H56" s="317" t="s">
        <v>103</v>
      </c>
      <c r="I56" s="316" t="s">
        <v>103</v>
      </c>
      <c r="J56" s="455" t="s">
        <v>314</v>
      </c>
      <c r="BX56" s="331">
        <v>55</v>
      </c>
    </row>
    <row r="57" spans="1:76" ht="28.8" x14ac:dyDescent="0.35">
      <c r="A57" s="313" t="s">
        <v>44</v>
      </c>
      <c r="B57" s="314" t="s">
        <v>100</v>
      </c>
      <c r="C57" s="313">
        <v>56</v>
      </c>
      <c r="D57" s="311">
        <v>75</v>
      </c>
      <c r="E57" s="312"/>
      <c r="F57" s="716" t="s">
        <v>119</v>
      </c>
      <c r="G57" s="514" t="s">
        <v>102</v>
      </c>
      <c r="H57" s="317" t="s">
        <v>103</v>
      </c>
      <c r="I57" s="316" t="s">
        <v>103</v>
      </c>
      <c r="J57" s="455" t="s">
        <v>314</v>
      </c>
      <c r="BX57" s="331">
        <v>56</v>
      </c>
    </row>
    <row r="58" spans="1:76" ht="28.8" x14ac:dyDescent="0.35">
      <c r="A58" s="313" t="s">
        <v>44</v>
      </c>
      <c r="B58" s="314" t="s">
        <v>100</v>
      </c>
      <c r="C58" s="313">
        <v>57</v>
      </c>
      <c r="D58" s="311">
        <v>76</v>
      </c>
      <c r="E58" s="312"/>
      <c r="F58" s="716" t="s">
        <v>120</v>
      </c>
      <c r="G58" s="514" t="s">
        <v>102</v>
      </c>
      <c r="H58" s="317" t="s">
        <v>103</v>
      </c>
      <c r="I58" s="316" t="s">
        <v>103</v>
      </c>
      <c r="J58" s="455" t="s">
        <v>314</v>
      </c>
      <c r="BX58" s="331">
        <v>57</v>
      </c>
    </row>
    <row r="59" spans="1:76" ht="28.8" x14ac:dyDescent="0.35">
      <c r="A59" s="313" t="s">
        <v>44</v>
      </c>
      <c r="B59" s="314" t="s">
        <v>100</v>
      </c>
      <c r="C59" s="313">
        <v>58</v>
      </c>
      <c r="D59" s="311">
        <v>77</v>
      </c>
      <c r="E59" s="312"/>
      <c r="F59" s="716" t="s">
        <v>121</v>
      </c>
      <c r="G59" s="514" t="s">
        <v>102</v>
      </c>
      <c r="H59" s="317" t="s">
        <v>103</v>
      </c>
      <c r="I59" s="316" t="s">
        <v>103</v>
      </c>
      <c r="J59" s="455" t="s">
        <v>314</v>
      </c>
      <c r="BX59" s="331">
        <v>58</v>
      </c>
    </row>
    <row r="60" spans="1:76" ht="28.8" hidden="1" x14ac:dyDescent="0.35">
      <c r="A60" s="313" t="s">
        <v>122</v>
      </c>
      <c r="B60" s="314" t="s">
        <v>123</v>
      </c>
      <c r="C60" s="313">
        <v>59</v>
      </c>
      <c r="D60" s="311">
        <v>82</v>
      </c>
      <c r="E60" s="312"/>
      <c r="F60" s="313" t="s">
        <v>124</v>
      </c>
      <c r="G60" s="341" t="s">
        <v>41</v>
      </c>
      <c r="H60" s="317" t="s">
        <v>42</v>
      </c>
      <c r="I60" s="314" t="s">
        <v>125</v>
      </c>
      <c r="J60" s="455"/>
      <c r="BX60" s="331">
        <v>59</v>
      </c>
    </row>
    <row r="61" spans="1:76" ht="28.8" hidden="1" x14ac:dyDescent="0.35">
      <c r="A61" s="314" t="s">
        <v>122</v>
      </c>
      <c r="B61" s="314" t="s">
        <v>123</v>
      </c>
      <c r="C61" s="314">
        <v>60</v>
      </c>
      <c r="D61" s="311">
        <v>83</v>
      </c>
      <c r="E61" s="312"/>
      <c r="F61" s="313" t="s">
        <v>126</v>
      </c>
      <c r="G61" s="341" t="s">
        <v>41</v>
      </c>
      <c r="H61" s="317" t="s">
        <v>42</v>
      </c>
      <c r="I61" s="314" t="s">
        <v>125</v>
      </c>
      <c r="J61" s="455"/>
      <c r="BX61" s="331">
        <v>60</v>
      </c>
    </row>
    <row r="62" spans="1:76" ht="43.2" hidden="1" x14ac:dyDescent="0.3">
      <c r="A62" s="314" t="s">
        <v>122</v>
      </c>
      <c r="B62" s="314" t="s">
        <v>127</v>
      </c>
      <c r="C62" s="314">
        <v>61</v>
      </c>
      <c r="D62" s="311">
        <v>85</v>
      </c>
      <c r="E62" s="312"/>
      <c r="F62" s="313" t="s">
        <v>128</v>
      </c>
      <c r="G62" s="305" t="s">
        <v>2109</v>
      </c>
      <c r="H62" s="305" t="s">
        <v>13</v>
      </c>
      <c r="I62" s="314" t="s">
        <v>14</v>
      </c>
      <c r="J62" s="455"/>
      <c r="BX62" s="331">
        <v>61</v>
      </c>
    </row>
    <row r="63" spans="1:76" ht="43.2" hidden="1" x14ac:dyDescent="0.3">
      <c r="A63" s="314" t="s">
        <v>122</v>
      </c>
      <c r="B63" s="314" t="s">
        <v>127</v>
      </c>
      <c r="C63" s="314">
        <v>62</v>
      </c>
      <c r="D63" s="311">
        <v>87</v>
      </c>
      <c r="E63" s="312"/>
      <c r="F63" s="313" t="s">
        <v>129</v>
      </c>
      <c r="G63" s="313" t="s">
        <v>130</v>
      </c>
      <c r="H63" s="316" t="s">
        <v>48</v>
      </c>
      <c r="I63" s="314" t="s">
        <v>49</v>
      </c>
      <c r="J63" s="455"/>
      <c r="BX63" s="331">
        <v>62</v>
      </c>
    </row>
    <row r="64" spans="1:76" ht="43.2" hidden="1" x14ac:dyDescent="0.3">
      <c r="A64" s="314" t="s">
        <v>122</v>
      </c>
      <c r="B64" s="314" t="s">
        <v>127</v>
      </c>
      <c r="C64" s="314">
        <v>63</v>
      </c>
      <c r="D64" s="312"/>
      <c r="E64" s="311">
        <v>9</v>
      </c>
      <c r="F64" s="313" t="s">
        <v>131</v>
      </c>
      <c r="G64" s="313" t="s">
        <v>130</v>
      </c>
      <c r="H64" s="317" t="s">
        <v>25</v>
      </c>
      <c r="I64" s="516" t="s">
        <v>26</v>
      </c>
      <c r="J64" s="455"/>
      <c r="BX64" s="331">
        <v>63</v>
      </c>
    </row>
    <row r="65" spans="1:76" ht="28.8" hidden="1" x14ac:dyDescent="0.3">
      <c r="A65" s="313" t="s">
        <v>132</v>
      </c>
      <c r="B65" s="314" t="s">
        <v>133</v>
      </c>
      <c r="C65" s="313">
        <v>64</v>
      </c>
      <c r="D65" s="311">
        <v>98</v>
      </c>
      <c r="E65" s="312"/>
      <c r="F65" s="313" t="s">
        <v>134</v>
      </c>
      <c r="G65" s="313" t="s">
        <v>135</v>
      </c>
      <c r="H65" s="317" t="s">
        <v>136</v>
      </c>
      <c r="I65" s="314" t="s">
        <v>137</v>
      </c>
      <c r="J65" s="455"/>
      <c r="BX65" s="331">
        <v>64</v>
      </c>
    </row>
    <row r="66" spans="1:76" ht="28.8" hidden="1" x14ac:dyDescent="0.3">
      <c r="A66" s="313" t="s">
        <v>132</v>
      </c>
      <c r="B66" s="314" t="s">
        <v>133</v>
      </c>
      <c r="C66" s="313">
        <v>65</v>
      </c>
      <c r="D66" s="311">
        <v>99</v>
      </c>
      <c r="E66" s="312"/>
      <c r="F66" s="313" t="s">
        <v>138</v>
      </c>
      <c r="G66" s="313" t="s">
        <v>135</v>
      </c>
      <c r="H66" s="317" t="s">
        <v>136</v>
      </c>
      <c r="I66" s="314" t="s">
        <v>137</v>
      </c>
      <c r="J66" s="455"/>
      <c r="BX66" s="331">
        <v>65</v>
      </c>
    </row>
    <row r="67" spans="1:76" ht="28.8" hidden="1" x14ac:dyDescent="0.3">
      <c r="A67" s="313" t="s">
        <v>132</v>
      </c>
      <c r="B67" s="314" t="s">
        <v>133</v>
      </c>
      <c r="C67" s="313">
        <v>66</v>
      </c>
      <c r="D67" s="311">
        <v>100</v>
      </c>
      <c r="E67" s="312"/>
      <c r="F67" s="313" t="s">
        <v>139</v>
      </c>
      <c r="G67" s="313" t="s">
        <v>135</v>
      </c>
      <c r="H67" s="317" t="s">
        <v>136</v>
      </c>
      <c r="I67" s="314" t="s">
        <v>137</v>
      </c>
      <c r="J67" s="455"/>
      <c r="BX67" s="331">
        <v>66</v>
      </c>
    </row>
    <row r="68" spans="1:76" ht="28.8" hidden="1" x14ac:dyDescent="0.3">
      <c r="A68" s="313" t="s">
        <v>132</v>
      </c>
      <c r="B68" s="314" t="s">
        <v>133</v>
      </c>
      <c r="C68" s="313">
        <v>67</v>
      </c>
      <c r="D68" s="311">
        <v>101</v>
      </c>
      <c r="E68" s="312"/>
      <c r="F68" s="313" t="s">
        <v>140</v>
      </c>
      <c r="G68" s="313" t="s">
        <v>135</v>
      </c>
      <c r="H68" s="316" t="s">
        <v>48</v>
      </c>
      <c r="I68" s="314" t="s">
        <v>49</v>
      </c>
      <c r="J68" s="455"/>
      <c r="BX68" s="331">
        <v>67</v>
      </c>
    </row>
    <row r="69" spans="1:76" ht="43.2" hidden="1" x14ac:dyDescent="0.3">
      <c r="A69" s="313" t="s">
        <v>132</v>
      </c>
      <c r="B69" s="314" t="s">
        <v>141</v>
      </c>
      <c r="C69" s="313">
        <v>68</v>
      </c>
      <c r="D69" s="311">
        <v>105</v>
      </c>
      <c r="E69" s="312"/>
      <c r="F69" s="313" t="s">
        <v>315</v>
      </c>
      <c r="G69" s="305" t="s">
        <v>2109</v>
      </c>
      <c r="H69" s="305" t="s">
        <v>13</v>
      </c>
      <c r="I69" s="314" t="s">
        <v>14</v>
      </c>
      <c r="J69" s="455"/>
      <c r="BX69" s="331">
        <v>68</v>
      </c>
    </row>
    <row r="70" spans="1:76" ht="43.2" hidden="1" x14ac:dyDescent="0.3">
      <c r="A70" s="313" t="s">
        <v>143</v>
      </c>
      <c r="B70" s="313" t="s">
        <v>144</v>
      </c>
      <c r="C70" s="313">
        <v>69</v>
      </c>
      <c r="D70" s="311">
        <v>108</v>
      </c>
      <c r="E70" s="312"/>
      <c r="F70" s="313" t="s">
        <v>316</v>
      </c>
      <c r="G70" s="305" t="s">
        <v>2111</v>
      </c>
      <c r="H70" s="318" t="s">
        <v>31</v>
      </c>
      <c r="I70" s="314" t="s">
        <v>32</v>
      </c>
      <c r="J70" s="455"/>
      <c r="BX70" s="331">
        <v>69</v>
      </c>
    </row>
    <row r="71" spans="1:76" ht="43.2" hidden="1" x14ac:dyDescent="0.3">
      <c r="A71" s="313" t="s">
        <v>143</v>
      </c>
      <c r="B71" s="313" t="s">
        <v>146</v>
      </c>
      <c r="C71" s="313">
        <v>70</v>
      </c>
      <c r="D71" s="311">
        <v>110</v>
      </c>
      <c r="E71" s="312"/>
      <c r="F71" s="313" t="s">
        <v>317</v>
      </c>
      <c r="G71" s="305" t="s">
        <v>2111</v>
      </c>
      <c r="H71" s="318" t="s">
        <v>31</v>
      </c>
      <c r="I71" s="314" t="s">
        <v>32</v>
      </c>
      <c r="J71" s="455" t="s">
        <v>306</v>
      </c>
      <c r="BX71" s="331">
        <v>70</v>
      </c>
    </row>
    <row r="72" spans="1:76" ht="43.2" hidden="1" x14ac:dyDescent="0.3">
      <c r="A72" s="313" t="s">
        <v>143</v>
      </c>
      <c r="B72" s="313" t="s">
        <v>146</v>
      </c>
      <c r="C72" s="313">
        <v>71</v>
      </c>
      <c r="D72" s="311">
        <v>111</v>
      </c>
      <c r="E72" s="312"/>
      <c r="F72" s="313" t="s">
        <v>318</v>
      </c>
      <c r="G72" s="305" t="s">
        <v>2111</v>
      </c>
      <c r="H72" s="318" t="s">
        <v>31</v>
      </c>
      <c r="I72" s="314" t="s">
        <v>32</v>
      </c>
      <c r="J72" s="455" t="s">
        <v>306</v>
      </c>
      <c r="BX72" s="331">
        <v>71</v>
      </c>
    </row>
    <row r="73" spans="1:76" ht="43.2" hidden="1" x14ac:dyDescent="0.3">
      <c r="A73" s="313" t="s">
        <v>143</v>
      </c>
      <c r="B73" s="313" t="s">
        <v>146</v>
      </c>
      <c r="C73" s="313">
        <v>72</v>
      </c>
      <c r="D73" s="311">
        <v>112</v>
      </c>
      <c r="E73" s="312"/>
      <c r="F73" s="313" t="s">
        <v>149</v>
      </c>
      <c r="G73" s="305" t="s">
        <v>2111</v>
      </c>
      <c r="H73" s="318" t="s">
        <v>31</v>
      </c>
      <c r="I73" s="314" t="s">
        <v>32</v>
      </c>
      <c r="J73" s="455"/>
      <c r="BX73" s="331">
        <v>72</v>
      </c>
    </row>
    <row r="74" spans="1:76" ht="43.2" hidden="1" x14ac:dyDescent="0.3">
      <c r="A74" s="313" t="s">
        <v>143</v>
      </c>
      <c r="B74" s="313" t="s">
        <v>146</v>
      </c>
      <c r="C74" s="313">
        <v>73</v>
      </c>
      <c r="D74" s="311">
        <v>113</v>
      </c>
      <c r="E74" s="312"/>
      <c r="F74" s="313" t="s">
        <v>150</v>
      </c>
      <c r="G74" s="305" t="s">
        <v>2111</v>
      </c>
      <c r="H74" s="318" t="s">
        <v>31</v>
      </c>
      <c r="I74" s="314" t="s">
        <v>32</v>
      </c>
      <c r="J74" s="455"/>
      <c r="BX74" s="331">
        <v>73</v>
      </c>
    </row>
    <row r="75" spans="1:76" ht="43.2" hidden="1" x14ac:dyDescent="0.3">
      <c r="A75" s="313" t="s">
        <v>143</v>
      </c>
      <c r="B75" s="313" t="s">
        <v>146</v>
      </c>
      <c r="C75" s="313">
        <v>74</v>
      </c>
      <c r="D75" s="311">
        <v>114</v>
      </c>
      <c r="E75" s="312"/>
      <c r="F75" s="313" t="s">
        <v>319</v>
      </c>
      <c r="G75" s="305" t="s">
        <v>2111</v>
      </c>
      <c r="H75" s="318" t="s">
        <v>31</v>
      </c>
      <c r="I75" s="314" t="s">
        <v>32</v>
      </c>
      <c r="J75" s="455"/>
      <c r="BX75" s="331">
        <v>74</v>
      </c>
    </row>
    <row r="76" spans="1:76" ht="43.2" hidden="1" x14ac:dyDescent="0.3">
      <c r="A76" s="313" t="s">
        <v>143</v>
      </c>
      <c r="B76" s="313" t="s">
        <v>146</v>
      </c>
      <c r="C76" s="313">
        <v>75</v>
      </c>
      <c r="D76" s="311">
        <v>115</v>
      </c>
      <c r="E76" s="312"/>
      <c r="F76" s="313" t="s">
        <v>152</v>
      </c>
      <c r="G76" s="305" t="s">
        <v>2111</v>
      </c>
      <c r="H76" s="318" t="s">
        <v>31</v>
      </c>
      <c r="I76" s="314" t="s">
        <v>32</v>
      </c>
      <c r="J76" s="455"/>
      <c r="BX76" s="331">
        <v>75</v>
      </c>
    </row>
    <row r="77" spans="1:76" ht="43.2" hidden="1" x14ac:dyDescent="0.3">
      <c r="A77" s="313" t="s">
        <v>143</v>
      </c>
      <c r="B77" s="313" t="s">
        <v>146</v>
      </c>
      <c r="C77" s="313">
        <v>76</v>
      </c>
      <c r="D77" s="311">
        <v>116</v>
      </c>
      <c r="E77" s="312"/>
      <c r="F77" s="313" t="s">
        <v>320</v>
      </c>
      <c r="G77" s="305" t="s">
        <v>2111</v>
      </c>
      <c r="H77" s="318" t="s">
        <v>31</v>
      </c>
      <c r="I77" s="314" t="s">
        <v>32</v>
      </c>
      <c r="J77" s="455"/>
      <c r="BX77" s="331">
        <v>76</v>
      </c>
    </row>
    <row r="78" spans="1:76" ht="43.2" hidden="1" x14ac:dyDescent="0.3">
      <c r="A78" s="313" t="s">
        <v>143</v>
      </c>
      <c r="B78" s="313" t="s">
        <v>146</v>
      </c>
      <c r="C78" s="313">
        <v>77</v>
      </c>
      <c r="D78" s="311">
        <v>121</v>
      </c>
      <c r="E78" s="312"/>
      <c r="F78" s="313" t="s">
        <v>321</v>
      </c>
      <c r="G78" s="305" t="s">
        <v>2111</v>
      </c>
      <c r="H78" s="318" t="s">
        <v>31</v>
      </c>
      <c r="I78" s="314" t="s">
        <v>80</v>
      </c>
      <c r="J78" s="455"/>
      <c r="BX78" s="331">
        <v>77</v>
      </c>
    </row>
    <row r="79" spans="1:76" ht="43.2" hidden="1" x14ac:dyDescent="0.3">
      <c r="A79" s="313" t="s">
        <v>143</v>
      </c>
      <c r="B79" s="313" t="s">
        <v>146</v>
      </c>
      <c r="C79" s="313">
        <v>78</v>
      </c>
      <c r="D79" s="311">
        <v>122</v>
      </c>
      <c r="E79" s="312"/>
      <c r="F79" s="313" t="s">
        <v>322</v>
      </c>
      <c r="G79" s="305" t="s">
        <v>2111</v>
      </c>
      <c r="H79" s="318" t="s">
        <v>31</v>
      </c>
      <c r="I79" s="314" t="s">
        <v>80</v>
      </c>
      <c r="J79" s="455"/>
      <c r="BX79" s="331">
        <v>78</v>
      </c>
    </row>
    <row r="80" spans="1:76" ht="43.2" hidden="1" x14ac:dyDescent="0.3">
      <c r="A80" s="313" t="s">
        <v>143</v>
      </c>
      <c r="B80" s="313" t="s">
        <v>146</v>
      </c>
      <c r="C80" s="313">
        <v>79</v>
      </c>
      <c r="D80" s="311">
        <v>123</v>
      </c>
      <c r="E80" s="312"/>
      <c r="F80" s="313" t="s">
        <v>157</v>
      </c>
      <c r="G80" s="305" t="s">
        <v>2111</v>
      </c>
      <c r="H80" s="318" t="s">
        <v>31</v>
      </c>
      <c r="I80" s="314" t="s">
        <v>32</v>
      </c>
      <c r="J80" s="455"/>
      <c r="BX80" s="331">
        <v>79</v>
      </c>
    </row>
    <row r="81" spans="1:76" ht="28.8" hidden="1" x14ac:dyDescent="0.3">
      <c r="A81" s="313" t="s">
        <v>158</v>
      </c>
      <c r="B81" s="313" t="s">
        <v>159</v>
      </c>
      <c r="C81" s="313">
        <v>80</v>
      </c>
      <c r="D81" s="311">
        <v>126</v>
      </c>
      <c r="E81" s="312"/>
      <c r="F81" s="313" t="s">
        <v>323</v>
      </c>
      <c r="G81" s="313" t="s">
        <v>161</v>
      </c>
      <c r="H81" s="317" t="s">
        <v>162</v>
      </c>
      <c r="I81" s="314" t="s">
        <v>162</v>
      </c>
      <c r="J81" s="455"/>
      <c r="BX81" s="331">
        <v>80</v>
      </c>
    </row>
    <row r="82" spans="1:76" ht="28.8" hidden="1" x14ac:dyDescent="0.3">
      <c r="A82" s="313" t="s">
        <v>158</v>
      </c>
      <c r="B82" s="313" t="s">
        <v>159</v>
      </c>
      <c r="C82" s="313">
        <v>81</v>
      </c>
      <c r="D82" s="311">
        <v>130</v>
      </c>
      <c r="E82" s="312"/>
      <c r="F82" s="313" t="s">
        <v>324</v>
      </c>
      <c r="G82" s="313" t="s">
        <v>2112</v>
      </c>
      <c r="H82" s="317" t="s">
        <v>93</v>
      </c>
      <c r="I82" s="314" t="s">
        <v>93</v>
      </c>
      <c r="J82" s="455" t="s">
        <v>325</v>
      </c>
      <c r="BX82" s="331">
        <v>81</v>
      </c>
    </row>
    <row r="83" spans="1:76" ht="28.8" hidden="1" x14ac:dyDescent="0.3">
      <c r="A83" s="313" t="s">
        <v>158</v>
      </c>
      <c r="B83" s="313" t="s">
        <v>159</v>
      </c>
      <c r="C83" s="313">
        <v>82</v>
      </c>
      <c r="D83" s="311"/>
      <c r="E83" s="311">
        <v>13</v>
      </c>
      <c r="F83" s="313" t="s">
        <v>326</v>
      </c>
      <c r="G83" s="313" t="s">
        <v>2112</v>
      </c>
      <c r="H83" s="317" t="s">
        <v>93</v>
      </c>
      <c r="I83" s="314" t="s">
        <v>93</v>
      </c>
      <c r="J83" s="455"/>
      <c r="BX83" s="331">
        <v>82</v>
      </c>
    </row>
    <row r="84" spans="1:76" ht="43.2" hidden="1" x14ac:dyDescent="0.3">
      <c r="A84" s="313" t="s">
        <v>158</v>
      </c>
      <c r="B84" s="313" t="s">
        <v>159</v>
      </c>
      <c r="C84" s="313">
        <v>83</v>
      </c>
      <c r="D84" s="311">
        <v>131</v>
      </c>
      <c r="E84" s="311"/>
      <c r="F84" s="313" t="s">
        <v>327</v>
      </c>
      <c r="G84" s="313" t="s">
        <v>2112</v>
      </c>
      <c r="H84" s="317" t="s">
        <v>93</v>
      </c>
      <c r="I84" s="314" t="s">
        <v>93</v>
      </c>
      <c r="J84" s="455"/>
      <c r="BX84" s="331">
        <v>83</v>
      </c>
    </row>
    <row r="85" spans="1:76" ht="43.2" hidden="1" x14ac:dyDescent="0.3">
      <c r="A85" s="313" t="s">
        <v>158</v>
      </c>
      <c r="B85" s="313" t="s">
        <v>159</v>
      </c>
      <c r="C85" s="313">
        <v>84</v>
      </c>
      <c r="D85" s="311">
        <v>132</v>
      </c>
      <c r="E85" s="311"/>
      <c r="F85" s="313" t="s">
        <v>328</v>
      </c>
      <c r="G85" s="313" t="s">
        <v>167</v>
      </c>
      <c r="H85" s="317" t="s">
        <v>93</v>
      </c>
      <c r="I85" s="314" t="s">
        <v>93</v>
      </c>
      <c r="J85" s="455"/>
      <c r="BX85" s="331">
        <v>84</v>
      </c>
    </row>
    <row r="86" spans="1:76" ht="28.8" hidden="1" x14ac:dyDescent="0.3">
      <c r="A86" s="313" t="s">
        <v>158</v>
      </c>
      <c r="B86" s="313" t="s">
        <v>159</v>
      </c>
      <c r="C86" s="313">
        <v>85</v>
      </c>
      <c r="D86" s="311">
        <v>133</v>
      </c>
      <c r="E86" s="311"/>
      <c r="F86" s="313" t="s">
        <v>329</v>
      </c>
      <c r="G86" s="313" t="s">
        <v>2112</v>
      </c>
      <c r="H86" s="317" t="s">
        <v>93</v>
      </c>
      <c r="I86" s="314" t="s">
        <v>93</v>
      </c>
      <c r="J86" s="455"/>
      <c r="BX86" s="331">
        <v>85</v>
      </c>
    </row>
    <row r="87" spans="1:76" ht="28.8" hidden="1" x14ac:dyDescent="0.3">
      <c r="A87" s="313" t="s">
        <v>158</v>
      </c>
      <c r="B87" s="313" t="s">
        <v>159</v>
      </c>
      <c r="C87" s="313">
        <v>86</v>
      </c>
      <c r="D87" s="311">
        <v>134</v>
      </c>
      <c r="E87" s="312"/>
      <c r="F87" s="313" t="s">
        <v>330</v>
      </c>
      <c r="G87" s="313" t="s">
        <v>2112</v>
      </c>
      <c r="H87" s="317" t="s">
        <v>93</v>
      </c>
      <c r="I87" s="314" t="s">
        <v>93</v>
      </c>
      <c r="J87" s="455"/>
      <c r="BX87" s="331">
        <v>86</v>
      </c>
    </row>
    <row r="88" spans="1:76" ht="28.8" hidden="1" x14ac:dyDescent="0.3">
      <c r="A88" s="313" t="s">
        <v>158</v>
      </c>
      <c r="B88" s="313" t="s">
        <v>159</v>
      </c>
      <c r="C88" s="313">
        <v>87</v>
      </c>
      <c r="D88" s="311">
        <v>135</v>
      </c>
      <c r="E88" s="312"/>
      <c r="F88" s="313" t="s">
        <v>331</v>
      </c>
      <c r="G88" s="313" t="s">
        <v>171</v>
      </c>
      <c r="H88" s="317" t="s">
        <v>172</v>
      </c>
      <c r="I88" s="314" t="s">
        <v>173</v>
      </c>
      <c r="J88" s="455"/>
      <c r="BX88" s="331">
        <v>87</v>
      </c>
    </row>
    <row r="89" spans="1:76" ht="28.8" hidden="1" x14ac:dyDescent="0.3">
      <c r="A89" s="313" t="s">
        <v>158</v>
      </c>
      <c r="B89" s="313" t="s">
        <v>159</v>
      </c>
      <c r="C89" s="313">
        <v>88</v>
      </c>
      <c r="D89" s="312"/>
      <c r="E89" s="311">
        <v>15</v>
      </c>
      <c r="F89" s="313" t="s">
        <v>332</v>
      </c>
      <c r="G89" s="313" t="s">
        <v>175</v>
      </c>
      <c r="H89" s="313" t="s">
        <v>176</v>
      </c>
      <c r="I89" s="314" t="s">
        <v>176</v>
      </c>
      <c r="J89" s="455"/>
      <c r="BX89" s="331">
        <v>88</v>
      </c>
    </row>
    <row r="90" spans="1:76" ht="28.8" hidden="1" x14ac:dyDescent="0.3">
      <c r="A90" s="313" t="s">
        <v>158</v>
      </c>
      <c r="B90" s="313" t="s">
        <v>159</v>
      </c>
      <c r="C90" s="313">
        <v>89</v>
      </c>
      <c r="D90" s="311">
        <v>136</v>
      </c>
      <c r="E90" s="312"/>
      <c r="F90" s="313" t="s">
        <v>333</v>
      </c>
      <c r="G90" s="305" t="s">
        <v>2111</v>
      </c>
      <c r="H90" s="317" t="s">
        <v>31</v>
      </c>
      <c r="I90" s="314" t="s">
        <v>32</v>
      </c>
      <c r="J90" s="455"/>
      <c r="BX90" s="331">
        <v>89</v>
      </c>
    </row>
    <row r="91" spans="1:76" ht="43.2" hidden="1" x14ac:dyDescent="0.3">
      <c r="A91" s="313" t="s">
        <v>158</v>
      </c>
      <c r="B91" s="313" t="s">
        <v>159</v>
      </c>
      <c r="C91" s="313">
        <v>90</v>
      </c>
      <c r="D91" s="311">
        <v>137</v>
      </c>
      <c r="E91" s="312"/>
      <c r="F91" s="313" t="s">
        <v>334</v>
      </c>
      <c r="G91" s="313" t="s">
        <v>179</v>
      </c>
      <c r="H91" s="313" t="s">
        <v>180</v>
      </c>
      <c r="I91" s="314" t="s">
        <v>180</v>
      </c>
      <c r="J91" s="455"/>
      <c r="BX91" s="331">
        <v>90</v>
      </c>
    </row>
    <row r="92" spans="1:76" ht="28.8" hidden="1" x14ac:dyDescent="0.3">
      <c r="A92" s="313" t="s">
        <v>158</v>
      </c>
      <c r="B92" s="313" t="s">
        <v>159</v>
      </c>
      <c r="C92" s="313">
        <v>91</v>
      </c>
      <c r="D92" s="311">
        <v>138</v>
      </c>
      <c r="E92" s="312"/>
      <c r="F92" s="313" t="s">
        <v>335</v>
      </c>
      <c r="G92" s="305" t="s">
        <v>2111</v>
      </c>
      <c r="H92" s="317" t="s">
        <v>31</v>
      </c>
      <c r="I92" s="314" t="s">
        <v>182</v>
      </c>
      <c r="J92" s="455"/>
      <c r="BX92" s="331">
        <v>91</v>
      </c>
    </row>
    <row r="93" spans="1:76" ht="28.8" hidden="1" x14ac:dyDescent="0.3">
      <c r="A93" s="313" t="s">
        <v>158</v>
      </c>
      <c r="B93" s="313" t="s">
        <v>159</v>
      </c>
      <c r="C93" s="313">
        <v>92</v>
      </c>
      <c r="D93" s="311">
        <v>139</v>
      </c>
      <c r="E93" s="312"/>
      <c r="F93" s="313" t="s">
        <v>183</v>
      </c>
      <c r="G93" s="305" t="s">
        <v>2110</v>
      </c>
      <c r="H93" s="317" t="s">
        <v>185</v>
      </c>
      <c r="I93" s="314" t="s">
        <v>186</v>
      </c>
      <c r="J93" s="455"/>
      <c r="BX93" s="331">
        <v>92</v>
      </c>
    </row>
    <row r="94" spans="1:76" ht="43.2" hidden="1" x14ac:dyDescent="0.3">
      <c r="A94" s="313" t="s">
        <v>187</v>
      </c>
      <c r="B94" s="313" t="s">
        <v>188</v>
      </c>
      <c r="C94" s="313">
        <v>93</v>
      </c>
      <c r="D94" s="311">
        <v>144</v>
      </c>
      <c r="E94" s="312"/>
      <c r="F94" s="313" t="s">
        <v>189</v>
      </c>
      <c r="G94" s="313" t="s">
        <v>190</v>
      </c>
      <c r="H94" s="317" t="s">
        <v>191</v>
      </c>
      <c r="I94" s="314" t="s">
        <v>191</v>
      </c>
      <c r="J94" s="455"/>
      <c r="BX94" s="331">
        <v>93</v>
      </c>
    </row>
    <row r="95" spans="1:76" ht="43.2" hidden="1" x14ac:dyDescent="0.3">
      <c r="A95" s="313" t="s">
        <v>187</v>
      </c>
      <c r="B95" s="313" t="s">
        <v>188</v>
      </c>
      <c r="C95" s="313">
        <v>94</v>
      </c>
      <c r="D95" s="311">
        <v>145</v>
      </c>
      <c r="E95" s="312"/>
      <c r="F95" s="313" t="s">
        <v>192</v>
      </c>
      <c r="G95" s="313" t="s">
        <v>190</v>
      </c>
      <c r="H95" s="317" t="s">
        <v>191</v>
      </c>
      <c r="I95" s="314" t="s">
        <v>191</v>
      </c>
      <c r="J95" s="455"/>
      <c r="BX95" s="331">
        <v>94</v>
      </c>
    </row>
    <row r="96" spans="1:76" ht="43.2" hidden="1" x14ac:dyDescent="0.3">
      <c r="A96" s="313" t="s">
        <v>187</v>
      </c>
      <c r="B96" s="313" t="s">
        <v>188</v>
      </c>
      <c r="C96" s="313">
        <v>95</v>
      </c>
      <c r="D96" s="311">
        <v>147</v>
      </c>
      <c r="E96" s="312"/>
      <c r="F96" s="313" t="s">
        <v>193</v>
      </c>
      <c r="G96" s="313" t="s">
        <v>190</v>
      </c>
      <c r="H96" s="317" t="s">
        <v>191</v>
      </c>
      <c r="I96" s="314" t="s">
        <v>191</v>
      </c>
      <c r="J96" s="455"/>
      <c r="BX96" s="331">
        <v>95</v>
      </c>
    </row>
    <row r="97" spans="1:76" ht="43.2" hidden="1" x14ac:dyDescent="0.3">
      <c r="A97" s="313" t="s">
        <v>187</v>
      </c>
      <c r="B97" s="313" t="s">
        <v>188</v>
      </c>
      <c r="C97" s="313">
        <v>96</v>
      </c>
      <c r="D97" s="311">
        <v>148</v>
      </c>
      <c r="E97" s="312"/>
      <c r="F97" s="313" t="s">
        <v>194</v>
      </c>
      <c r="G97" s="313" t="s">
        <v>190</v>
      </c>
      <c r="H97" s="317" t="s">
        <v>191</v>
      </c>
      <c r="I97" s="314" t="s">
        <v>191</v>
      </c>
      <c r="J97" s="455"/>
      <c r="BX97" s="331">
        <v>96</v>
      </c>
    </row>
    <row r="98" spans="1:76" ht="43.2" hidden="1" x14ac:dyDescent="0.3">
      <c r="A98" s="313" t="s">
        <v>187</v>
      </c>
      <c r="B98" s="313" t="s">
        <v>188</v>
      </c>
      <c r="C98" s="313">
        <v>97</v>
      </c>
      <c r="D98" s="311">
        <v>149</v>
      </c>
      <c r="E98" s="312"/>
      <c r="F98" s="313" t="s">
        <v>195</v>
      </c>
      <c r="G98" s="313" t="s">
        <v>190</v>
      </c>
      <c r="H98" s="317" t="s">
        <v>191</v>
      </c>
      <c r="I98" s="314" t="s">
        <v>191</v>
      </c>
      <c r="J98" s="455"/>
      <c r="BX98" s="331">
        <v>97</v>
      </c>
    </row>
    <row r="99" spans="1:76" ht="43.2" hidden="1" x14ac:dyDescent="0.3">
      <c r="A99" s="313" t="s">
        <v>187</v>
      </c>
      <c r="B99" s="313" t="s">
        <v>188</v>
      </c>
      <c r="C99" s="313">
        <v>98</v>
      </c>
      <c r="D99" s="311">
        <v>150</v>
      </c>
      <c r="E99" s="312"/>
      <c r="F99" s="313" t="s">
        <v>196</v>
      </c>
      <c r="G99" s="313" t="s">
        <v>190</v>
      </c>
      <c r="H99" s="317" t="s">
        <v>191</v>
      </c>
      <c r="I99" s="314" t="s">
        <v>191</v>
      </c>
      <c r="J99" s="455"/>
      <c r="BX99" s="331">
        <v>98</v>
      </c>
    </row>
    <row r="100" spans="1:76" ht="43.2" hidden="1" x14ac:dyDescent="0.3">
      <c r="A100" s="313" t="s">
        <v>187</v>
      </c>
      <c r="B100" s="313" t="s">
        <v>188</v>
      </c>
      <c r="C100" s="313">
        <v>99</v>
      </c>
      <c r="D100" s="311">
        <v>151</v>
      </c>
      <c r="E100" s="312"/>
      <c r="F100" s="313" t="s">
        <v>197</v>
      </c>
      <c r="G100" s="313" t="s">
        <v>190</v>
      </c>
      <c r="H100" s="317" t="s">
        <v>191</v>
      </c>
      <c r="I100" s="314" t="s">
        <v>191</v>
      </c>
      <c r="J100" s="455"/>
      <c r="BX100" s="331">
        <v>99</v>
      </c>
    </row>
    <row r="101" spans="1:76" ht="43.2" hidden="1" x14ac:dyDescent="0.3">
      <c r="A101" s="313" t="s">
        <v>187</v>
      </c>
      <c r="B101" s="313" t="s">
        <v>188</v>
      </c>
      <c r="C101" s="313">
        <v>100</v>
      </c>
      <c r="D101" s="311"/>
      <c r="E101" s="311">
        <v>16</v>
      </c>
      <c r="F101" s="313" t="s">
        <v>198</v>
      </c>
      <c r="G101" s="313" t="s">
        <v>130</v>
      </c>
      <c r="H101" s="317" t="s">
        <v>191</v>
      </c>
      <c r="I101" s="314" t="s">
        <v>191</v>
      </c>
      <c r="J101" s="455"/>
      <c r="BX101" s="331">
        <v>100</v>
      </c>
    </row>
    <row r="102" spans="1:76" ht="43.2" hidden="1"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hidden="1"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hidden="1"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hidden="1"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hidden="1"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hidden="1"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hidden="1"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hidden="1"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hidden="1"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hidden="1"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hidden="1"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hidden="1"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hidden="1"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hidden="1"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hidden="1"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hidden="1"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hidden="1"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hidden="1"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hidden="1"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hidden="1" x14ac:dyDescent="0.3">
      <c r="A121" s="313" t="s">
        <v>226</v>
      </c>
      <c r="B121" s="314" t="s">
        <v>227</v>
      </c>
      <c r="C121" s="313">
        <v>120</v>
      </c>
      <c r="D121" s="311">
        <v>179</v>
      </c>
      <c r="E121" s="312"/>
      <c r="F121" s="313" t="s">
        <v>228</v>
      </c>
      <c r="G121" s="313" t="s">
        <v>24</v>
      </c>
      <c r="H121" s="316" t="s">
        <v>48</v>
      </c>
      <c r="I121" s="314" t="s">
        <v>48</v>
      </c>
      <c r="J121" s="455"/>
      <c r="BX121" s="331">
        <v>120</v>
      </c>
    </row>
    <row r="122" spans="1:76" ht="28.8" hidden="1" x14ac:dyDescent="0.3">
      <c r="A122" s="313" t="s">
        <v>226</v>
      </c>
      <c r="B122" s="314" t="s">
        <v>227</v>
      </c>
      <c r="C122" s="313">
        <v>121</v>
      </c>
      <c r="D122" s="312"/>
      <c r="E122" s="311">
        <v>17</v>
      </c>
      <c r="F122" s="313" t="s">
        <v>229</v>
      </c>
      <c r="G122" s="313" t="s">
        <v>24</v>
      </c>
      <c r="H122" s="317" t="s">
        <v>25</v>
      </c>
      <c r="I122" s="516" t="s">
        <v>26</v>
      </c>
      <c r="J122" s="455"/>
      <c r="BX122" s="331">
        <v>121</v>
      </c>
    </row>
    <row r="123" spans="1:76" hidden="1" x14ac:dyDescent="0.3">
      <c r="A123" s="313" t="s">
        <v>226</v>
      </c>
      <c r="B123" s="314" t="s">
        <v>230</v>
      </c>
      <c r="C123" s="313">
        <v>122</v>
      </c>
      <c r="D123" s="311">
        <v>181</v>
      </c>
      <c r="E123" s="312"/>
      <c r="F123" s="313" t="s">
        <v>231</v>
      </c>
      <c r="G123" s="313" t="s">
        <v>24</v>
      </c>
      <c r="H123" s="317" t="s">
        <v>25</v>
      </c>
      <c r="I123" s="516" t="s">
        <v>26</v>
      </c>
      <c r="J123" s="455"/>
      <c r="BX123" s="331">
        <v>122</v>
      </c>
    </row>
    <row r="124" spans="1:76" hidden="1" x14ac:dyDescent="0.3">
      <c r="A124" s="313" t="s">
        <v>226</v>
      </c>
      <c r="B124" s="314" t="s">
        <v>230</v>
      </c>
      <c r="C124" s="313">
        <v>123</v>
      </c>
      <c r="D124" s="312"/>
      <c r="E124" s="311">
        <v>18</v>
      </c>
      <c r="F124" s="313" t="s">
        <v>231</v>
      </c>
      <c r="G124" s="313" t="s">
        <v>24</v>
      </c>
      <c r="H124" s="317" t="s">
        <v>25</v>
      </c>
      <c r="I124" s="516" t="s">
        <v>26</v>
      </c>
      <c r="J124" s="455"/>
      <c r="BX124" s="331">
        <v>123</v>
      </c>
    </row>
    <row r="125" spans="1:76" ht="28.8" hidden="1" x14ac:dyDescent="0.3">
      <c r="A125" s="313" t="s">
        <v>226</v>
      </c>
      <c r="B125" s="314" t="s">
        <v>230</v>
      </c>
      <c r="C125" s="313">
        <v>124</v>
      </c>
      <c r="D125" s="311">
        <v>182</v>
      </c>
      <c r="E125" s="312"/>
      <c r="F125" s="313" t="s">
        <v>232</v>
      </c>
      <c r="G125" s="313" t="s">
        <v>24</v>
      </c>
      <c r="H125" s="317" t="s">
        <v>25</v>
      </c>
      <c r="I125" s="516" t="s">
        <v>26</v>
      </c>
      <c r="J125" s="455"/>
      <c r="BX125" s="331">
        <v>124</v>
      </c>
    </row>
    <row r="126" spans="1:76" hidden="1" x14ac:dyDescent="0.3">
      <c r="A126" s="313" t="s">
        <v>226</v>
      </c>
      <c r="B126" s="314" t="s">
        <v>230</v>
      </c>
      <c r="C126" s="313">
        <v>125</v>
      </c>
      <c r="D126" s="311">
        <v>183</v>
      </c>
      <c r="E126" s="311"/>
      <c r="F126" s="313" t="s">
        <v>233</v>
      </c>
      <c r="G126" s="313" t="s">
        <v>24</v>
      </c>
      <c r="H126" s="317" t="s">
        <v>25</v>
      </c>
      <c r="I126" s="516" t="s">
        <v>26</v>
      </c>
      <c r="J126" s="455"/>
      <c r="BX126" s="331">
        <v>125</v>
      </c>
    </row>
    <row r="127" spans="1:76" hidden="1" x14ac:dyDescent="0.3">
      <c r="A127" s="313" t="s">
        <v>226</v>
      </c>
      <c r="B127" s="314" t="s">
        <v>230</v>
      </c>
      <c r="C127" s="313">
        <v>126</v>
      </c>
      <c r="D127" s="311"/>
      <c r="E127" s="311">
        <v>19</v>
      </c>
      <c r="F127" s="313" t="s">
        <v>234</v>
      </c>
      <c r="G127" s="313" t="s">
        <v>24</v>
      </c>
      <c r="H127" s="317" t="s">
        <v>25</v>
      </c>
      <c r="I127" s="516" t="s">
        <v>26</v>
      </c>
      <c r="J127" s="455"/>
      <c r="BX127" s="331">
        <v>126</v>
      </c>
    </row>
    <row r="128" spans="1:76" ht="28.8" hidden="1" x14ac:dyDescent="0.3">
      <c r="A128" s="313" t="s">
        <v>226</v>
      </c>
      <c r="B128" s="314" t="s">
        <v>230</v>
      </c>
      <c r="C128" s="313">
        <v>127</v>
      </c>
      <c r="D128" s="311">
        <v>184</v>
      </c>
      <c r="E128" s="312"/>
      <c r="F128" s="313" t="s">
        <v>235</v>
      </c>
      <c r="G128" s="313" t="s">
        <v>24</v>
      </c>
      <c r="H128" s="317" t="s">
        <v>25</v>
      </c>
      <c r="I128" s="516" t="s">
        <v>26</v>
      </c>
      <c r="J128" s="455"/>
      <c r="BX128" s="331">
        <v>127</v>
      </c>
    </row>
    <row r="129" spans="1:76" hidden="1" x14ac:dyDescent="0.3">
      <c r="A129" s="313" t="s">
        <v>226</v>
      </c>
      <c r="B129" s="314" t="s">
        <v>230</v>
      </c>
      <c r="C129" s="313">
        <v>128</v>
      </c>
      <c r="D129" s="311">
        <v>185</v>
      </c>
      <c r="E129" s="312"/>
      <c r="F129" s="313" t="s">
        <v>236</v>
      </c>
      <c r="G129" s="313" t="s">
        <v>24</v>
      </c>
      <c r="H129" s="317" t="s">
        <v>25</v>
      </c>
      <c r="I129" s="516" t="s">
        <v>26</v>
      </c>
      <c r="J129" s="455"/>
      <c r="BX129" s="331">
        <v>128</v>
      </c>
    </row>
    <row r="130" spans="1:76" hidden="1" x14ac:dyDescent="0.3">
      <c r="A130" s="313" t="s">
        <v>226</v>
      </c>
      <c r="B130" s="314" t="s">
        <v>230</v>
      </c>
      <c r="C130" s="313">
        <v>129</v>
      </c>
      <c r="D130" s="311">
        <v>186</v>
      </c>
      <c r="E130" s="312"/>
      <c r="F130" s="313" t="s">
        <v>27</v>
      </c>
      <c r="G130" s="313" t="s">
        <v>24</v>
      </c>
      <c r="H130" s="317" t="s">
        <v>25</v>
      </c>
      <c r="I130" s="516" t="s">
        <v>26</v>
      </c>
      <c r="J130" s="455"/>
      <c r="BX130" s="331">
        <v>129</v>
      </c>
    </row>
    <row r="131" spans="1:76" ht="28.8" hidden="1" x14ac:dyDescent="0.3">
      <c r="A131" s="313" t="s">
        <v>226</v>
      </c>
      <c r="B131" s="314" t="s">
        <v>230</v>
      </c>
      <c r="C131" s="313">
        <v>130</v>
      </c>
      <c r="D131" s="311">
        <v>187</v>
      </c>
      <c r="E131" s="312"/>
      <c r="F131" s="313" t="s">
        <v>237</v>
      </c>
      <c r="G131" s="313" t="s">
        <v>24</v>
      </c>
      <c r="H131" s="317" t="s">
        <v>25</v>
      </c>
      <c r="I131" s="516" t="s">
        <v>26</v>
      </c>
      <c r="J131" s="455"/>
      <c r="BX131" s="331">
        <v>130</v>
      </c>
    </row>
    <row r="132" spans="1:76" ht="28.8" hidden="1" x14ac:dyDescent="0.3">
      <c r="A132" s="313" t="s">
        <v>226</v>
      </c>
      <c r="B132" s="314" t="s">
        <v>230</v>
      </c>
      <c r="C132" s="313">
        <v>131</v>
      </c>
      <c r="D132" s="311">
        <v>188</v>
      </c>
      <c r="E132" s="312"/>
      <c r="F132" s="313" t="s">
        <v>337</v>
      </c>
      <c r="G132" s="313" t="s">
        <v>24</v>
      </c>
      <c r="H132" s="317" t="s">
        <v>48</v>
      </c>
      <c r="I132" s="314" t="s">
        <v>239</v>
      </c>
      <c r="J132" s="455"/>
      <c r="BX132" s="331">
        <v>131</v>
      </c>
    </row>
    <row r="133" spans="1:76" ht="28.8" hidden="1" x14ac:dyDescent="0.3">
      <c r="A133" s="313" t="s">
        <v>226</v>
      </c>
      <c r="B133" s="314" t="s">
        <v>230</v>
      </c>
      <c r="C133" s="313">
        <v>132</v>
      </c>
      <c r="D133" s="311">
        <v>189</v>
      </c>
      <c r="E133" s="312"/>
      <c r="F133" s="313" t="s">
        <v>240</v>
      </c>
      <c r="G133" s="313" t="s">
        <v>24</v>
      </c>
      <c r="H133" s="317" t="s">
        <v>48</v>
      </c>
      <c r="I133" s="314" t="s">
        <v>239</v>
      </c>
      <c r="J133" s="455"/>
      <c r="BX133" s="331">
        <v>132</v>
      </c>
    </row>
    <row r="134" spans="1:76" hidden="1" x14ac:dyDescent="0.3">
      <c r="A134" s="313" t="s">
        <v>226</v>
      </c>
      <c r="B134" s="314" t="s">
        <v>230</v>
      </c>
      <c r="C134" s="313">
        <v>133</v>
      </c>
      <c r="D134" s="311">
        <v>190</v>
      </c>
      <c r="E134" s="312"/>
      <c r="F134" s="313" t="s">
        <v>241</v>
      </c>
      <c r="G134" s="313" t="s">
        <v>24</v>
      </c>
      <c r="H134" s="317" t="s">
        <v>25</v>
      </c>
      <c r="I134" s="314" t="s">
        <v>26</v>
      </c>
      <c r="J134" s="455"/>
      <c r="BX134" s="331">
        <v>133</v>
      </c>
    </row>
    <row r="135" spans="1:76" ht="28.8" hidden="1" x14ac:dyDescent="0.3">
      <c r="A135" s="313" t="s">
        <v>226</v>
      </c>
      <c r="B135" s="314" t="s">
        <v>230</v>
      </c>
      <c r="C135" s="313">
        <v>134</v>
      </c>
      <c r="D135" s="311">
        <v>191</v>
      </c>
      <c r="E135" s="312"/>
      <c r="F135" s="313" t="s">
        <v>242</v>
      </c>
      <c r="G135" s="313" t="s">
        <v>24</v>
      </c>
      <c r="H135" s="317" t="s">
        <v>25</v>
      </c>
      <c r="I135" s="314" t="s">
        <v>26</v>
      </c>
      <c r="J135" s="455"/>
      <c r="BX135" s="331">
        <v>134</v>
      </c>
    </row>
    <row r="136" spans="1:76" ht="28.8" hidden="1" x14ac:dyDescent="0.3">
      <c r="A136" s="313" t="s">
        <v>226</v>
      </c>
      <c r="B136" s="314" t="s">
        <v>243</v>
      </c>
      <c r="C136" s="313">
        <v>135</v>
      </c>
      <c r="D136" s="311">
        <v>193</v>
      </c>
      <c r="E136" s="312"/>
      <c r="F136" s="313" t="s">
        <v>244</v>
      </c>
      <c r="G136" s="313" t="s">
        <v>245</v>
      </c>
      <c r="H136" s="317" t="s">
        <v>25</v>
      </c>
      <c r="I136" s="516" t="s">
        <v>26</v>
      </c>
      <c r="J136" s="455"/>
      <c r="BX136" s="331">
        <v>135</v>
      </c>
    </row>
    <row r="137" spans="1:76" ht="28.8" hidden="1" x14ac:dyDescent="0.3">
      <c r="A137" s="313" t="s">
        <v>226</v>
      </c>
      <c r="B137" s="314" t="s">
        <v>243</v>
      </c>
      <c r="C137" s="313">
        <v>136</v>
      </c>
      <c r="D137" s="311">
        <v>194</v>
      </c>
      <c r="E137" s="312"/>
      <c r="F137" s="313" t="s">
        <v>246</v>
      </c>
      <c r="G137" s="313" t="s">
        <v>245</v>
      </c>
      <c r="H137" s="317" t="s">
        <v>25</v>
      </c>
      <c r="I137" s="516" t="s">
        <v>26</v>
      </c>
      <c r="J137" s="455"/>
      <c r="BX137" s="331">
        <v>136</v>
      </c>
    </row>
    <row r="138" spans="1:76" ht="28.8" hidden="1" x14ac:dyDescent="0.3">
      <c r="A138" s="313" t="s">
        <v>226</v>
      </c>
      <c r="B138" s="314" t="s">
        <v>243</v>
      </c>
      <c r="C138" s="313">
        <v>137</v>
      </c>
      <c r="D138" s="312"/>
      <c r="E138" s="311">
        <v>20</v>
      </c>
      <c r="F138" s="313" t="s">
        <v>247</v>
      </c>
      <c r="G138" s="313" t="s">
        <v>245</v>
      </c>
      <c r="H138" s="317" t="s">
        <v>25</v>
      </c>
      <c r="I138" s="314" t="s">
        <v>26</v>
      </c>
      <c r="J138" s="455"/>
      <c r="BX138" s="331">
        <v>137</v>
      </c>
    </row>
    <row r="139" spans="1:76" ht="28.8" hidden="1" x14ac:dyDescent="0.3">
      <c r="A139" s="313" t="s">
        <v>226</v>
      </c>
      <c r="B139" s="314" t="s">
        <v>248</v>
      </c>
      <c r="C139" s="313">
        <v>138</v>
      </c>
      <c r="D139" s="311">
        <v>196</v>
      </c>
      <c r="E139" s="312"/>
      <c r="F139" s="313" t="s">
        <v>338</v>
      </c>
      <c r="G139" s="313" t="s">
        <v>245</v>
      </c>
      <c r="H139" s="317" t="s">
        <v>48</v>
      </c>
      <c r="I139" s="314" t="s">
        <v>48</v>
      </c>
      <c r="J139" s="455"/>
      <c r="BX139" s="331">
        <v>138</v>
      </c>
    </row>
    <row r="140" spans="1:76" ht="28.8" hidden="1" x14ac:dyDescent="0.3">
      <c r="A140" s="313" t="s">
        <v>226</v>
      </c>
      <c r="B140" s="314" t="s">
        <v>248</v>
      </c>
      <c r="C140" s="313">
        <v>139</v>
      </c>
      <c r="D140" s="311"/>
      <c r="E140" s="311">
        <v>21</v>
      </c>
      <c r="F140" s="313" t="s">
        <v>250</v>
      </c>
      <c r="G140" s="313" t="s">
        <v>245</v>
      </c>
      <c r="H140" s="317" t="s">
        <v>48</v>
      </c>
      <c r="I140" s="314" t="s">
        <v>48</v>
      </c>
      <c r="J140" s="455"/>
      <c r="BX140" s="331">
        <v>139</v>
      </c>
    </row>
    <row r="141" spans="1:76" ht="28.8" hidden="1" x14ac:dyDescent="0.3">
      <c r="A141" s="313" t="s">
        <v>226</v>
      </c>
      <c r="B141" s="314" t="s">
        <v>248</v>
      </c>
      <c r="C141" s="313">
        <v>140</v>
      </c>
      <c r="D141" s="311">
        <v>197</v>
      </c>
      <c r="E141" s="312"/>
      <c r="F141" s="313" t="s">
        <v>251</v>
      </c>
      <c r="G141" s="313" t="s">
        <v>245</v>
      </c>
      <c r="H141" s="317" t="s">
        <v>48</v>
      </c>
      <c r="I141" s="314" t="s">
        <v>252</v>
      </c>
      <c r="J141" s="455"/>
      <c r="BX141" s="331">
        <v>140</v>
      </c>
    </row>
    <row r="142" spans="1:76" ht="28.8" hidden="1" x14ac:dyDescent="0.3">
      <c r="A142" s="313" t="s">
        <v>226</v>
      </c>
      <c r="B142" s="314" t="s">
        <v>248</v>
      </c>
      <c r="C142" s="313">
        <v>141</v>
      </c>
      <c r="D142" s="311">
        <v>198</v>
      </c>
      <c r="E142" s="312"/>
      <c r="F142" s="536" t="s">
        <v>253</v>
      </c>
      <c r="G142" s="536" t="s">
        <v>245</v>
      </c>
      <c r="H142" s="536" t="s">
        <v>48</v>
      </c>
      <c r="I142" s="536" t="s">
        <v>48</v>
      </c>
      <c r="J142" s="455"/>
      <c r="BX142" s="331">
        <v>141</v>
      </c>
    </row>
    <row r="143" spans="1:76" ht="28.8" hidden="1" x14ac:dyDescent="0.3">
      <c r="A143" s="313" t="s">
        <v>226</v>
      </c>
      <c r="B143" s="314" t="s">
        <v>248</v>
      </c>
      <c r="C143" s="313">
        <v>142</v>
      </c>
      <c r="D143" s="311">
        <v>199</v>
      </c>
      <c r="E143" s="311"/>
      <c r="F143" s="313" t="s">
        <v>339</v>
      </c>
      <c r="G143" s="313" t="s">
        <v>20</v>
      </c>
      <c r="H143" s="316" t="s">
        <v>136</v>
      </c>
      <c r="I143" s="314" t="s">
        <v>186</v>
      </c>
      <c r="J143" s="455"/>
      <c r="BX143" s="331">
        <v>142</v>
      </c>
    </row>
    <row r="144" spans="1:76" ht="57.6" hidden="1"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hidden="1" x14ac:dyDescent="0.3">
      <c r="A145" s="313" t="s">
        <v>258</v>
      </c>
      <c r="B145" s="314" t="s">
        <v>259</v>
      </c>
      <c r="C145" s="313">
        <v>144</v>
      </c>
      <c r="D145" s="311">
        <v>204</v>
      </c>
      <c r="E145" s="312"/>
      <c r="F145" s="313" t="s">
        <v>342</v>
      </c>
      <c r="G145" s="313" t="s">
        <v>20</v>
      </c>
      <c r="H145" s="317" t="s">
        <v>21</v>
      </c>
      <c r="I145" s="314" t="s">
        <v>22</v>
      </c>
      <c r="J145" s="455"/>
      <c r="BX145" s="331">
        <v>144</v>
      </c>
    </row>
    <row r="146" spans="1:76" ht="28.8" hidden="1"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hidden="1"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hidden="1"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hidden="1"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hidden="1"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hidden="1"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hidden="1" x14ac:dyDescent="0.3">
      <c r="A152" s="313" t="s">
        <v>258</v>
      </c>
      <c r="B152" s="314" t="s">
        <v>269</v>
      </c>
      <c r="C152" s="313">
        <v>151</v>
      </c>
      <c r="D152" s="311">
        <v>214</v>
      </c>
      <c r="E152" s="312"/>
      <c r="F152" s="313" t="s">
        <v>344</v>
      </c>
      <c r="G152" s="313" t="s">
        <v>20</v>
      </c>
      <c r="H152" s="317" t="s">
        <v>21</v>
      </c>
      <c r="I152" s="314" t="s">
        <v>22</v>
      </c>
      <c r="J152" s="455"/>
      <c r="BX152" s="331">
        <v>151</v>
      </c>
    </row>
    <row r="153" spans="1:76" ht="28.8" hidden="1" x14ac:dyDescent="0.3">
      <c r="A153" s="313" t="s">
        <v>258</v>
      </c>
      <c r="B153" s="314" t="s">
        <v>269</v>
      </c>
      <c r="C153" s="313">
        <v>152</v>
      </c>
      <c r="D153" s="311">
        <v>215</v>
      </c>
      <c r="E153" s="312"/>
      <c r="F153" s="313" t="s">
        <v>345</v>
      </c>
      <c r="G153" s="313" t="s">
        <v>20</v>
      </c>
      <c r="H153" s="317" t="s">
        <v>21</v>
      </c>
      <c r="I153" s="314" t="s">
        <v>22</v>
      </c>
      <c r="J153" s="455"/>
      <c r="BX153" s="331">
        <v>152</v>
      </c>
    </row>
    <row r="154" spans="1:76" ht="28.8" hidden="1" x14ac:dyDescent="0.3">
      <c r="A154" s="313" t="s">
        <v>258</v>
      </c>
      <c r="B154" s="314" t="s">
        <v>269</v>
      </c>
      <c r="C154" s="313">
        <v>153</v>
      </c>
      <c r="D154" s="311">
        <v>216</v>
      </c>
      <c r="E154" s="312"/>
      <c r="F154" s="313" t="s">
        <v>346</v>
      </c>
      <c r="G154" s="313" t="s">
        <v>20</v>
      </c>
      <c r="H154" s="317" t="s">
        <v>21</v>
      </c>
      <c r="I154" s="314" t="s">
        <v>22</v>
      </c>
      <c r="J154" s="455"/>
      <c r="BX154" s="331">
        <v>153</v>
      </c>
    </row>
    <row r="155" spans="1:76" ht="43.2" hidden="1" x14ac:dyDescent="0.3">
      <c r="A155" s="313" t="s">
        <v>258</v>
      </c>
      <c r="B155" s="314" t="s">
        <v>269</v>
      </c>
      <c r="C155" s="313">
        <v>154</v>
      </c>
      <c r="D155" s="311">
        <v>217</v>
      </c>
      <c r="E155" s="312"/>
      <c r="F155" s="313" t="s">
        <v>347</v>
      </c>
      <c r="G155" s="305" t="s">
        <v>2109</v>
      </c>
      <c r="H155" s="313" t="s">
        <v>274</v>
      </c>
      <c r="I155" s="314"/>
      <c r="J155" s="455"/>
      <c r="BX155" s="331">
        <v>154</v>
      </c>
    </row>
    <row r="156" spans="1:76" ht="43.2" hidden="1" x14ac:dyDescent="0.3">
      <c r="A156" s="313" t="s">
        <v>258</v>
      </c>
      <c r="B156" s="314" t="s">
        <v>269</v>
      </c>
      <c r="C156" s="313">
        <v>155</v>
      </c>
      <c r="D156" s="311">
        <v>218</v>
      </c>
      <c r="E156" s="312"/>
      <c r="F156" s="313" t="s">
        <v>348</v>
      </c>
      <c r="G156" s="305" t="s">
        <v>2109</v>
      </c>
      <c r="H156" s="313" t="s">
        <v>274</v>
      </c>
      <c r="I156" s="314"/>
      <c r="J156" s="455"/>
      <c r="BX156" s="331">
        <v>155</v>
      </c>
    </row>
    <row r="157" spans="1:76" ht="28.8" hidden="1"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hidden="1"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hidden="1"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hidden="1" x14ac:dyDescent="0.3">
      <c r="A160" s="313" t="s">
        <v>282</v>
      </c>
      <c r="B160" s="313" t="s">
        <v>283</v>
      </c>
      <c r="C160" s="313">
        <v>159</v>
      </c>
      <c r="D160" s="311">
        <v>225</v>
      </c>
      <c r="E160" s="312"/>
      <c r="F160" s="313" t="s">
        <v>288</v>
      </c>
      <c r="G160" s="313" t="s">
        <v>289</v>
      </c>
      <c r="H160" s="313"/>
      <c r="I160" s="314" t="s">
        <v>38</v>
      </c>
      <c r="J160" s="455"/>
      <c r="BX160" s="331">
        <v>159</v>
      </c>
    </row>
    <row r="161" spans="1:76" ht="28.8" hidden="1" x14ac:dyDescent="0.3">
      <c r="A161" s="313" t="s">
        <v>282</v>
      </c>
      <c r="B161" s="313" t="s">
        <v>283</v>
      </c>
      <c r="C161" s="313">
        <v>160</v>
      </c>
      <c r="D161" s="311">
        <v>226</v>
      </c>
      <c r="E161" s="312"/>
      <c r="F161" s="313" t="s">
        <v>290</v>
      </c>
      <c r="G161" s="313" t="s">
        <v>289</v>
      </c>
      <c r="H161" s="313"/>
      <c r="I161" s="314" t="s">
        <v>38</v>
      </c>
      <c r="J161" s="455"/>
      <c r="BX161" s="331">
        <v>160</v>
      </c>
    </row>
    <row r="162" spans="1:76" ht="28.8" hidden="1" x14ac:dyDescent="0.3">
      <c r="A162" s="313" t="s">
        <v>282</v>
      </c>
      <c r="B162" s="313" t="s">
        <v>283</v>
      </c>
      <c r="C162" s="313">
        <v>161</v>
      </c>
      <c r="D162" s="311">
        <v>227</v>
      </c>
      <c r="E162" s="312"/>
      <c r="F162" s="313" t="s">
        <v>291</v>
      </c>
      <c r="G162" s="313" t="s">
        <v>289</v>
      </c>
      <c r="H162" s="313"/>
      <c r="I162" s="314" t="s">
        <v>38</v>
      </c>
      <c r="J162" s="455"/>
      <c r="BX162" s="331">
        <v>161</v>
      </c>
    </row>
    <row r="163" spans="1:76" ht="28.8" hidden="1"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hidden="1"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hidden="1"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hidden="1" x14ac:dyDescent="0.3">
      <c r="A166" s="313" t="s">
        <v>282</v>
      </c>
      <c r="B166" s="313" t="s">
        <v>294</v>
      </c>
      <c r="C166" s="313">
        <v>165</v>
      </c>
      <c r="D166" s="311">
        <v>232</v>
      </c>
      <c r="E166" s="312"/>
      <c r="F166" s="313" t="s">
        <v>350</v>
      </c>
      <c r="G166" s="313" t="s">
        <v>20</v>
      </c>
      <c r="H166" s="317"/>
      <c r="I166" s="314" t="s">
        <v>21</v>
      </c>
      <c r="J166" s="455" t="s">
        <v>325</v>
      </c>
      <c r="BX166" s="331">
        <v>165</v>
      </c>
    </row>
    <row r="167" spans="1:76" ht="28.8" hidden="1"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hidden="1"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F3" sqref="F3:J3"/>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91" t="s">
        <v>359</v>
      </c>
      <c r="B4" s="3" t="s">
        <v>360</v>
      </c>
      <c r="C4" s="3">
        <v>4</v>
      </c>
      <c r="D4" s="3">
        <v>4</v>
      </c>
      <c r="E4" s="3">
        <v>3</v>
      </c>
      <c r="F4" s="3">
        <v>3</v>
      </c>
      <c r="G4" s="3">
        <v>2</v>
      </c>
      <c r="H4" s="3">
        <v>2</v>
      </c>
      <c r="I4" s="3">
        <v>2</v>
      </c>
      <c r="J4" s="3">
        <v>2</v>
      </c>
      <c r="K4" s="3">
        <v>2</v>
      </c>
      <c r="L4" s="3">
        <v>2</v>
      </c>
      <c r="M4" s="329">
        <v>2</v>
      </c>
    </row>
    <row r="5" spans="1:13" ht="15" thickBot="1" x14ac:dyDescent="0.35">
      <c r="A5" s="592"/>
      <c r="B5" s="3" t="s">
        <v>361</v>
      </c>
      <c r="C5" s="3">
        <v>20</v>
      </c>
      <c r="D5" s="3">
        <v>20</v>
      </c>
      <c r="E5" s="3">
        <v>19</v>
      </c>
      <c r="F5" s="3">
        <v>21</v>
      </c>
      <c r="G5" s="3">
        <v>20</v>
      </c>
      <c r="H5" s="3">
        <v>20</v>
      </c>
      <c r="I5" s="3">
        <v>20</v>
      </c>
      <c r="J5" s="3">
        <v>20</v>
      </c>
      <c r="K5" s="3">
        <v>19</v>
      </c>
      <c r="L5" s="3">
        <v>19</v>
      </c>
      <c r="M5" s="329">
        <v>19</v>
      </c>
    </row>
    <row r="6" spans="1:13" ht="15" thickBot="1" x14ac:dyDescent="0.35">
      <c r="A6" s="592"/>
      <c r="B6" s="3" t="s">
        <v>362</v>
      </c>
      <c r="C6" s="3">
        <v>10</v>
      </c>
      <c r="D6" s="3">
        <v>11</v>
      </c>
      <c r="E6" s="3">
        <v>12</v>
      </c>
      <c r="F6" s="3">
        <v>12</v>
      </c>
      <c r="G6" s="3">
        <v>11</v>
      </c>
      <c r="H6" s="3">
        <v>11</v>
      </c>
      <c r="I6" s="3">
        <v>11</v>
      </c>
      <c r="J6" s="3">
        <v>11</v>
      </c>
      <c r="K6" s="3">
        <v>11</v>
      </c>
      <c r="L6" s="3">
        <v>11</v>
      </c>
      <c r="M6" s="329">
        <v>10</v>
      </c>
    </row>
    <row r="7" spans="1:13" ht="15" thickBot="1" x14ac:dyDescent="0.35">
      <c r="A7" s="593"/>
      <c r="B7" s="3" t="s">
        <v>363</v>
      </c>
      <c r="C7" s="3">
        <v>5</v>
      </c>
      <c r="D7" s="3">
        <v>5</v>
      </c>
      <c r="E7" s="3">
        <v>5</v>
      </c>
      <c r="F7" s="3">
        <v>5</v>
      </c>
      <c r="G7" s="3">
        <v>5</v>
      </c>
      <c r="H7" s="3">
        <v>5</v>
      </c>
      <c r="I7" s="3">
        <v>3</v>
      </c>
      <c r="J7" s="3">
        <v>3</v>
      </c>
      <c r="K7" s="3">
        <v>2</v>
      </c>
      <c r="L7" s="3">
        <v>2</v>
      </c>
      <c r="M7" s="329">
        <v>2</v>
      </c>
    </row>
    <row r="8" spans="1:13" ht="15" thickBot="1" x14ac:dyDescent="0.35">
      <c r="A8" s="594" t="s">
        <v>364</v>
      </c>
      <c r="B8" s="3" t="s">
        <v>365</v>
      </c>
      <c r="C8" s="3">
        <v>2</v>
      </c>
      <c r="D8" s="3">
        <v>2</v>
      </c>
      <c r="E8" s="3">
        <v>2</v>
      </c>
      <c r="F8" s="3">
        <v>2</v>
      </c>
      <c r="G8" s="3">
        <v>2</v>
      </c>
      <c r="H8" s="3">
        <v>2</v>
      </c>
      <c r="I8" s="3">
        <v>2</v>
      </c>
      <c r="J8" s="3">
        <v>2</v>
      </c>
      <c r="K8" s="3">
        <v>2</v>
      </c>
      <c r="L8" s="3">
        <v>3</v>
      </c>
      <c r="M8" s="329">
        <v>3</v>
      </c>
    </row>
    <row r="9" spans="1:13" ht="15" thickBot="1" x14ac:dyDescent="0.35">
      <c r="A9" s="595"/>
      <c r="B9" s="3" t="s">
        <v>360</v>
      </c>
      <c r="C9" s="3">
        <v>7</v>
      </c>
      <c r="D9" s="3">
        <v>8</v>
      </c>
      <c r="E9" s="3">
        <v>8</v>
      </c>
      <c r="F9" s="3">
        <v>8</v>
      </c>
      <c r="G9" s="3">
        <v>7</v>
      </c>
      <c r="H9" s="3">
        <v>7</v>
      </c>
      <c r="I9" s="3">
        <v>7</v>
      </c>
      <c r="J9" s="3">
        <v>7</v>
      </c>
      <c r="K9" s="3">
        <v>7</v>
      </c>
      <c r="L9" s="3">
        <v>7</v>
      </c>
      <c r="M9" s="329">
        <v>7</v>
      </c>
    </row>
    <row r="10" spans="1:13" ht="15" thickBot="1" x14ac:dyDescent="0.35">
      <c r="A10" s="595"/>
      <c r="B10" s="3" t="s">
        <v>361</v>
      </c>
      <c r="C10" s="3">
        <v>10</v>
      </c>
      <c r="D10" s="3">
        <v>11</v>
      </c>
      <c r="E10" s="3">
        <v>15</v>
      </c>
      <c r="F10" s="3">
        <v>17</v>
      </c>
      <c r="G10" s="3">
        <v>17</v>
      </c>
      <c r="H10" s="3">
        <v>19</v>
      </c>
      <c r="I10" s="3">
        <v>19</v>
      </c>
      <c r="J10" s="3">
        <v>22</v>
      </c>
      <c r="K10" s="3">
        <v>22</v>
      </c>
      <c r="L10" s="3">
        <v>25</v>
      </c>
      <c r="M10" s="329">
        <v>25</v>
      </c>
    </row>
    <row r="11" spans="1:13" ht="15" thickBot="1" x14ac:dyDescent="0.35">
      <c r="A11" s="595"/>
      <c r="B11" s="3" t="s">
        <v>366</v>
      </c>
      <c r="C11" s="3">
        <v>1</v>
      </c>
      <c r="D11" s="3">
        <v>0</v>
      </c>
      <c r="E11" s="3">
        <v>0</v>
      </c>
      <c r="F11" s="3">
        <v>0</v>
      </c>
      <c r="G11" s="3">
        <v>0</v>
      </c>
      <c r="H11" s="3">
        <v>0</v>
      </c>
      <c r="I11" s="3">
        <v>0</v>
      </c>
      <c r="J11" s="3">
        <v>0</v>
      </c>
      <c r="K11" s="3">
        <v>0</v>
      </c>
      <c r="L11" s="3">
        <v>0</v>
      </c>
      <c r="M11" s="329">
        <v>0</v>
      </c>
    </row>
    <row r="12" spans="1:13" ht="15" thickBot="1" x14ac:dyDescent="0.35">
      <c r="A12" s="595"/>
      <c r="B12" s="3" t="s">
        <v>362</v>
      </c>
      <c r="C12" s="3">
        <v>10</v>
      </c>
      <c r="D12" s="3">
        <v>10</v>
      </c>
      <c r="E12" s="3">
        <v>11</v>
      </c>
      <c r="F12" s="3">
        <v>10</v>
      </c>
      <c r="G12" s="3">
        <v>9</v>
      </c>
      <c r="H12" s="3">
        <v>9</v>
      </c>
      <c r="I12" s="3">
        <v>9</v>
      </c>
      <c r="J12" s="3">
        <v>10</v>
      </c>
      <c r="K12" s="3">
        <v>10</v>
      </c>
      <c r="L12" s="3">
        <v>10</v>
      </c>
      <c r="M12" s="329">
        <v>11</v>
      </c>
    </row>
    <row r="13" spans="1:13" ht="15" thickBot="1" x14ac:dyDescent="0.35">
      <c r="A13" s="596"/>
      <c r="B13" s="3" t="s">
        <v>363</v>
      </c>
      <c r="C13" s="3">
        <v>0</v>
      </c>
      <c r="D13" s="3">
        <v>0</v>
      </c>
      <c r="E13" s="3">
        <v>3</v>
      </c>
      <c r="F13" s="3">
        <v>4</v>
      </c>
      <c r="G13" s="3">
        <v>4</v>
      </c>
      <c r="H13" s="3">
        <v>7</v>
      </c>
      <c r="I13" s="3">
        <v>7</v>
      </c>
      <c r="J13" s="3">
        <v>14</v>
      </c>
      <c r="K13" s="3">
        <v>14</v>
      </c>
      <c r="L13" s="3">
        <v>17</v>
      </c>
      <c r="M13" s="329">
        <v>17</v>
      </c>
    </row>
    <row r="14" spans="1:13" x14ac:dyDescent="0.3">
      <c r="A14" s="597" t="s">
        <v>367</v>
      </c>
      <c r="B14" s="597"/>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C6" sqref="C6:C8"/>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8" t="s">
        <v>368</v>
      </c>
      <c r="B4" s="600" t="s">
        <v>369</v>
      </c>
      <c r="C4" s="599"/>
      <c r="D4" s="600" t="s">
        <v>370</v>
      </c>
      <c r="E4" s="599"/>
      <c r="F4" s="601" t="s">
        <v>367</v>
      </c>
    </row>
    <row r="5" spans="1:6" ht="15" thickBot="1" x14ac:dyDescent="0.35">
      <c r="A5" s="599"/>
      <c r="B5" s="8" t="s">
        <v>359</v>
      </c>
      <c r="C5" s="8" t="s">
        <v>364</v>
      </c>
      <c r="D5" s="8" t="s">
        <v>359</v>
      </c>
      <c r="E5" s="8" t="s">
        <v>364</v>
      </c>
      <c r="F5" s="602"/>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5"/>
  <sheetViews>
    <sheetView workbookViewId="0">
      <selection activeCell="F7" sqref="F7"/>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4" spans="1:8" ht="15" thickBot="1" x14ac:dyDescent="0.35">
      <c r="B4" s="1">
        <v>2020</v>
      </c>
      <c r="C4" s="1">
        <v>2021</v>
      </c>
      <c r="D4" s="1">
        <v>2022</v>
      </c>
      <c r="E4" s="1">
        <v>2023</v>
      </c>
      <c r="F4" s="1">
        <v>2024</v>
      </c>
      <c r="G4" s="1">
        <v>2025</v>
      </c>
      <c r="H4" s="1">
        <v>2026</v>
      </c>
    </row>
    <row r="5" spans="1:8" x14ac:dyDescent="0.3">
      <c r="A5" t="s">
        <v>2113</v>
      </c>
      <c r="B5">
        <v>8</v>
      </c>
      <c r="C5">
        <v>8</v>
      </c>
      <c r="D5">
        <v>8</v>
      </c>
      <c r="E5">
        <v>10</v>
      </c>
      <c r="F5">
        <v>10</v>
      </c>
      <c r="G5">
        <v>12</v>
      </c>
      <c r="H5">
        <v>13</v>
      </c>
    </row>
    <row r="8" spans="1:8" x14ac:dyDescent="0.3">
      <c r="A8" t="s">
        <v>5</v>
      </c>
      <c r="B8" t="s">
        <v>374</v>
      </c>
    </row>
    <row r="10" spans="1:8" x14ac:dyDescent="0.3">
      <c r="A10" s="10" t="s">
        <v>375</v>
      </c>
      <c r="B10" s="10" t="s">
        <v>352</v>
      </c>
      <c r="C10" s="10" t="s">
        <v>376</v>
      </c>
      <c r="D10" s="10" t="s">
        <v>368</v>
      </c>
      <c r="E10" s="10" t="s">
        <v>377</v>
      </c>
      <c r="F10" s="10" t="s">
        <v>378</v>
      </c>
      <c r="G10" s="10" t="s">
        <v>379</v>
      </c>
    </row>
    <row r="11" spans="1:8" x14ac:dyDescent="0.3">
      <c r="A11" s="3">
        <v>54534</v>
      </c>
      <c r="B11" s="3" t="s">
        <v>359</v>
      </c>
      <c r="C11" s="3" t="s">
        <v>380</v>
      </c>
      <c r="D11" s="6" t="s">
        <v>381</v>
      </c>
      <c r="E11" s="6" t="s">
        <v>382</v>
      </c>
      <c r="F11" s="3" t="s">
        <v>383</v>
      </c>
      <c r="G11" s="3">
        <v>6</v>
      </c>
    </row>
    <row r="12" spans="1:8" ht="20.399999999999999" x14ac:dyDescent="0.3">
      <c r="A12" s="3">
        <v>53835</v>
      </c>
      <c r="B12" s="3" t="s">
        <v>359</v>
      </c>
      <c r="C12" s="3" t="s">
        <v>380</v>
      </c>
      <c r="D12" s="6" t="s">
        <v>381</v>
      </c>
      <c r="E12" s="6" t="s">
        <v>384</v>
      </c>
      <c r="F12" s="3" t="s">
        <v>385</v>
      </c>
      <c r="G12" s="3">
        <v>6</v>
      </c>
    </row>
    <row r="13" spans="1:8" ht="20.399999999999999" x14ac:dyDescent="0.3">
      <c r="A13" s="3">
        <v>10561</v>
      </c>
      <c r="B13" s="3" t="s">
        <v>359</v>
      </c>
      <c r="C13" s="3" t="s">
        <v>380</v>
      </c>
      <c r="D13" s="6" t="s">
        <v>381</v>
      </c>
      <c r="E13" s="6" t="s">
        <v>386</v>
      </c>
      <c r="F13" s="3" t="s">
        <v>387</v>
      </c>
      <c r="G13" s="3">
        <v>4</v>
      </c>
    </row>
    <row r="14" spans="1:8" ht="20.399999999999999" x14ac:dyDescent="0.3">
      <c r="A14" s="3">
        <v>1895</v>
      </c>
      <c r="B14" s="3" t="s">
        <v>359</v>
      </c>
      <c r="C14" s="3" t="s">
        <v>380</v>
      </c>
      <c r="D14" s="6" t="s">
        <v>381</v>
      </c>
      <c r="E14" s="6" t="s">
        <v>384</v>
      </c>
      <c r="F14" s="3" t="s">
        <v>388</v>
      </c>
      <c r="G14" s="3">
        <v>4</v>
      </c>
    </row>
    <row r="15" spans="1:8" ht="20.399999999999999" x14ac:dyDescent="0.3">
      <c r="A15" s="3">
        <v>53237</v>
      </c>
      <c r="B15" s="3" t="s">
        <v>359</v>
      </c>
      <c r="C15" s="3" t="s">
        <v>380</v>
      </c>
      <c r="D15" s="6" t="s">
        <v>389</v>
      </c>
      <c r="E15" s="6" t="s">
        <v>390</v>
      </c>
      <c r="F15" s="3" t="s">
        <v>391</v>
      </c>
      <c r="G15" s="3">
        <v>6</v>
      </c>
    </row>
    <row r="16" spans="1:8" ht="20.399999999999999" x14ac:dyDescent="0.3">
      <c r="A16" s="3">
        <v>53178</v>
      </c>
      <c r="B16" s="3" t="s">
        <v>364</v>
      </c>
      <c r="C16" s="3" t="s">
        <v>392</v>
      </c>
      <c r="D16" s="6" t="s">
        <v>389</v>
      </c>
      <c r="E16" s="6" t="s">
        <v>393</v>
      </c>
      <c r="F16" s="3" t="s">
        <v>394</v>
      </c>
      <c r="G16" s="3">
        <v>4</v>
      </c>
    </row>
    <row r="17" spans="1:7" ht="20.399999999999999" x14ac:dyDescent="0.3">
      <c r="A17" s="3">
        <v>7470</v>
      </c>
      <c r="B17" s="3" t="s">
        <v>359</v>
      </c>
      <c r="C17" s="3" t="s">
        <v>380</v>
      </c>
      <c r="D17" s="6" t="s">
        <v>389</v>
      </c>
      <c r="E17" s="6" t="s">
        <v>390</v>
      </c>
      <c r="F17" s="3" t="s">
        <v>395</v>
      </c>
      <c r="G17" s="3">
        <v>4</v>
      </c>
    </row>
    <row r="18" spans="1:7" ht="20.399999999999999" x14ac:dyDescent="0.3">
      <c r="A18" s="3">
        <v>101382</v>
      </c>
      <c r="B18" s="3" t="s">
        <v>359</v>
      </c>
      <c r="C18" s="3" t="s">
        <v>380</v>
      </c>
      <c r="D18" s="6" t="s">
        <v>389</v>
      </c>
      <c r="E18" s="6" t="s">
        <v>393</v>
      </c>
      <c r="F18" s="3" t="s">
        <v>396</v>
      </c>
      <c r="G18" s="3">
        <v>6</v>
      </c>
    </row>
    <row r="19" spans="1:7" x14ac:dyDescent="0.3">
      <c r="A19" s="3">
        <v>1892</v>
      </c>
      <c r="B19" s="3" t="s">
        <v>359</v>
      </c>
      <c r="C19" s="3" t="s">
        <v>380</v>
      </c>
      <c r="D19" s="6" t="s">
        <v>397</v>
      </c>
      <c r="E19" s="6" t="s">
        <v>398</v>
      </c>
      <c r="F19" s="3" t="s">
        <v>399</v>
      </c>
      <c r="G19" s="3">
        <v>6</v>
      </c>
    </row>
    <row r="20" spans="1:7" ht="20.399999999999999" x14ac:dyDescent="0.3">
      <c r="A20" s="4">
        <v>6699</v>
      </c>
      <c r="B20" s="4" t="s">
        <v>359</v>
      </c>
      <c r="C20" s="4" t="s">
        <v>380</v>
      </c>
      <c r="D20" s="2" t="s">
        <v>397</v>
      </c>
      <c r="E20" s="2" t="s">
        <v>400</v>
      </c>
      <c r="F20" s="4" t="s">
        <v>401</v>
      </c>
      <c r="G20" s="4">
        <v>6</v>
      </c>
    </row>
    <row r="21" spans="1:7" x14ac:dyDescent="0.3">
      <c r="A21" s="4">
        <v>101647</v>
      </c>
      <c r="B21" s="3" t="s">
        <v>364</v>
      </c>
      <c r="C21" s="3" t="s">
        <v>392</v>
      </c>
      <c r="D21" s="2" t="s">
        <v>397</v>
      </c>
      <c r="E21" s="2" t="s">
        <v>402</v>
      </c>
      <c r="F21" s="4" t="s">
        <v>403</v>
      </c>
      <c r="G21" s="4">
        <v>6</v>
      </c>
    </row>
    <row r="23" spans="1:7" x14ac:dyDescent="0.3">
      <c r="A23" t="s">
        <v>5</v>
      </c>
      <c r="B23" t="s">
        <v>404</v>
      </c>
    </row>
    <row r="24" spans="1:7" ht="15" thickBot="1" x14ac:dyDescent="0.35">
      <c r="A24" s="10" t="s">
        <v>375</v>
      </c>
      <c r="B24" s="10" t="s">
        <v>352</v>
      </c>
      <c r="C24" s="10" t="s">
        <v>376</v>
      </c>
      <c r="D24" s="10" t="s">
        <v>368</v>
      </c>
      <c r="E24" s="10" t="s">
        <v>377</v>
      </c>
      <c r="F24" s="10" t="s">
        <v>378</v>
      </c>
      <c r="G24" s="10" t="s">
        <v>379</v>
      </c>
    </row>
    <row r="25" spans="1:7" ht="15" thickBot="1" x14ac:dyDescent="0.35">
      <c r="A25" s="3"/>
      <c r="B25" s="3"/>
      <c r="C25" s="3"/>
      <c r="D25" s="6"/>
      <c r="E25" s="6"/>
      <c r="F25" s="3"/>
      <c r="G25" s="3"/>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x14ac:dyDescent="0.3">
      <c r="A34" s="4"/>
      <c r="B34" s="4"/>
      <c r="C34" s="4"/>
      <c r="D34" s="2"/>
      <c r="E34" s="2"/>
      <c r="F34" s="4"/>
      <c r="G34" s="4"/>
    </row>
    <row r="35" spans="1:7" ht="15" thickBot="1" x14ac:dyDescent="0.35">
      <c r="A35" s="4"/>
      <c r="B35" s="3"/>
      <c r="C35" s="3"/>
      <c r="D35" s="2"/>
      <c r="E35" s="2"/>
      <c r="F35" s="4"/>
      <c r="G35"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12" sqref="O12"/>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B9" sqref="A9:XFD9"/>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603" t="s">
        <v>431</v>
      </c>
      <c r="B5" s="603"/>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4"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5"/>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5"/>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5"/>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603"/>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6" t="s">
        <v>438</v>
      </c>
      <c r="B11" s="606"/>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4"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5"/>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5"/>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5"/>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603"/>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4" t="s">
        <v>440</v>
      </c>
      <c r="B17" s="604"/>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5"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5"/>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5"/>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5"/>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5"/>
      <c r="B9" s="18" t="s">
        <v>437</v>
      </c>
      <c r="C9" s="19"/>
      <c r="D9" s="19"/>
      <c r="E9" s="19"/>
      <c r="F9" s="19"/>
      <c r="G9" s="19"/>
      <c r="H9" s="19"/>
      <c r="I9" s="19"/>
      <c r="J9" s="19"/>
      <c r="K9" s="20">
        <v>1</v>
      </c>
      <c r="L9" s="20">
        <v>10</v>
      </c>
      <c r="M9" s="20">
        <v>35</v>
      </c>
      <c r="N9" s="20">
        <v>56</v>
      </c>
      <c r="O9" s="20"/>
      <c r="P9" s="20"/>
    </row>
    <row r="10" spans="1:16" ht="15" thickBot="1" x14ac:dyDescent="0.35">
      <c r="A10" s="596"/>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4"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5"/>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5"/>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5"/>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5"/>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6"/>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4" t="s">
        <v>446</v>
      </c>
      <c r="B17" s="594"/>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7" t="s">
        <v>450</v>
      </c>
      <c r="B5" s="26" t="s">
        <v>451</v>
      </c>
      <c r="C5" s="19" t="s">
        <v>452</v>
      </c>
    </row>
    <row r="6" spans="1:3" ht="15" thickBot="1" x14ac:dyDescent="0.35">
      <c r="A6" s="608"/>
      <c r="B6" s="26" t="s">
        <v>453</v>
      </c>
      <c r="C6" s="19" t="s">
        <v>454</v>
      </c>
    </row>
    <row r="7" spans="1:3" ht="23.4" thickBot="1" x14ac:dyDescent="0.35">
      <c r="A7" s="608"/>
      <c r="B7" s="26" t="s">
        <v>455</v>
      </c>
      <c r="C7" s="19" t="s">
        <v>456</v>
      </c>
    </row>
    <row r="8" spans="1:3" ht="15" thickBot="1" x14ac:dyDescent="0.35">
      <c r="A8" s="609"/>
      <c r="B8" s="61" t="s">
        <v>457</v>
      </c>
      <c r="C8" s="23" t="s">
        <v>458</v>
      </c>
    </row>
    <row r="9" spans="1:3" ht="15" thickBot="1" x14ac:dyDescent="0.35">
      <c r="A9" s="607" t="s">
        <v>459</v>
      </c>
      <c r="B9" s="26" t="s">
        <v>460</v>
      </c>
      <c r="C9" s="19" t="s">
        <v>452</v>
      </c>
    </row>
    <row r="10" spans="1:3" ht="15" thickBot="1" x14ac:dyDescent="0.35">
      <c r="A10" s="608"/>
      <c r="B10" s="26" t="s">
        <v>461</v>
      </c>
      <c r="C10" s="19" t="s">
        <v>452</v>
      </c>
    </row>
    <row r="11" spans="1:3" ht="15" thickBot="1" x14ac:dyDescent="0.35">
      <c r="A11" s="608"/>
      <c r="B11" s="26" t="s">
        <v>462</v>
      </c>
      <c r="C11" s="19" t="s">
        <v>463</v>
      </c>
    </row>
    <row r="12" spans="1:3" ht="15" thickBot="1" x14ac:dyDescent="0.35">
      <c r="A12" s="608"/>
      <c r="B12" s="26" t="s">
        <v>464</v>
      </c>
      <c r="C12" s="19" t="s">
        <v>456</v>
      </c>
    </row>
    <row r="13" spans="1:3" ht="15" thickBot="1" x14ac:dyDescent="0.35">
      <c r="A13" s="608"/>
      <c r="B13" s="26" t="s">
        <v>465</v>
      </c>
      <c r="C13" s="19" t="s">
        <v>454</v>
      </c>
    </row>
    <row r="14" spans="1:3" ht="15" thickBot="1" x14ac:dyDescent="0.35">
      <c r="A14" s="608"/>
      <c r="B14" s="26" t="s">
        <v>466</v>
      </c>
      <c r="C14" s="19" t="s">
        <v>454</v>
      </c>
    </row>
    <row r="15" spans="1:3" ht="15" thickBot="1" x14ac:dyDescent="0.35">
      <c r="A15" s="608"/>
      <c r="B15" s="72" t="s">
        <v>467</v>
      </c>
      <c r="C15" s="61" t="s">
        <v>454</v>
      </c>
    </row>
    <row r="16" spans="1:3" ht="23.4" thickBot="1" x14ac:dyDescent="0.35">
      <c r="A16" s="609"/>
      <c r="B16" s="26" t="s">
        <v>468</v>
      </c>
      <c r="C16" s="19" t="s">
        <v>454</v>
      </c>
    </row>
    <row r="17" spans="1:3" ht="23.4" thickBot="1" x14ac:dyDescent="0.35">
      <c r="A17" s="607" t="s">
        <v>469</v>
      </c>
      <c r="B17" s="26" t="s">
        <v>470</v>
      </c>
      <c r="C17" s="19" t="s">
        <v>452</v>
      </c>
    </row>
    <row r="18" spans="1:3" ht="23.4" thickBot="1" x14ac:dyDescent="0.35">
      <c r="A18" s="608"/>
      <c r="B18" s="26" t="s">
        <v>471</v>
      </c>
      <c r="C18" s="19" t="s">
        <v>456</v>
      </c>
    </row>
    <row r="19" spans="1:3" ht="23.4" thickBot="1" x14ac:dyDescent="0.35">
      <c r="A19" s="608"/>
      <c r="B19" s="26" t="s">
        <v>472</v>
      </c>
      <c r="C19" s="19" t="s">
        <v>456</v>
      </c>
    </row>
    <row r="20" spans="1:3" ht="15" thickBot="1" x14ac:dyDescent="0.35">
      <c r="A20" s="609"/>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I14" sqref="I14"/>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I5" sqref="I5:I14"/>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10" t="s">
        <v>488</v>
      </c>
      <c r="B5" s="520" t="s">
        <v>489</v>
      </c>
      <c r="C5" s="520">
        <v>109</v>
      </c>
      <c r="D5" s="520">
        <v>125</v>
      </c>
      <c r="E5" s="520">
        <v>133</v>
      </c>
      <c r="F5" s="520">
        <v>124</v>
      </c>
      <c r="G5" s="520">
        <v>133</v>
      </c>
      <c r="H5" s="520">
        <v>132</v>
      </c>
      <c r="I5" s="548">
        <v>115</v>
      </c>
      <c r="J5" s="520"/>
    </row>
    <row r="6" spans="1:10" ht="15.6" thickBot="1" x14ac:dyDescent="0.35">
      <c r="A6" s="611"/>
      <c r="B6" s="520" t="s">
        <v>490</v>
      </c>
      <c r="C6" s="520">
        <v>13</v>
      </c>
      <c r="D6" s="520">
        <v>86</v>
      </c>
      <c r="E6" s="520">
        <v>108</v>
      </c>
      <c r="F6" s="520">
        <v>106</v>
      </c>
      <c r="G6" s="520">
        <v>68</v>
      </c>
      <c r="H6" s="520">
        <v>97</v>
      </c>
      <c r="I6" s="548">
        <v>101</v>
      </c>
      <c r="J6" s="520"/>
    </row>
    <row r="7" spans="1:10" ht="15.6" thickBot="1" x14ac:dyDescent="0.35">
      <c r="A7" s="611"/>
      <c r="B7" s="520" t="s">
        <v>491</v>
      </c>
      <c r="C7" s="520">
        <v>103</v>
      </c>
      <c r="D7" s="520">
        <v>2059</v>
      </c>
      <c r="E7" s="520">
        <v>4269</v>
      </c>
      <c r="F7" s="520">
        <v>2893</v>
      </c>
      <c r="G7" s="520">
        <v>1401</v>
      </c>
      <c r="H7" s="520">
        <v>3747</v>
      </c>
      <c r="I7" s="548">
        <v>2493</v>
      </c>
      <c r="J7" s="520"/>
    </row>
    <row r="8" spans="1:10" ht="30.6" thickBot="1" x14ac:dyDescent="0.35">
      <c r="A8" s="611"/>
      <c r="B8" s="520" t="s">
        <v>492</v>
      </c>
      <c r="C8" s="521" t="s">
        <v>493</v>
      </c>
      <c r="D8" s="521" t="s">
        <v>493</v>
      </c>
      <c r="E8" s="521">
        <v>85</v>
      </c>
      <c r="F8" s="522">
        <v>4389</v>
      </c>
      <c r="G8" s="520">
        <v>4284</v>
      </c>
      <c r="H8" s="520">
        <v>3593</v>
      </c>
      <c r="I8" s="549">
        <v>14410</v>
      </c>
      <c r="J8" s="523"/>
    </row>
    <row r="9" spans="1:10" ht="15.6" thickBot="1" x14ac:dyDescent="0.35">
      <c r="A9" s="612"/>
      <c r="B9" s="520" t="s">
        <v>494</v>
      </c>
      <c r="C9" s="520">
        <v>145</v>
      </c>
      <c r="D9" s="520">
        <v>147</v>
      </c>
      <c r="E9" s="520">
        <v>142</v>
      </c>
      <c r="F9" s="520">
        <v>143</v>
      </c>
      <c r="G9" s="520">
        <v>141</v>
      </c>
      <c r="H9" s="520">
        <v>141</v>
      </c>
      <c r="I9" s="548">
        <v>141</v>
      </c>
      <c r="J9" s="520"/>
    </row>
    <row r="10" spans="1:10" ht="15.6" thickBot="1" x14ac:dyDescent="0.35">
      <c r="A10" s="613" t="s">
        <v>495</v>
      </c>
      <c r="B10" s="466" t="s">
        <v>496</v>
      </c>
      <c r="C10" s="466">
        <v>558</v>
      </c>
      <c r="D10" s="466">
        <v>180</v>
      </c>
      <c r="E10" s="466">
        <v>183</v>
      </c>
      <c r="F10" s="466">
        <v>216</v>
      </c>
      <c r="G10" s="466">
        <v>114</v>
      </c>
      <c r="H10" s="466">
        <v>299</v>
      </c>
      <c r="I10" s="550">
        <v>198</v>
      </c>
      <c r="J10" s="466"/>
    </row>
    <row r="11" spans="1:10" ht="45.6" thickBot="1" x14ac:dyDescent="0.35">
      <c r="A11" s="614"/>
      <c r="B11" s="466" t="s">
        <v>497</v>
      </c>
      <c r="C11" s="466">
        <v>65</v>
      </c>
      <c r="D11" s="467">
        <v>2578</v>
      </c>
      <c r="E11" s="467">
        <v>4121</v>
      </c>
      <c r="F11" s="466">
        <v>245</v>
      </c>
      <c r="G11" s="467">
        <v>1628</v>
      </c>
      <c r="H11" s="466">
        <v>151</v>
      </c>
      <c r="I11" s="550">
        <v>301</v>
      </c>
      <c r="J11" s="466"/>
    </row>
    <row r="12" spans="1:10" ht="15.6" thickBot="1" x14ac:dyDescent="0.35">
      <c r="A12" s="615" t="s">
        <v>498</v>
      </c>
      <c r="B12" s="466" t="s">
        <v>499</v>
      </c>
      <c r="C12" s="466">
        <v>2246</v>
      </c>
      <c r="D12" s="467">
        <v>1177</v>
      </c>
      <c r="E12" s="467">
        <v>1526</v>
      </c>
      <c r="F12" s="467">
        <v>1975</v>
      </c>
      <c r="G12" s="467">
        <v>2561</v>
      </c>
      <c r="H12" s="467">
        <v>2947</v>
      </c>
      <c r="I12" s="551">
        <v>2501</v>
      </c>
      <c r="J12" s="467"/>
    </row>
    <row r="13" spans="1:10" ht="30.6" thickBot="1" x14ac:dyDescent="0.35">
      <c r="A13" s="616"/>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B10" sqref="B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L11" sqref="L11"/>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T8" sqref="AT8:AT9"/>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G13" sqref="G13"/>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7">
        <v>2025</v>
      </c>
      <c r="C3" s="617"/>
      <c r="D3" s="618">
        <v>2026</v>
      </c>
      <c r="E3" s="618"/>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D24"/>
  <sheetViews>
    <sheetView workbookViewId="0">
      <selection activeCell="B1" sqref="B1"/>
    </sheetView>
  </sheetViews>
  <sheetFormatPr baseColWidth="10" defaultColWidth="11.44140625" defaultRowHeight="14.4" x14ac:dyDescent="0.3"/>
  <cols>
    <col min="1" max="1" width="41.77734375" customWidth="1"/>
    <col min="2" max="2" width="10.5546875" customWidth="1"/>
    <col min="3" max="3" width="11.44140625" style="331"/>
  </cols>
  <sheetData>
    <row r="1" spans="1:4" x14ac:dyDescent="0.3">
      <c r="A1" t="s">
        <v>351</v>
      </c>
      <c r="B1">
        <v>41</v>
      </c>
    </row>
    <row r="2" spans="1:4" x14ac:dyDescent="0.3">
      <c r="A2" t="s">
        <v>5</v>
      </c>
      <c r="B2" t="s">
        <v>597</v>
      </c>
    </row>
    <row r="3" spans="1:4" ht="15" thickBot="1" x14ac:dyDescent="0.35"/>
    <row r="4" spans="1:4" ht="15" thickBot="1" x14ac:dyDescent="0.35">
      <c r="A4" s="78" t="s">
        <v>598</v>
      </c>
      <c r="B4" s="79" t="s">
        <v>446</v>
      </c>
      <c r="C4" s="423">
        <v>2025</v>
      </c>
      <c r="D4" s="423" t="s">
        <v>358</v>
      </c>
    </row>
    <row r="5" spans="1:4" x14ac:dyDescent="0.3">
      <c r="A5" s="376" t="s">
        <v>599</v>
      </c>
      <c r="B5" s="372">
        <v>33</v>
      </c>
      <c r="C5" s="424">
        <v>33</v>
      </c>
      <c r="D5" s="372">
        <v>37</v>
      </c>
    </row>
    <row r="6" spans="1:4" x14ac:dyDescent="0.3">
      <c r="A6" s="377" t="s">
        <v>600</v>
      </c>
      <c r="B6" s="372">
        <v>21</v>
      </c>
      <c r="C6" s="425">
        <v>21</v>
      </c>
      <c r="D6" s="372">
        <v>25</v>
      </c>
    </row>
    <row r="7" spans="1:4" x14ac:dyDescent="0.3">
      <c r="A7" s="377" t="s">
        <v>601</v>
      </c>
      <c r="B7" s="372">
        <v>48</v>
      </c>
      <c r="C7" s="425">
        <v>48</v>
      </c>
      <c r="D7" s="372">
        <v>48</v>
      </c>
    </row>
    <row r="8" spans="1:4" x14ac:dyDescent="0.3">
      <c r="A8" s="376" t="s">
        <v>602</v>
      </c>
      <c r="B8" s="372">
        <v>11</v>
      </c>
      <c r="C8" s="425">
        <v>11</v>
      </c>
      <c r="D8" s="372">
        <v>20</v>
      </c>
    </row>
    <row r="9" spans="1:4" x14ac:dyDescent="0.3">
      <c r="A9" s="377" t="s">
        <v>603</v>
      </c>
      <c r="B9" s="372">
        <v>164</v>
      </c>
      <c r="C9" s="425">
        <v>164</v>
      </c>
      <c r="D9" s="372">
        <v>171</v>
      </c>
    </row>
    <row r="10" spans="1:4" ht="12.75" customHeight="1" x14ac:dyDescent="0.3">
      <c r="A10" s="377" t="s">
        <v>604</v>
      </c>
      <c r="B10" s="372">
        <v>7</v>
      </c>
      <c r="C10" s="425">
        <v>7</v>
      </c>
      <c r="D10" s="372">
        <v>9</v>
      </c>
    </row>
    <row r="11" spans="1:4" x14ac:dyDescent="0.3">
      <c r="A11" s="373" t="s">
        <v>446</v>
      </c>
      <c r="B11" s="371">
        <v>284</v>
      </c>
      <c r="C11" s="424">
        <v>284</v>
      </c>
      <c r="D11" s="371">
        <f>SUM(D5:D10)</f>
        <v>310</v>
      </c>
    </row>
    <row r="14" spans="1:4" x14ac:dyDescent="0.3">
      <c r="A14" t="s">
        <v>351</v>
      </c>
      <c r="B14">
        <v>41</v>
      </c>
    </row>
    <row r="15" spans="1:4" x14ac:dyDescent="0.3">
      <c r="A15" t="s">
        <v>5</v>
      </c>
      <c r="B15" t="s">
        <v>605</v>
      </c>
    </row>
    <row r="16" spans="1:4"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O6" sqref="O6:O14"/>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21"/>
      <c r="B4" s="81">
        <v>2019</v>
      </c>
      <c r="C4" s="81">
        <v>2020</v>
      </c>
      <c r="D4" s="619" t="s">
        <v>414</v>
      </c>
      <c r="E4" s="619" t="s">
        <v>415</v>
      </c>
      <c r="F4" s="81">
        <v>2021</v>
      </c>
      <c r="G4" s="81">
        <v>2022</v>
      </c>
      <c r="H4" s="81">
        <v>2022</v>
      </c>
      <c r="I4" s="81">
        <v>2023</v>
      </c>
      <c r="J4" s="81" t="s">
        <v>607</v>
      </c>
      <c r="K4" s="619" t="s">
        <v>354</v>
      </c>
      <c r="L4" s="619" t="s">
        <v>355</v>
      </c>
      <c r="M4" s="619" t="s">
        <v>356</v>
      </c>
      <c r="N4" s="619" t="s">
        <v>357</v>
      </c>
      <c r="O4" s="619" t="s">
        <v>358</v>
      </c>
    </row>
    <row r="5" spans="1:15" ht="15" thickBot="1" x14ac:dyDescent="0.35">
      <c r="A5" s="622"/>
      <c r="B5" s="82">
        <v>-2</v>
      </c>
      <c r="C5" s="82">
        <v>-1</v>
      </c>
      <c r="D5" s="620"/>
      <c r="E5" s="620"/>
      <c r="F5" s="82">
        <v>-2</v>
      </c>
      <c r="G5" s="82">
        <v>-1</v>
      </c>
      <c r="H5" s="82">
        <v>-2</v>
      </c>
      <c r="I5" s="82">
        <v>-1</v>
      </c>
      <c r="J5" s="82">
        <v>2</v>
      </c>
      <c r="K5" s="620"/>
      <c r="L5" s="620"/>
      <c r="M5" s="620"/>
      <c r="N5" s="620"/>
      <c r="O5" s="620"/>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L18" sqref="L18"/>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K6" sqref="K6:K7"/>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6"/>
      <c r="B4" s="626"/>
      <c r="C4" s="626"/>
      <c r="D4" s="627" t="s">
        <v>633</v>
      </c>
      <c r="E4" s="627"/>
      <c r="F4" s="627"/>
      <c r="G4" s="627"/>
      <c r="H4" s="627"/>
      <c r="I4" s="627"/>
      <c r="J4" s="627"/>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23" t="s">
        <v>638</v>
      </c>
      <c r="C6" s="623" t="s">
        <v>639</v>
      </c>
      <c r="D6" s="623">
        <v>18</v>
      </c>
      <c r="E6" s="623">
        <v>20</v>
      </c>
      <c r="F6" s="623">
        <v>32</v>
      </c>
      <c r="G6" s="623">
        <v>35</v>
      </c>
      <c r="H6" s="623">
        <v>32</v>
      </c>
      <c r="I6" s="623">
        <v>8</v>
      </c>
      <c r="J6" s="623">
        <v>7</v>
      </c>
      <c r="K6" s="623">
        <v>3</v>
      </c>
      <c r="L6" s="623"/>
      <c r="M6" s="623"/>
    </row>
    <row r="7" spans="1:13" ht="27" thickBot="1" x14ac:dyDescent="0.35">
      <c r="A7" s="72" t="s">
        <v>640</v>
      </c>
      <c r="B7" s="624"/>
      <c r="C7" s="624"/>
      <c r="D7" s="624"/>
      <c r="E7" s="624"/>
      <c r="F7" s="624"/>
      <c r="G7" s="624"/>
      <c r="H7" s="624"/>
      <c r="I7" s="624"/>
      <c r="J7" s="624"/>
      <c r="K7" s="624"/>
      <c r="L7" s="624"/>
      <c r="M7" s="624"/>
    </row>
    <row r="8" spans="1:13" ht="51.75" customHeight="1" x14ac:dyDescent="0.3">
      <c r="A8" s="95" t="s">
        <v>641</v>
      </c>
      <c r="B8" s="623" t="s">
        <v>642</v>
      </c>
      <c r="C8" s="623" t="s">
        <v>643</v>
      </c>
      <c r="D8" s="623">
        <v>19</v>
      </c>
      <c r="E8" s="623">
        <v>13</v>
      </c>
      <c r="F8" s="623">
        <v>12</v>
      </c>
      <c r="G8" s="623">
        <v>16</v>
      </c>
      <c r="H8" s="623">
        <v>13</v>
      </c>
      <c r="I8" s="623">
        <v>0</v>
      </c>
      <c r="J8" s="623">
        <v>9</v>
      </c>
      <c r="K8" s="623">
        <v>10</v>
      </c>
      <c r="L8" s="623"/>
      <c r="M8" s="623"/>
    </row>
    <row r="9" spans="1:13" ht="27" thickBot="1" x14ac:dyDescent="0.35">
      <c r="A9" s="72" t="s">
        <v>644</v>
      </c>
      <c r="B9" s="624"/>
      <c r="C9" s="624"/>
      <c r="D9" s="624"/>
      <c r="E9" s="624"/>
      <c r="F9" s="624"/>
      <c r="G9" s="624"/>
      <c r="H9" s="624"/>
      <c r="I9" s="624"/>
      <c r="J9" s="624"/>
      <c r="K9" s="624"/>
      <c r="L9" s="624"/>
      <c r="M9" s="624"/>
    </row>
    <row r="10" spans="1:13" ht="51.75" customHeight="1" x14ac:dyDescent="0.3">
      <c r="A10" s="95" t="s">
        <v>645</v>
      </c>
      <c r="B10" s="623" t="s">
        <v>646</v>
      </c>
      <c r="C10" s="623" t="s">
        <v>639</v>
      </c>
      <c r="D10" s="623">
        <v>9</v>
      </c>
      <c r="E10" s="623">
        <v>41</v>
      </c>
      <c r="F10" s="623">
        <v>41</v>
      </c>
      <c r="G10" s="623">
        <v>14</v>
      </c>
      <c r="H10" s="623">
        <v>5</v>
      </c>
      <c r="I10" s="623">
        <v>0</v>
      </c>
      <c r="J10" s="623">
        <v>4</v>
      </c>
      <c r="K10" s="623">
        <v>5</v>
      </c>
      <c r="L10" s="623"/>
      <c r="M10" s="623"/>
    </row>
    <row r="11" spans="1:13" ht="27" thickBot="1" x14ac:dyDescent="0.35">
      <c r="A11" s="72" t="s">
        <v>647</v>
      </c>
      <c r="B11" s="624"/>
      <c r="C11" s="624"/>
      <c r="D11" s="624"/>
      <c r="E11" s="624"/>
      <c r="F11" s="624"/>
      <c r="G11" s="624"/>
      <c r="H11" s="624"/>
      <c r="I11" s="624"/>
      <c r="J11" s="624"/>
      <c r="K11" s="624"/>
      <c r="L11" s="624"/>
      <c r="M11" s="624"/>
    </row>
    <row r="12" spans="1:13" ht="24" customHeight="1" x14ac:dyDescent="0.3">
      <c r="A12" s="95" t="s">
        <v>648</v>
      </c>
      <c r="B12" s="623" t="s">
        <v>649</v>
      </c>
      <c r="C12" s="623" t="s">
        <v>639</v>
      </c>
      <c r="D12" s="623">
        <v>22</v>
      </c>
      <c r="E12" s="623">
        <v>44</v>
      </c>
      <c r="F12" s="623">
        <v>45</v>
      </c>
      <c r="G12" s="623">
        <v>45</v>
      </c>
      <c r="H12" s="623">
        <v>26</v>
      </c>
      <c r="I12" s="623">
        <v>9</v>
      </c>
      <c r="J12" s="623">
        <v>8</v>
      </c>
      <c r="K12" s="623">
        <v>0</v>
      </c>
      <c r="L12" s="623"/>
      <c r="M12" s="623"/>
    </row>
    <row r="13" spans="1:13" ht="15" thickBot="1" x14ac:dyDescent="0.35">
      <c r="A13" s="72" t="s">
        <v>650</v>
      </c>
      <c r="B13" s="624"/>
      <c r="C13" s="624"/>
      <c r="D13" s="624"/>
      <c r="E13" s="624"/>
      <c r="F13" s="624"/>
      <c r="G13" s="624"/>
      <c r="H13" s="624"/>
      <c r="I13" s="624"/>
      <c r="J13" s="624"/>
      <c r="K13" s="624"/>
      <c r="L13" s="624"/>
      <c r="M13" s="624"/>
    </row>
    <row r="14" spans="1:13" x14ac:dyDescent="0.3">
      <c r="A14" s="95" t="s">
        <v>651</v>
      </c>
      <c r="B14" s="623" t="s">
        <v>652</v>
      </c>
      <c r="C14" s="623" t="s">
        <v>643</v>
      </c>
      <c r="D14" s="623"/>
      <c r="E14" s="623"/>
      <c r="F14" s="623"/>
      <c r="G14" s="623">
        <v>8</v>
      </c>
      <c r="H14" s="623">
        <v>0</v>
      </c>
      <c r="I14" s="623">
        <v>0</v>
      </c>
      <c r="J14" s="623">
        <v>8</v>
      </c>
      <c r="K14" s="623">
        <v>0</v>
      </c>
      <c r="L14" s="623"/>
      <c r="M14" s="623"/>
    </row>
    <row r="15" spans="1:13" ht="27" thickBot="1" x14ac:dyDescent="0.35">
      <c r="A15" s="72" t="s">
        <v>653</v>
      </c>
      <c r="B15" s="624"/>
      <c r="C15" s="624"/>
      <c r="D15" s="624"/>
      <c r="E15" s="624"/>
      <c r="F15" s="624"/>
      <c r="G15" s="624"/>
      <c r="H15" s="624"/>
      <c r="I15" s="624"/>
      <c r="J15" s="624"/>
      <c r="K15" s="624"/>
      <c r="L15" s="624"/>
      <c r="M15" s="624"/>
    </row>
    <row r="16" spans="1:13" ht="37.35" customHeight="1" x14ac:dyDescent="0.3">
      <c r="A16" s="94" t="s">
        <v>654</v>
      </c>
      <c r="B16" s="623" t="s">
        <v>655</v>
      </c>
      <c r="C16" s="623" t="s">
        <v>639</v>
      </c>
      <c r="D16" s="623">
        <v>22</v>
      </c>
      <c r="E16" s="623">
        <v>30</v>
      </c>
      <c r="F16" s="623">
        <v>48</v>
      </c>
      <c r="G16" s="623">
        <v>44</v>
      </c>
      <c r="H16" s="623">
        <v>11</v>
      </c>
      <c r="I16" s="623">
        <v>7</v>
      </c>
      <c r="J16" s="623">
        <v>7</v>
      </c>
      <c r="K16" s="623">
        <v>5</v>
      </c>
      <c r="L16" s="623"/>
      <c r="M16" s="623"/>
    </row>
    <row r="17" spans="1:13" ht="15" thickBot="1" x14ac:dyDescent="0.35">
      <c r="A17" s="72" t="s">
        <v>656</v>
      </c>
      <c r="B17" s="624"/>
      <c r="C17" s="624"/>
      <c r="D17" s="624"/>
      <c r="E17" s="624"/>
      <c r="F17" s="624"/>
      <c r="G17" s="624"/>
      <c r="H17" s="624"/>
      <c r="I17" s="624"/>
      <c r="J17" s="624"/>
      <c r="K17" s="624"/>
      <c r="L17" s="624"/>
      <c r="M17" s="624"/>
    </row>
    <row r="18" spans="1:13" ht="22.35" customHeight="1" x14ac:dyDescent="0.3">
      <c r="A18" s="95" t="s">
        <v>657</v>
      </c>
      <c r="B18" s="623" t="s">
        <v>658</v>
      </c>
      <c r="C18" s="623" t="s">
        <v>643</v>
      </c>
      <c r="D18" s="623"/>
      <c r="E18" s="623">
        <v>10</v>
      </c>
      <c r="F18" s="623">
        <v>8</v>
      </c>
      <c r="G18" s="623">
        <v>6</v>
      </c>
      <c r="H18" s="623">
        <v>9</v>
      </c>
      <c r="I18" s="623">
        <v>0</v>
      </c>
      <c r="J18" s="623">
        <v>7</v>
      </c>
      <c r="K18" s="623">
        <v>0</v>
      </c>
      <c r="L18" s="623"/>
      <c r="M18" s="623"/>
    </row>
    <row r="19" spans="1:13" x14ac:dyDescent="0.3">
      <c r="A19" s="94" t="s">
        <v>659</v>
      </c>
      <c r="B19" s="625"/>
      <c r="C19" s="625"/>
      <c r="D19" s="625"/>
      <c r="E19" s="625"/>
      <c r="F19" s="625"/>
      <c r="G19" s="625"/>
      <c r="H19" s="625"/>
      <c r="I19" s="625"/>
      <c r="J19" s="625"/>
      <c r="K19" s="625"/>
      <c r="L19" s="625"/>
      <c r="M19" s="625"/>
    </row>
    <row r="20" spans="1:13" ht="15" thickBot="1" x14ac:dyDescent="0.35">
      <c r="A20" s="72"/>
      <c r="B20" s="624"/>
      <c r="C20" s="624"/>
      <c r="D20" s="624"/>
      <c r="E20" s="624"/>
      <c r="F20" s="624"/>
      <c r="G20" s="624"/>
      <c r="H20" s="624"/>
      <c r="I20" s="624"/>
      <c r="J20" s="624"/>
      <c r="K20" s="624"/>
      <c r="L20" s="624"/>
      <c r="M20" s="624"/>
    </row>
    <row r="21" spans="1:13" ht="50.25" customHeight="1" x14ac:dyDescent="0.3">
      <c r="A21" s="94" t="s">
        <v>660</v>
      </c>
      <c r="B21" s="623" t="s">
        <v>661</v>
      </c>
      <c r="C21" s="623" t="s">
        <v>643</v>
      </c>
      <c r="D21" s="623">
        <v>27</v>
      </c>
      <c r="E21" s="623">
        <v>28</v>
      </c>
      <c r="F21" s="623">
        <v>0</v>
      </c>
      <c r="G21" s="623">
        <v>9</v>
      </c>
      <c r="H21" s="623">
        <v>0</v>
      </c>
      <c r="I21" s="623">
        <v>0</v>
      </c>
      <c r="J21" s="623">
        <v>0</v>
      </c>
      <c r="K21" s="623">
        <v>2</v>
      </c>
      <c r="L21" s="623"/>
      <c r="M21" s="623"/>
    </row>
    <row r="22" spans="1:13" ht="15" thickBot="1" x14ac:dyDescent="0.35">
      <c r="A22" s="72" t="s">
        <v>662</v>
      </c>
      <c r="B22" s="624"/>
      <c r="C22" s="624"/>
      <c r="D22" s="624"/>
      <c r="E22" s="624"/>
      <c r="F22" s="624"/>
      <c r="G22" s="624"/>
      <c r="H22" s="624"/>
      <c r="I22" s="624"/>
      <c r="J22" s="624"/>
      <c r="K22" s="624"/>
      <c r="L22" s="624"/>
      <c r="M22" s="624"/>
    </row>
    <row r="23" spans="1:13" ht="63" customHeight="1" x14ac:dyDescent="0.3">
      <c r="A23" s="95" t="s">
        <v>663</v>
      </c>
      <c r="B23" s="623" t="s">
        <v>664</v>
      </c>
      <c r="C23" s="623" t="s">
        <v>639</v>
      </c>
      <c r="D23" s="623">
        <v>9</v>
      </c>
      <c r="E23" s="623">
        <v>14</v>
      </c>
      <c r="F23" s="623">
        <v>9</v>
      </c>
      <c r="G23" s="623">
        <v>36</v>
      </c>
      <c r="H23" s="623">
        <v>28</v>
      </c>
      <c r="I23" s="623">
        <v>12</v>
      </c>
      <c r="J23" s="623">
        <v>12</v>
      </c>
      <c r="K23" s="623">
        <v>11</v>
      </c>
      <c r="L23" s="623"/>
      <c r="M23" s="623"/>
    </row>
    <row r="24" spans="1:13" ht="15" thickBot="1" x14ac:dyDescent="0.35">
      <c r="A24" s="72" t="s">
        <v>665</v>
      </c>
      <c r="B24" s="624"/>
      <c r="C24" s="624"/>
      <c r="D24" s="624"/>
      <c r="E24" s="624"/>
      <c r="F24" s="624"/>
      <c r="G24" s="624"/>
      <c r="H24" s="624"/>
      <c r="I24" s="624"/>
      <c r="J24" s="624"/>
      <c r="K24" s="624"/>
      <c r="L24" s="624"/>
      <c r="M24" s="624"/>
    </row>
    <row r="25" spans="1:13" x14ac:dyDescent="0.3">
      <c r="A25" s="95" t="s">
        <v>666</v>
      </c>
      <c r="B25" s="623" t="s">
        <v>667</v>
      </c>
      <c r="C25" s="623" t="s">
        <v>643</v>
      </c>
      <c r="D25" s="623"/>
      <c r="E25" s="623"/>
      <c r="F25" s="623">
        <v>9</v>
      </c>
      <c r="G25" s="623">
        <v>8</v>
      </c>
      <c r="H25" s="623">
        <v>8</v>
      </c>
      <c r="I25" s="623">
        <v>7</v>
      </c>
      <c r="J25" s="623">
        <v>6</v>
      </c>
      <c r="K25" s="623">
        <v>8</v>
      </c>
      <c r="L25" s="623"/>
      <c r="M25" s="623"/>
    </row>
    <row r="26" spans="1:13" ht="15" thickBot="1" x14ac:dyDescent="0.35">
      <c r="A26" s="72" t="s">
        <v>668</v>
      </c>
      <c r="B26" s="624"/>
      <c r="C26" s="624"/>
      <c r="D26" s="624"/>
      <c r="E26" s="624"/>
      <c r="F26" s="624"/>
      <c r="G26" s="624"/>
      <c r="H26" s="624"/>
      <c r="I26" s="624"/>
      <c r="J26" s="624"/>
      <c r="K26" s="624"/>
      <c r="L26" s="624"/>
      <c r="M26" s="624"/>
    </row>
    <row r="27" spans="1:13" ht="63" customHeight="1" x14ac:dyDescent="0.3">
      <c r="A27" s="95" t="s">
        <v>669</v>
      </c>
      <c r="B27" s="623" t="s">
        <v>670</v>
      </c>
      <c r="C27" s="623" t="s">
        <v>643</v>
      </c>
      <c r="D27" s="623"/>
      <c r="E27" s="623"/>
      <c r="F27" s="623">
        <v>11</v>
      </c>
      <c r="G27" s="623">
        <v>10</v>
      </c>
      <c r="H27" s="623" t="s">
        <v>671</v>
      </c>
      <c r="I27" s="623"/>
      <c r="J27" s="623"/>
      <c r="K27" s="623"/>
      <c r="L27" s="623"/>
      <c r="M27" s="623"/>
    </row>
    <row r="28" spans="1:13" ht="15" thickBot="1" x14ac:dyDescent="0.35">
      <c r="A28" s="72" t="s">
        <v>672</v>
      </c>
      <c r="B28" s="624"/>
      <c r="C28" s="624"/>
      <c r="D28" s="624"/>
      <c r="E28" s="624"/>
      <c r="F28" s="624"/>
      <c r="G28" s="624"/>
      <c r="H28" s="624"/>
      <c r="I28" s="624"/>
      <c r="J28" s="624"/>
      <c r="K28" s="624"/>
      <c r="L28" s="624"/>
      <c r="M28" s="624"/>
    </row>
    <row r="29" spans="1:13" ht="50.25" customHeight="1" x14ac:dyDescent="0.3">
      <c r="A29" s="95" t="s">
        <v>673</v>
      </c>
      <c r="B29" s="623" t="s">
        <v>674</v>
      </c>
      <c r="C29" s="623" t="s">
        <v>643</v>
      </c>
      <c r="D29" s="623"/>
      <c r="E29" s="623">
        <v>12</v>
      </c>
      <c r="F29" s="623">
        <v>22</v>
      </c>
      <c r="G29" s="623">
        <v>12</v>
      </c>
      <c r="H29" s="623">
        <v>6</v>
      </c>
      <c r="I29" s="623">
        <v>0</v>
      </c>
      <c r="J29" s="623">
        <v>7</v>
      </c>
      <c r="K29" s="623">
        <v>0</v>
      </c>
      <c r="L29" s="623"/>
      <c r="M29" s="623"/>
    </row>
    <row r="30" spans="1:13" ht="15" thickBot="1" x14ac:dyDescent="0.35">
      <c r="A30" s="72" t="s">
        <v>675</v>
      </c>
      <c r="B30" s="624"/>
      <c r="C30" s="624"/>
      <c r="D30" s="624"/>
      <c r="E30" s="624"/>
      <c r="F30" s="624"/>
      <c r="G30" s="624"/>
      <c r="H30" s="624"/>
      <c r="I30" s="624"/>
      <c r="J30" s="624"/>
      <c r="K30" s="624"/>
      <c r="L30" s="624"/>
      <c r="M30" s="624"/>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8" t="s">
        <v>694</v>
      </c>
      <c r="C4" s="628" t="s">
        <v>695</v>
      </c>
      <c r="D4" s="628" t="s">
        <v>696</v>
      </c>
      <c r="E4" s="628" t="s">
        <v>697</v>
      </c>
      <c r="F4" s="628" t="s">
        <v>698</v>
      </c>
      <c r="G4" s="628" t="s">
        <v>699</v>
      </c>
      <c r="H4" s="628" t="s">
        <v>700</v>
      </c>
      <c r="I4" s="629" t="s">
        <v>701</v>
      </c>
      <c r="J4" s="629" t="s">
        <v>702</v>
      </c>
    </row>
    <row r="5" spans="1:10" ht="15" thickBot="1" x14ac:dyDescent="0.35">
      <c r="B5" s="627"/>
      <c r="C5" s="627"/>
      <c r="D5" s="627"/>
      <c r="E5" s="627"/>
      <c r="F5" s="627"/>
      <c r="G5" s="627"/>
      <c r="H5" s="627">
        <v>2024</v>
      </c>
      <c r="I5" s="630"/>
      <c r="J5" s="630"/>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5" sqref="L15"/>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31" t="s">
        <v>354</v>
      </c>
      <c r="C3" s="632"/>
      <c r="D3" s="631" t="s">
        <v>355</v>
      </c>
      <c r="E3" s="632"/>
      <c r="F3" s="633" t="s">
        <v>356</v>
      </c>
      <c r="G3" s="632"/>
      <c r="H3" s="631" t="s">
        <v>357</v>
      </c>
      <c r="I3" s="632"/>
      <c r="J3" s="631" t="s">
        <v>358</v>
      </c>
      <c r="K3" s="632"/>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election activeCell="E7" sqref="E7"/>
    </sheetView>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4" t="s">
        <v>752</v>
      </c>
      <c r="B4" s="636" t="s">
        <v>808</v>
      </c>
      <c r="C4" s="636"/>
      <c r="D4" s="636"/>
      <c r="E4" s="636"/>
      <c r="G4" s="634" t="s">
        <v>752</v>
      </c>
      <c r="H4" s="636" t="s">
        <v>808</v>
      </c>
      <c r="I4" s="636"/>
      <c r="J4" s="636"/>
      <c r="K4" s="636"/>
    </row>
    <row r="5" spans="1:11" ht="30.6" thickBot="1" x14ac:dyDescent="0.35">
      <c r="A5" s="635"/>
      <c r="B5" s="46" t="s">
        <v>809</v>
      </c>
      <c r="C5" s="46" t="s">
        <v>810</v>
      </c>
      <c r="D5" s="46" t="s">
        <v>811</v>
      </c>
      <c r="E5" s="46" t="s">
        <v>812</v>
      </c>
      <c r="G5" s="635"/>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P15" sqref="P15"/>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J1" sqref="J1"/>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election activeCell="A12" sqref="A12"/>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tabSelected="1" workbookViewId="0">
      <selection activeCell="I18" sqref="I1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B6" sqref="B6"/>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G10" sqref="G10"/>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B8" sqref="B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7" t="s">
        <v>922</v>
      </c>
      <c r="B5" s="74" t="s">
        <v>923</v>
      </c>
      <c r="C5" s="74" t="s">
        <v>924</v>
      </c>
      <c r="D5" s="76" t="s">
        <v>925</v>
      </c>
    </row>
    <row r="6" spans="1:4" ht="84.6" thickBot="1" x14ac:dyDescent="0.35">
      <c r="A6" s="639"/>
      <c r="B6" s="74" t="s">
        <v>926</v>
      </c>
      <c r="C6" s="74" t="s">
        <v>927</v>
      </c>
      <c r="D6" s="76" t="s">
        <v>925</v>
      </c>
    </row>
    <row r="7" spans="1:4" ht="48.6" thickBot="1" x14ac:dyDescent="0.35">
      <c r="A7" s="639"/>
      <c r="B7" s="74" t="s">
        <v>928</v>
      </c>
      <c r="C7" s="74" t="s">
        <v>929</v>
      </c>
      <c r="D7" s="76" t="s">
        <v>925</v>
      </c>
    </row>
    <row r="8" spans="1:4" ht="84.6" thickBot="1" x14ac:dyDescent="0.35">
      <c r="A8" s="639"/>
      <c r="B8" s="74" t="s">
        <v>930</v>
      </c>
      <c r="C8" s="74" t="s">
        <v>931</v>
      </c>
      <c r="D8" s="76" t="s">
        <v>925</v>
      </c>
    </row>
    <row r="9" spans="1:4" ht="48.6" thickBot="1" x14ac:dyDescent="0.35">
      <c r="A9" s="639"/>
      <c r="B9" s="74" t="s">
        <v>932</v>
      </c>
      <c r="C9" s="74" t="s">
        <v>933</v>
      </c>
      <c r="D9" s="76" t="s">
        <v>925</v>
      </c>
    </row>
    <row r="10" spans="1:4" ht="84.6" thickBot="1" x14ac:dyDescent="0.35">
      <c r="A10" s="639"/>
      <c r="B10" s="74" t="s">
        <v>934</v>
      </c>
      <c r="C10" s="74" t="s">
        <v>935</v>
      </c>
      <c r="D10" s="76" t="s">
        <v>925</v>
      </c>
    </row>
    <row r="11" spans="1:4" ht="72.599999999999994" thickBot="1" x14ac:dyDescent="0.35">
      <c r="A11" s="639"/>
      <c r="B11" s="74" t="s">
        <v>936</v>
      </c>
      <c r="C11" s="74" t="s">
        <v>937</v>
      </c>
      <c r="D11" s="76" t="s">
        <v>925</v>
      </c>
    </row>
    <row r="12" spans="1:4" ht="72.599999999999994" thickBot="1" x14ac:dyDescent="0.35">
      <c r="A12" s="638"/>
      <c r="B12" s="74" t="s">
        <v>938</v>
      </c>
      <c r="C12" s="74" t="s">
        <v>939</v>
      </c>
      <c r="D12" s="76" t="s">
        <v>925</v>
      </c>
    </row>
    <row r="13" spans="1:4" ht="72.599999999999994" thickBot="1" x14ac:dyDescent="0.35">
      <c r="A13" s="637" t="s">
        <v>940</v>
      </c>
      <c r="B13" s="74" t="s">
        <v>941</v>
      </c>
      <c r="C13" s="74" t="s">
        <v>942</v>
      </c>
      <c r="D13" s="76" t="s">
        <v>943</v>
      </c>
    </row>
    <row r="14" spans="1:4" ht="72.599999999999994" thickBot="1" x14ac:dyDescent="0.35">
      <c r="A14" s="639"/>
      <c r="B14" s="74" t="s">
        <v>944</v>
      </c>
      <c r="C14" s="74" t="s">
        <v>945</v>
      </c>
      <c r="D14" s="76" t="s">
        <v>946</v>
      </c>
    </row>
    <row r="15" spans="1:4" ht="108.6" thickBot="1" x14ac:dyDescent="0.35">
      <c r="A15" s="639"/>
      <c r="B15" s="74" t="s">
        <v>947</v>
      </c>
      <c r="C15" s="74" t="s">
        <v>948</v>
      </c>
      <c r="D15" s="76" t="s">
        <v>943</v>
      </c>
    </row>
    <row r="16" spans="1:4" ht="48.6" thickBot="1" x14ac:dyDescent="0.35">
      <c r="A16" s="639"/>
      <c r="B16" s="416" t="s">
        <v>949</v>
      </c>
      <c r="C16" s="74" t="s">
        <v>950</v>
      </c>
      <c r="D16" s="76" t="s">
        <v>946</v>
      </c>
    </row>
    <row r="17" spans="1:4" ht="84.6" thickBot="1" x14ac:dyDescent="0.35">
      <c r="A17" s="639"/>
      <c r="B17" s="74" t="s">
        <v>951</v>
      </c>
      <c r="C17" s="74" t="s">
        <v>952</v>
      </c>
      <c r="D17" s="76" t="s">
        <v>943</v>
      </c>
    </row>
    <row r="18" spans="1:4" ht="48.6" thickBot="1" x14ac:dyDescent="0.35">
      <c r="A18" s="639"/>
      <c r="B18" s="74" t="s">
        <v>953</v>
      </c>
      <c r="C18" s="74" t="s">
        <v>954</v>
      </c>
      <c r="D18" s="76" t="s">
        <v>943</v>
      </c>
    </row>
    <row r="19" spans="1:4" ht="72.599999999999994" thickBot="1" x14ac:dyDescent="0.35">
      <c r="A19" s="639"/>
      <c r="B19" s="74" t="s">
        <v>955</v>
      </c>
      <c r="C19" s="74" t="s">
        <v>956</v>
      </c>
      <c r="D19" s="76" t="s">
        <v>943</v>
      </c>
    </row>
    <row r="20" spans="1:4" ht="72.599999999999994" thickBot="1" x14ac:dyDescent="0.35">
      <c r="A20" s="639" t="s">
        <v>957</v>
      </c>
      <c r="B20" s="74" t="s">
        <v>958</v>
      </c>
      <c r="C20" s="74" t="s">
        <v>959</v>
      </c>
      <c r="D20" s="76" t="s">
        <v>960</v>
      </c>
    </row>
    <row r="21" spans="1:4" ht="84.6" thickBot="1" x14ac:dyDescent="0.35">
      <c r="A21" s="638"/>
      <c r="B21" s="74" t="s">
        <v>961</v>
      </c>
      <c r="C21" s="74" t="s">
        <v>962</v>
      </c>
      <c r="D21" s="76" t="s">
        <v>960</v>
      </c>
    </row>
    <row r="22" spans="1:4" ht="72.599999999999994" thickBot="1" x14ac:dyDescent="0.35">
      <c r="A22" s="637" t="s">
        <v>963</v>
      </c>
      <c r="B22" s="74" t="s">
        <v>964</v>
      </c>
      <c r="C22" s="74" t="s">
        <v>965</v>
      </c>
      <c r="D22" s="76" t="s">
        <v>943</v>
      </c>
    </row>
    <row r="23" spans="1:4" ht="60.6" thickBot="1" x14ac:dyDescent="0.35">
      <c r="A23" s="639"/>
      <c r="B23" s="74" t="s">
        <v>966</v>
      </c>
      <c r="C23" s="74" t="s">
        <v>967</v>
      </c>
      <c r="D23" s="76" t="s">
        <v>968</v>
      </c>
    </row>
    <row r="24" spans="1:4" ht="60.6" thickBot="1" x14ac:dyDescent="0.35">
      <c r="A24" s="639"/>
      <c r="B24" s="74" t="s">
        <v>969</v>
      </c>
      <c r="C24" s="74" t="s">
        <v>970</v>
      </c>
      <c r="D24" s="76" t="s">
        <v>968</v>
      </c>
    </row>
    <row r="25" spans="1:4" ht="72.599999999999994" thickBot="1" x14ac:dyDescent="0.35">
      <c r="A25" s="638"/>
      <c r="B25" s="74" t="s">
        <v>971</v>
      </c>
      <c r="C25" s="74" t="s">
        <v>972</v>
      </c>
      <c r="D25" s="76" t="s">
        <v>925</v>
      </c>
    </row>
    <row r="26" spans="1:4" ht="48.6" thickBot="1" x14ac:dyDescent="0.35">
      <c r="A26" s="637" t="s">
        <v>973</v>
      </c>
      <c r="B26" s="74" t="s">
        <v>974</v>
      </c>
      <c r="C26" s="74" t="s">
        <v>975</v>
      </c>
      <c r="D26" s="76" t="s">
        <v>946</v>
      </c>
    </row>
    <row r="27" spans="1:4" ht="48.6" thickBot="1" x14ac:dyDescent="0.35">
      <c r="A27" s="638"/>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40" t="s">
        <v>922</v>
      </c>
      <c r="B5" s="140" t="s">
        <v>978</v>
      </c>
      <c r="C5" s="74" t="s">
        <v>979</v>
      </c>
      <c r="D5" s="76" t="s">
        <v>925</v>
      </c>
    </row>
    <row r="6" spans="1:4" ht="120.6" thickBot="1" x14ac:dyDescent="0.35">
      <c r="A6" s="641"/>
      <c r="B6" s="140" t="s">
        <v>980</v>
      </c>
      <c r="C6" s="74" t="s">
        <v>981</v>
      </c>
      <c r="D6" s="76" t="s">
        <v>925</v>
      </c>
    </row>
    <row r="7" spans="1:4" ht="72.599999999999994" thickBot="1" x14ac:dyDescent="0.35">
      <c r="A7" s="641"/>
      <c r="B7" s="140" t="s">
        <v>982</v>
      </c>
      <c r="C7" s="74" t="s">
        <v>983</v>
      </c>
      <c r="D7" s="76" t="s">
        <v>925</v>
      </c>
    </row>
    <row r="8" spans="1:4" ht="108.6" thickBot="1" x14ac:dyDescent="0.35">
      <c r="A8" s="641"/>
      <c r="B8" s="140" t="s">
        <v>984</v>
      </c>
      <c r="C8" s="74" t="s">
        <v>985</v>
      </c>
      <c r="D8" s="76" t="s">
        <v>925</v>
      </c>
    </row>
    <row r="9" spans="1:4" ht="96.6" thickBot="1" x14ac:dyDescent="0.35">
      <c r="A9" s="637" t="s">
        <v>940</v>
      </c>
      <c r="B9" s="140" t="s">
        <v>986</v>
      </c>
      <c r="C9" s="74" t="s">
        <v>987</v>
      </c>
      <c r="D9" s="76" t="s">
        <v>968</v>
      </c>
    </row>
    <row r="10" spans="1:4" ht="108.6" thickBot="1" x14ac:dyDescent="0.35">
      <c r="A10" s="639"/>
      <c r="B10" s="140" t="s">
        <v>988</v>
      </c>
      <c r="C10" s="74" t="s">
        <v>989</v>
      </c>
      <c r="D10" s="76" t="s">
        <v>968</v>
      </c>
    </row>
    <row r="11" spans="1:4" ht="72.599999999999994" thickBot="1" x14ac:dyDescent="0.35">
      <c r="A11" s="639"/>
      <c r="B11" s="140" t="s">
        <v>990</v>
      </c>
      <c r="C11" s="74" t="s">
        <v>991</v>
      </c>
      <c r="D11" s="76" t="s">
        <v>968</v>
      </c>
    </row>
    <row r="12" spans="1:4" ht="96.6" thickBot="1" x14ac:dyDescent="0.35">
      <c r="A12" s="639"/>
      <c r="B12" s="140" t="s">
        <v>992</v>
      </c>
      <c r="C12" s="74" t="s">
        <v>993</v>
      </c>
      <c r="D12" s="76" t="s">
        <v>968</v>
      </c>
    </row>
    <row r="13" spans="1:4" ht="96.6" thickBot="1" x14ac:dyDescent="0.35">
      <c r="A13" s="639"/>
      <c r="B13" s="140" t="s">
        <v>994</v>
      </c>
      <c r="C13" s="74" t="s">
        <v>995</v>
      </c>
      <c r="D13" s="76" t="s">
        <v>946</v>
      </c>
    </row>
    <row r="14" spans="1:4" ht="84.6" thickBot="1" x14ac:dyDescent="0.35">
      <c r="A14" s="639"/>
      <c r="B14" s="140" t="s">
        <v>996</v>
      </c>
      <c r="C14" s="74" t="s">
        <v>997</v>
      </c>
      <c r="D14" s="76" t="s">
        <v>946</v>
      </c>
    </row>
    <row r="15" spans="1:4" ht="72.599999999999994" thickBot="1" x14ac:dyDescent="0.35">
      <c r="A15" s="638"/>
      <c r="B15" s="140" t="s">
        <v>998</v>
      </c>
      <c r="C15" s="74" t="s">
        <v>999</v>
      </c>
      <c r="D15" s="76" t="s">
        <v>946</v>
      </c>
    </row>
    <row r="16" spans="1:4" ht="72.599999999999994" thickBot="1" x14ac:dyDescent="0.35">
      <c r="A16" s="640" t="s">
        <v>963</v>
      </c>
      <c r="B16" s="140" t="s">
        <v>1000</v>
      </c>
      <c r="C16" s="74" t="s">
        <v>1001</v>
      </c>
      <c r="D16" s="76" t="s">
        <v>1002</v>
      </c>
    </row>
    <row r="17" spans="1:4" ht="72.599999999999994" thickBot="1" x14ac:dyDescent="0.35">
      <c r="A17" s="642"/>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7" t="s">
        <v>1009</v>
      </c>
      <c r="B20" s="140" t="s">
        <v>1010</v>
      </c>
      <c r="C20" s="74" t="s">
        <v>1011</v>
      </c>
      <c r="D20" s="76" t="s">
        <v>946</v>
      </c>
    </row>
    <row r="21" spans="1:4" ht="84.6" thickBot="1" x14ac:dyDescent="0.35">
      <c r="A21" s="639"/>
      <c r="B21" s="140" t="s">
        <v>1012</v>
      </c>
      <c r="C21" s="74" t="s">
        <v>1013</v>
      </c>
      <c r="D21" s="76" t="s">
        <v>946</v>
      </c>
    </row>
    <row r="22" spans="1:4" ht="60.6" thickBot="1" x14ac:dyDescent="0.35">
      <c r="A22" s="639"/>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43" t="s">
        <v>1047</v>
      </c>
      <c r="B5" s="643" t="s">
        <v>1048</v>
      </c>
      <c r="C5" s="360" t="s">
        <v>1049</v>
      </c>
    </row>
    <row r="6" spans="1:3" ht="89.25" customHeight="1" x14ac:dyDescent="0.3">
      <c r="A6" s="625"/>
      <c r="B6" s="625"/>
      <c r="C6" s="355" t="s">
        <v>1050</v>
      </c>
    </row>
    <row r="7" spans="1:3" ht="52.8" x14ac:dyDescent="0.3">
      <c r="A7" s="625"/>
      <c r="B7" s="625"/>
      <c r="C7" s="355" t="s">
        <v>1051</v>
      </c>
    </row>
    <row r="8" spans="1:3" ht="15" thickBot="1" x14ac:dyDescent="0.35">
      <c r="A8" s="625"/>
      <c r="B8" s="625"/>
      <c r="C8" s="349" t="s">
        <v>1052</v>
      </c>
    </row>
    <row r="9" spans="1:3" ht="39.6" x14ac:dyDescent="0.3">
      <c r="A9" s="625"/>
      <c r="B9" s="625"/>
      <c r="C9" s="355" t="s">
        <v>1053</v>
      </c>
    </row>
    <row r="10" spans="1:3" ht="79.2" x14ac:dyDescent="0.3">
      <c r="A10" s="625"/>
      <c r="B10" s="625"/>
      <c r="C10" s="355" t="s">
        <v>1054</v>
      </c>
    </row>
    <row r="11" spans="1:3" ht="15" thickBot="1" x14ac:dyDescent="0.35">
      <c r="A11" s="625"/>
      <c r="B11" s="625"/>
      <c r="C11" s="349" t="s">
        <v>1055</v>
      </c>
    </row>
    <row r="12" spans="1:3" ht="66" x14ac:dyDescent="0.3">
      <c r="A12" s="625"/>
      <c r="B12" s="625"/>
      <c r="C12" s="363" t="s">
        <v>1056</v>
      </c>
    </row>
    <row r="13" spans="1:3" ht="15" thickBot="1" x14ac:dyDescent="0.35">
      <c r="A13" s="625"/>
      <c r="B13" s="625"/>
      <c r="C13" s="349" t="s">
        <v>1057</v>
      </c>
    </row>
    <row r="14" spans="1:3" ht="52.8" x14ac:dyDescent="0.3">
      <c r="A14" s="625"/>
      <c r="B14" s="625"/>
      <c r="C14" s="363" t="s">
        <v>1058</v>
      </c>
    </row>
    <row r="15" spans="1:3" ht="15" thickBot="1" x14ac:dyDescent="0.35">
      <c r="A15" s="625"/>
      <c r="B15" s="625"/>
      <c r="C15" s="349" t="s">
        <v>1059</v>
      </c>
    </row>
    <row r="16" spans="1:3" ht="39.6" x14ac:dyDescent="0.3">
      <c r="A16" s="625"/>
      <c r="B16" s="625"/>
      <c r="C16" s="363" t="s">
        <v>1060</v>
      </c>
    </row>
    <row r="17" spans="1:3" ht="15" thickBot="1" x14ac:dyDescent="0.35">
      <c r="A17" s="625"/>
      <c r="B17" s="625"/>
      <c r="C17" s="349" t="s">
        <v>1061</v>
      </c>
    </row>
    <row r="18" spans="1:3" ht="115.5" customHeight="1" thickBot="1" x14ac:dyDescent="0.35">
      <c r="A18" s="349"/>
      <c r="B18" s="624"/>
      <c r="C18" s="350" t="s">
        <v>1062</v>
      </c>
    </row>
    <row r="19" spans="1:3" ht="27.75" customHeight="1" x14ac:dyDescent="0.3">
      <c r="A19" s="645" t="s">
        <v>1063</v>
      </c>
      <c r="B19" s="646" t="s">
        <v>1064</v>
      </c>
      <c r="C19" s="646"/>
    </row>
    <row r="20" spans="1:3" ht="43.5" customHeight="1" x14ac:dyDescent="0.3">
      <c r="A20" s="645"/>
      <c r="B20" s="646" t="s">
        <v>1065</v>
      </c>
      <c r="C20" s="646"/>
    </row>
    <row r="21" spans="1:3" ht="43.5" customHeight="1" x14ac:dyDescent="0.3">
      <c r="A21" s="645"/>
      <c r="B21" s="646" t="s">
        <v>1066</v>
      </c>
      <c r="C21" s="646"/>
    </row>
    <row r="22" spans="1:3" ht="43.5" customHeight="1" thickBot="1" x14ac:dyDescent="0.35">
      <c r="A22" s="104"/>
      <c r="B22" s="644" t="s">
        <v>1067</v>
      </c>
      <c r="C22" s="644"/>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5" t="s">
        <v>1047</v>
      </c>
      <c r="B5" s="648" t="s">
        <v>1068</v>
      </c>
      <c r="C5" s="354" t="s">
        <v>1049</v>
      </c>
    </row>
    <row r="6" spans="1:3" ht="66.599999999999994" thickBot="1" x14ac:dyDescent="0.4">
      <c r="A6" s="625"/>
      <c r="B6" s="648"/>
      <c r="C6" s="362" t="s">
        <v>1069</v>
      </c>
    </row>
    <row r="7" spans="1:3" ht="16.2" thickBot="1" x14ac:dyDescent="0.4">
      <c r="A7" s="625"/>
      <c r="B7" s="648"/>
      <c r="C7" s="349" t="s">
        <v>1052</v>
      </c>
    </row>
    <row r="8" spans="1:3" ht="66" x14ac:dyDescent="0.35">
      <c r="A8" s="625"/>
      <c r="B8" s="648"/>
      <c r="C8" s="358" t="s">
        <v>1070</v>
      </c>
    </row>
    <row r="9" spans="1:3" ht="53.4" thickBot="1" x14ac:dyDescent="0.4">
      <c r="A9" s="625"/>
      <c r="B9" s="648"/>
      <c r="C9" s="361" t="s">
        <v>1071</v>
      </c>
    </row>
    <row r="10" spans="1:3" ht="16.2" thickBot="1" x14ac:dyDescent="0.4">
      <c r="A10" s="625"/>
      <c r="B10" s="648"/>
      <c r="C10" s="349" t="s">
        <v>1055</v>
      </c>
    </row>
    <row r="11" spans="1:3" ht="52.8" x14ac:dyDescent="0.35">
      <c r="A11" s="625"/>
      <c r="B11" s="648"/>
      <c r="C11" s="357" t="s">
        <v>1072</v>
      </c>
    </row>
    <row r="12" spans="1:3" ht="57.75" customHeight="1" x14ac:dyDescent="0.35">
      <c r="A12" s="625"/>
      <c r="B12" s="648"/>
      <c r="C12" s="358" t="s">
        <v>1073</v>
      </c>
    </row>
    <row r="13" spans="1:3" ht="59.25" customHeight="1" x14ac:dyDescent="0.35">
      <c r="A13" s="625"/>
      <c r="B13" s="648"/>
      <c r="C13" s="358" t="s">
        <v>1074</v>
      </c>
    </row>
    <row r="14" spans="1:3" ht="52.5" customHeight="1" x14ac:dyDescent="0.35">
      <c r="A14" s="625"/>
      <c r="B14" s="648"/>
      <c r="C14" s="358" t="s">
        <v>1075</v>
      </c>
    </row>
    <row r="15" spans="1:3" ht="52.5" customHeight="1" x14ac:dyDescent="0.35">
      <c r="A15" s="625"/>
      <c r="B15" s="648"/>
      <c r="C15" s="358" t="s">
        <v>1076</v>
      </c>
    </row>
    <row r="16" spans="1:3" ht="87.75" customHeight="1" x14ac:dyDescent="0.35">
      <c r="A16" s="625"/>
      <c r="B16" s="648"/>
      <c r="C16" s="358" t="s">
        <v>1077</v>
      </c>
    </row>
    <row r="17" spans="1:3" ht="96.75" customHeight="1" x14ac:dyDescent="0.35">
      <c r="A17" s="625"/>
      <c r="B17" s="648"/>
      <c r="C17" s="358" t="s">
        <v>1078</v>
      </c>
    </row>
    <row r="18" spans="1:3" ht="50.25" customHeight="1" x14ac:dyDescent="0.35">
      <c r="A18" s="625"/>
      <c r="B18" s="648"/>
      <c r="C18" s="358" t="s">
        <v>1079</v>
      </c>
    </row>
    <row r="19" spans="1:3" ht="50.25" customHeight="1" x14ac:dyDescent="0.35">
      <c r="A19" s="625"/>
      <c r="B19" s="648"/>
      <c r="C19" s="358" t="s">
        <v>1080</v>
      </c>
    </row>
    <row r="20" spans="1:3" ht="50.25" customHeight="1" x14ac:dyDescent="0.35">
      <c r="A20" s="625"/>
      <c r="B20" s="648"/>
      <c r="C20" s="358" t="s">
        <v>1081</v>
      </c>
    </row>
    <row r="21" spans="1:3" ht="52.8" x14ac:dyDescent="0.35">
      <c r="A21" s="625"/>
      <c r="B21" s="648"/>
      <c r="C21" s="358" t="s">
        <v>1082</v>
      </c>
    </row>
    <row r="22" spans="1:3" ht="37.5" customHeight="1" thickBot="1" x14ac:dyDescent="0.4">
      <c r="A22" s="625"/>
      <c r="B22" s="648"/>
      <c r="C22" s="361" t="s">
        <v>1083</v>
      </c>
    </row>
    <row r="23" spans="1:3" ht="16.2" thickBot="1" x14ac:dyDescent="0.4">
      <c r="A23" s="625"/>
      <c r="B23" s="648"/>
      <c r="C23" s="349" t="s">
        <v>1057</v>
      </c>
    </row>
    <row r="24" spans="1:3" ht="39.6" x14ac:dyDescent="0.35">
      <c r="A24" s="625"/>
      <c r="B24" s="648"/>
      <c r="C24" s="358" t="s">
        <v>1084</v>
      </c>
    </row>
    <row r="25" spans="1:3" ht="51" customHeight="1" x14ac:dyDescent="0.35">
      <c r="A25" s="625"/>
      <c r="B25" s="648"/>
      <c r="C25" s="358" t="s">
        <v>1085</v>
      </c>
    </row>
    <row r="26" spans="1:3" ht="51" customHeight="1" x14ac:dyDescent="0.35">
      <c r="A26" s="625"/>
      <c r="B26" s="648"/>
      <c r="C26" s="358" t="s">
        <v>1086</v>
      </c>
    </row>
    <row r="27" spans="1:3" ht="51" customHeight="1" x14ac:dyDescent="0.35">
      <c r="A27" s="625"/>
      <c r="B27" s="648"/>
      <c r="C27" s="358" t="s">
        <v>1087</v>
      </c>
    </row>
    <row r="28" spans="1:3" ht="88.5" customHeight="1" thickBot="1" x14ac:dyDescent="0.4">
      <c r="A28" s="625"/>
      <c r="B28" s="648"/>
      <c r="C28" s="361" t="s">
        <v>1088</v>
      </c>
    </row>
    <row r="29" spans="1:3" ht="16.2" thickBot="1" x14ac:dyDescent="0.4">
      <c r="A29" s="625"/>
      <c r="B29" s="648"/>
      <c r="C29" s="361" t="s">
        <v>1059</v>
      </c>
    </row>
    <row r="30" spans="1:3" ht="39.6" x14ac:dyDescent="0.35">
      <c r="A30" s="625"/>
      <c r="B30" s="648"/>
      <c r="C30" s="358" t="s">
        <v>1089</v>
      </c>
    </row>
    <row r="31" spans="1:3" ht="55.5" customHeight="1" x14ac:dyDescent="0.35">
      <c r="A31" s="625"/>
      <c r="B31" s="648"/>
      <c r="C31" s="357" t="s">
        <v>1090</v>
      </c>
    </row>
    <row r="32" spans="1:3" ht="47.25" customHeight="1" x14ac:dyDescent="0.35">
      <c r="A32" s="625"/>
      <c r="B32" s="648"/>
      <c r="C32" s="357" t="s">
        <v>1091</v>
      </c>
    </row>
    <row r="33" spans="1:3" ht="93" customHeight="1" x14ac:dyDescent="0.35">
      <c r="A33" s="625"/>
      <c r="B33" s="648"/>
      <c r="C33" s="357" t="s">
        <v>1092</v>
      </c>
    </row>
    <row r="34" spans="1:3" ht="96" customHeight="1" thickBot="1" x14ac:dyDescent="0.4">
      <c r="A34" s="625"/>
      <c r="B34" s="648"/>
      <c r="C34" s="359" t="s">
        <v>1093</v>
      </c>
    </row>
    <row r="35" spans="1:3" ht="16.2" thickBot="1" x14ac:dyDescent="0.4">
      <c r="A35" s="625"/>
      <c r="B35" s="648"/>
      <c r="C35" s="361" t="s">
        <v>1061</v>
      </c>
    </row>
    <row r="36" spans="1:3" ht="52.5" customHeight="1" x14ac:dyDescent="0.35">
      <c r="A36" s="625"/>
      <c r="B36" s="648"/>
      <c r="C36" s="358" t="s">
        <v>1094</v>
      </c>
    </row>
    <row r="37" spans="1:3" ht="50.25" customHeight="1" x14ac:dyDescent="0.35">
      <c r="A37" s="625"/>
      <c r="B37" s="648"/>
      <c r="C37" s="357" t="s">
        <v>1095</v>
      </c>
    </row>
    <row r="38" spans="1:3" ht="47.25" customHeight="1" x14ac:dyDescent="0.35">
      <c r="A38" s="625"/>
      <c r="B38" s="648"/>
      <c r="C38" s="357" t="s">
        <v>1096</v>
      </c>
    </row>
    <row r="39" spans="1:3" ht="84" customHeight="1" x14ac:dyDescent="0.35">
      <c r="A39" s="625"/>
      <c r="B39" s="648"/>
      <c r="C39" s="357" t="s">
        <v>1097</v>
      </c>
    </row>
    <row r="40" spans="1:3" ht="95.25" customHeight="1" thickBot="1" x14ac:dyDescent="0.4">
      <c r="A40" s="624"/>
      <c r="B40" s="649"/>
      <c r="C40" s="359" t="s">
        <v>1098</v>
      </c>
    </row>
    <row r="41" spans="1:3" ht="33.75" customHeight="1" x14ac:dyDescent="0.35">
      <c r="A41" s="645" t="s">
        <v>1063</v>
      </c>
      <c r="B41" s="648" t="s">
        <v>1099</v>
      </c>
      <c r="C41" s="648"/>
    </row>
    <row r="42" spans="1:3" ht="43.5" customHeight="1" x14ac:dyDescent="0.35">
      <c r="A42" s="645"/>
      <c r="B42" s="648" t="s">
        <v>1100</v>
      </c>
      <c r="C42" s="648"/>
    </row>
    <row r="43" spans="1:3" ht="55.5" customHeight="1" x14ac:dyDescent="0.35">
      <c r="A43" s="645"/>
      <c r="B43" s="648" t="s">
        <v>1101</v>
      </c>
      <c r="C43" s="648"/>
    </row>
    <row r="44" spans="1:3" ht="27" customHeight="1" x14ac:dyDescent="0.35">
      <c r="A44" s="645"/>
      <c r="B44" s="648" t="s">
        <v>1102</v>
      </c>
      <c r="C44" s="648"/>
    </row>
    <row r="45" spans="1:3" ht="37.5" customHeight="1" x14ac:dyDescent="0.35">
      <c r="A45" s="645"/>
      <c r="B45" s="648" t="s">
        <v>1103</v>
      </c>
      <c r="C45" s="648"/>
    </row>
    <row r="46" spans="1:3" ht="45" customHeight="1" x14ac:dyDescent="0.35">
      <c r="A46" s="645"/>
      <c r="B46" s="648" t="s">
        <v>1104</v>
      </c>
      <c r="C46" s="648"/>
    </row>
    <row r="47" spans="1:3" ht="34.5" customHeight="1" thickBot="1" x14ac:dyDescent="0.4">
      <c r="A47" s="647"/>
      <c r="B47" s="649" t="s">
        <v>1105</v>
      </c>
      <c r="C47" s="649"/>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50" t="s">
        <v>444</v>
      </c>
      <c r="B4" s="653" t="s">
        <v>1111</v>
      </c>
      <c r="C4" s="653"/>
      <c r="D4" s="653"/>
      <c r="E4" s="653"/>
      <c r="F4" s="653"/>
      <c r="G4" s="653"/>
      <c r="H4" s="653"/>
      <c r="I4" s="544"/>
      <c r="J4" s="634" t="s">
        <v>509</v>
      </c>
    </row>
    <row r="5" spans="1:10" ht="15" x14ac:dyDescent="0.3">
      <c r="A5" s="651"/>
      <c r="B5" s="67">
        <v>2019</v>
      </c>
      <c r="C5" s="67">
        <v>2020</v>
      </c>
      <c r="D5" s="67">
        <v>2021</v>
      </c>
      <c r="E5" s="46">
        <v>2022</v>
      </c>
      <c r="F5" s="46">
        <v>2023</v>
      </c>
      <c r="G5" s="46">
        <v>2024</v>
      </c>
      <c r="H5" s="46">
        <v>2025</v>
      </c>
      <c r="I5" s="46" t="s">
        <v>1112</v>
      </c>
      <c r="J5" s="652"/>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53" t="s">
        <v>508</v>
      </c>
      <c r="C4" s="653"/>
      <c r="D4" s="653"/>
      <c r="E4" s="653"/>
      <c r="F4" s="653"/>
      <c r="G4" s="653"/>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4">
        <v>2021</v>
      </c>
      <c r="B6" s="654" t="s">
        <v>1181</v>
      </c>
      <c r="C6" s="654" t="s">
        <v>1182</v>
      </c>
      <c r="D6" s="48" t="s">
        <v>1180</v>
      </c>
    </row>
    <row r="7" spans="1:4" ht="15.6" thickBot="1" x14ac:dyDescent="0.35">
      <c r="A7" s="655"/>
      <c r="B7" s="655"/>
      <c r="C7" s="655"/>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6"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7"/>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8"/>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6"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7"/>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9"/>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B5" sqref="B5"/>
    </sheetView>
  </sheetViews>
  <sheetFormatPr baseColWidth="10" defaultColWidth="11.44140625" defaultRowHeight="14.4" x14ac:dyDescent="0.3"/>
  <cols>
    <col min="1" max="1" width="19.5546875" bestFit="1" customWidth="1"/>
    <col min="2" max="2" width="16.33203125"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4" t="s">
        <v>1404</v>
      </c>
      <c r="B4" s="62">
        <v>2019</v>
      </c>
      <c r="C4" s="62">
        <v>2020</v>
      </c>
      <c r="D4" s="62">
        <v>2021</v>
      </c>
      <c r="E4" s="62">
        <v>2022</v>
      </c>
      <c r="F4" s="62">
        <v>2023</v>
      </c>
      <c r="G4" s="62">
        <v>2024</v>
      </c>
      <c r="H4" s="182">
        <v>2025</v>
      </c>
      <c r="I4" s="182" t="s">
        <v>358</v>
      </c>
    </row>
    <row r="5" spans="1:9" ht="15.6" thickBot="1" x14ac:dyDescent="0.35">
      <c r="A5" s="652"/>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23" t="s">
        <v>1467</v>
      </c>
      <c r="B5" s="623">
        <v>3</v>
      </c>
      <c r="C5" s="72" t="s">
        <v>1427</v>
      </c>
      <c r="D5" s="72" t="s">
        <v>1458</v>
      </c>
    </row>
    <row r="6" spans="1:4" ht="15" thickBot="1" x14ac:dyDescent="0.35">
      <c r="A6" s="625"/>
      <c r="B6" s="625"/>
      <c r="C6" s="72" t="s">
        <v>1412</v>
      </c>
      <c r="D6" s="72" t="s">
        <v>1468</v>
      </c>
    </row>
    <row r="7" spans="1:4" ht="15" thickBot="1" x14ac:dyDescent="0.35">
      <c r="A7" s="624"/>
      <c r="B7" s="624"/>
      <c r="C7" s="72" t="s">
        <v>1469</v>
      </c>
      <c r="D7" s="72" t="s">
        <v>1460</v>
      </c>
    </row>
    <row r="8" spans="1:4" ht="15" thickBot="1" x14ac:dyDescent="0.35">
      <c r="A8" s="623" t="s">
        <v>1470</v>
      </c>
      <c r="B8" s="623">
        <v>3</v>
      </c>
      <c r="C8" s="72" t="s">
        <v>1427</v>
      </c>
      <c r="D8" s="72" t="s">
        <v>1458</v>
      </c>
    </row>
    <row r="9" spans="1:4" ht="15" thickBot="1" x14ac:dyDescent="0.35">
      <c r="A9" s="625"/>
      <c r="B9" s="625"/>
      <c r="C9" s="72" t="s">
        <v>1412</v>
      </c>
      <c r="D9" s="72" t="s">
        <v>1468</v>
      </c>
    </row>
    <row r="10" spans="1:4" ht="15" thickBot="1" x14ac:dyDescent="0.35">
      <c r="A10" s="624"/>
      <c r="B10" s="624"/>
      <c r="C10" s="72" t="s">
        <v>1469</v>
      </c>
      <c r="D10" s="72" t="s">
        <v>1460</v>
      </c>
    </row>
    <row r="11" spans="1:4" ht="15" thickBot="1" x14ac:dyDescent="0.35">
      <c r="A11" s="623" t="s">
        <v>1471</v>
      </c>
      <c r="B11" s="623">
        <v>3</v>
      </c>
      <c r="C11" s="72" t="s">
        <v>1472</v>
      </c>
      <c r="D11" s="72" t="s">
        <v>1468</v>
      </c>
    </row>
    <row r="12" spans="1:4" ht="15" thickBot="1" x14ac:dyDescent="0.35">
      <c r="A12" s="625"/>
      <c r="B12" s="625"/>
      <c r="C12" s="72" t="s">
        <v>1469</v>
      </c>
      <c r="D12" s="72" t="s">
        <v>1460</v>
      </c>
    </row>
    <row r="13" spans="1:4" ht="15" thickBot="1" x14ac:dyDescent="0.35">
      <c r="A13" s="624"/>
      <c r="B13" s="624"/>
      <c r="C13" s="72" t="s">
        <v>1427</v>
      </c>
      <c r="D13" s="72" t="s">
        <v>1458</v>
      </c>
    </row>
    <row r="14" spans="1:4" ht="15" thickBot="1" x14ac:dyDescent="0.35">
      <c r="A14" s="623" t="s">
        <v>1473</v>
      </c>
      <c r="B14" s="623">
        <v>3</v>
      </c>
      <c r="C14" s="72" t="s">
        <v>1427</v>
      </c>
      <c r="D14" s="72" t="s">
        <v>1458</v>
      </c>
    </row>
    <row r="15" spans="1:4" ht="15" thickBot="1" x14ac:dyDescent="0.35">
      <c r="A15" s="625"/>
      <c r="B15" s="625"/>
      <c r="C15" s="72" t="s">
        <v>1472</v>
      </c>
      <c r="D15" s="72" t="s">
        <v>1468</v>
      </c>
    </row>
    <row r="16" spans="1:4" ht="15" thickBot="1" x14ac:dyDescent="0.35">
      <c r="A16" s="624"/>
      <c r="B16" s="624"/>
      <c r="C16" s="72" t="s">
        <v>1469</v>
      </c>
      <c r="D16" s="72" t="s">
        <v>1460</v>
      </c>
    </row>
    <row r="17" spans="1:4" ht="15" thickBot="1" x14ac:dyDescent="0.35">
      <c r="A17" s="660" t="s">
        <v>1474</v>
      </c>
      <c r="B17" s="660">
        <v>2</v>
      </c>
      <c r="C17" s="352" t="s">
        <v>1472</v>
      </c>
      <c r="D17" s="352" t="s">
        <v>1468</v>
      </c>
    </row>
    <row r="18" spans="1:4" ht="15" thickBot="1" x14ac:dyDescent="0.35">
      <c r="A18" s="661"/>
      <c r="B18" s="661"/>
      <c r="C18" s="352" t="s">
        <v>1469</v>
      </c>
      <c r="D18" s="352" t="s">
        <v>1460</v>
      </c>
    </row>
    <row r="19" spans="1:4" ht="15" thickBot="1" x14ac:dyDescent="0.35">
      <c r="A19" s="660" t="s">
        <v>1475</v>
      </c>
      <c r="B19" s="660">
        <v>2</v>
      </c>
      <c r="C19" s="352" t="s">
        <v>1472</v>
      </c>
      <c r="D19" s="352" t="s">
        <v>1468</v>
      </c>
    </row>
    <row r="20" spans="1:4" ht="15" thickBot="1" x14ac:dyDescent="0.35">
      <c r="A20" s="661"/>
      <c r="B20" s="661"/>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6"/>
      <c r="B4" s="666" t="s">
        <v>1175</v>
      </c>
      <c r="C4" s="665" t="s">
        <v>1775</v>
      </c>
      <c r="D4" s="665"/>
      <c r="E4" s="665"/>
    </row>
    <row r="5" spans="1:5" ht="27" thickBot="1" x14ac:dyDescent="0.35">
      <c r="A5" s="627"/>
      <c r="B5" s="627"/>
      <c r="C5" s="93" t="s">
        <v>1776</v>
      </c>
      <c r="D5" s="93" t="s">
        <v>1777</v>
      </c>
      <c r="E5" s="93" t="s">
        <v>1778</v>
      </c>
    </row>
    <row r="6" spans="1:5" ht="27" thickBot="1" x14ac:dyDescent="0.35">
      <c r="A6" s="623" t="s">
        <v>412</v>
      </c>
      <c r="B6" s="71" t="s">
        <v>1779</v>
      </c>
      <c r="C6" s="72">
        <v>406</v>
      </c>
      <c r="D6" s="72">
        <v>368</v>
      </c>
      <c r="E6" s="72">
        <v>86</v>
      </c>
    </row>
    <row r="7" spans="1:5" ht="27" thickBot="1" x14ac:dyDescent="0.35">
      <c r="A7" s="625"/>
      <c r="B7" s="71" t="s">
        <v>1780</v>
      </c>
      <c r="C7" s="72">
        <v>84</v>
      </c>
      <c r="D7" s="72">
        <v>42</v>
      </c>
      <c r="E7" s="72">
        <v>15</v>
      </c>
    </row>
    <row r="8" spans="1:5" ht="27" thickBot="1" x14ac:dyDescent="0.35">
      <c r="A8" s="624"/>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23" t="s">
        <v>415</v>
      </c>
      <c r="B11" s="71" t="s">
        <v>1782</v>
      </c>
      <c r="C11" s="72">
        <v>236</v>
      </c>
      <c r="D11" s="72">
        <v>455</v>
      </c>
      <c r="E11" s="72">
        <v>98</v>
      </c>
    </row>
    <row r="12" spans="1:5" ht="27" thickBot="1" x14ac:dyDescent="0.35">
      <c r="A12" s="624"/>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23" t="s">
        <v>417</v>
      </c>
      <c r="B14" s="71" t="s">
        <v>1780</v>
      </c>
      <c r="C14" s="72">
        <v>173</v>
      </c>
      <c r="D14" s="72">
        <v>70</v>
      </c>
      <c r="E14" s="72">
        <v>0</v>
      </c>
    </row>
    <row r="15" spans="1:5" ht="27" thickBot="1" x14ac:dyDescent="0.35">
      <c r="A15" s="624"/>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23" t="s">
        <v>420</v>
      </c>
      <c r="B18" s="71" t="s">
        <v>1783</v>
      </c>
      <c r="C18" s="72">
        <v>220</v>
      </c>
      <c r="D18" s="72">
        <v>407</v>
      </c>
      <c r="E18" s="72">
        <v>43</v>
      </c>
    </row>
    <row r="19" spans="1:14" ht="27" thickBot="1" x14ac:dyDescent="0.35">
      <c r="A19" s="624"/>
      <c r="B19" s="71" t="s">
        <v>1780</v>
      </c>
      <c r="C19" s="72">
        <v>185</v>
      </c>
      <c r="D19" s="72">
        <v>93</v>
      </c>
      <c r="E19" s="72">
        <v>7</v>
      </c>
    </row>
    <row r="20" spans="1:14" ht="27" thickBot="1" x14ac:dyDescent="0.35">
      <c r="A20" s="623" t="s">
        <v>354</v>
      </c>
      <c r="B20" s="71" t="s">
        <v>1780</v>
      </c>
      <c r="C20" s="72">
        <v>178</v>
      </c>
      <c r="D20" s="72">
        <v>296</v>
      </c>
      <c r="E20" s="72">
        <v>0</v>
      </c>
    </row>
    <row r="21" spans="1:14" ht="27" thickBot="1" x14ac:dyDescent="0.35">
      <c r="A21" s="624"/>
      <c r="B21" s="71" t="s">
        <v>1781</v>
      </c>
      <c r="C21" s="72">
        <v>105</v>
      </c>
      <c r="D21" s="72">
        <v>44</v>
      </c>
      <c r="E21" s="72">
        <v>0</v>
      </c>
    </row>
    <row r="22" spans="1:14" ht="27" thickBot="1" x14ac:dyDescent="0.35">
      <c r="A22" s="623" t="s">
        <v>355</v>
      </c>
      <c r="B22" s="71" t="s">
        <v>1780</v>
      </c>
      <c r="C22" s="72">
        <v>354</v>
      </c>
      <c r="D22" s="72">
        <v>65</v>
      </c>
      <c r="E22" s="72">
        <v>0</v>
      </c>
    </row>
    <row r="23" spans="1:14" ht="27" thickBot="1" x14ac:dyDescent="0.35">
      <c r="A23" s="624"/>
      <c r="B23" s="71" t="s">
        <v>1781</v>
      </c>
      <c r="C23" s="72">
        <v>15</v>
      </c>
      <c r="D23" s="72">
        <v>53</v>
      </c>
      <c r="E23" s="72">
        <v>0</v>
      </c>
    </row>
    <row r="24" spans="1:14" ht="26.4" x14ac:dyDescent="0.3">
      <c r="A24" s="623" t="s">
        <v>356</v>
      </c>
      <c r="B24" s="71" t="s">
        <v>1780</v>
      </c>
      <c r="C24" s="72">
        <v>205</v>
      </c>
      <c r="D24" s="72">
        <v>43</v>
      </c>
      <c r="E24" s="72">
        <v>40</v>
      </c>
    </row>
    <row r="25" spans="1:14" ht="27" thickBot="1" x14ac:dyDescent="0.35">
      <c r="A25" s="624"/>
      <c r="B25" s="71" t="s">
        <v>1781</v>
      </c>
      <c r="C25" s="72">
        <v>2</v>
      </c>
      <c r="D25" s="72">
        <v>0</v>
      </c>
      <c r="E25" s="72">
        <v>0</v>
      </c>
    </row>
    <row r="26" spans="1:14" ht="27" thickBot="1" x14ac:dyDescent="0.35">
      <c r="A26" s="662" t="s">
        <v>357</v>
      </c>
      <c r="B26" s="533" t="s">
        <v>1780</v>
      </c>
      <c r="C26" s="534">
        <v>226</v>
      </c>
      <c r="D26" s="534">
        <v>107</v>
      </c>
      <c r="E26" s="534">
        <v>0</v>
      </c>
    </row>
    <row r="27" spans="1:14" ht="27" thickBot="1" x14ac:dyDescent="0.35">
      <c r="A27" s="663"/>
      <c r="B27" s="533" t="s">
        <v>1784</v>
      </c>
      <c r="C27" s="534">
        <v>1</v>
      </c>
      <c r="D27" s="534">
        <v>8</v>
      </c>
      <c r="E27" s="534">
        <v>0</v>
      </c>
    </row>
    <row r="28" spans="1:14" ht="27" thickBot="1" x14ac:dyDescent="0.35">
      <c r="A28" s="663"/>
      <c r="B28" s="533" t="s">
        <v>1781</v>
      </c>
      <c r="C28" s="534">
        <v>293</v>
      </c>
      <c r="D28" s="534">
        <v>192</v>
      </c>
      <c r="E28" s="534">
        <v>0</v>
      </c>
    </row>
    <row r="29" spans="1:14" ht="27" thickBot="1" x14ac:dyDescent="0.35">
      <c r="A29" s="664"/>
      <c r="B29" s="533" t="s">
        <v>1782</v>
      </c>
      <c r="C29" s="534">
        <v>273</v>
      </c>
      <c r="D29" s="534">
        <v>400</v>
      </c>
      <c r="E29" s="534">
        <v>0</v>
      </c>
    </row>
    <row r="30" spans="1:14" ht="27" thickBot="1" x14ac:dyDescent="0.35">
      <c r="A30" s="662" t="s">
        <v>358</v>
      </c>
      <c r="B30" s="533" t="s">
        <v>1780</v>
      </c>
      <c r="C30" s="534">
        <v>290</v>
      </c>
      <c r="D30" s="534">
        <v>119</v>
      </c>
      <c r="E30" s="534">
        <v>0</v>
      </c>
      <c r="N30"/>
    </row>
    <row r="31" spans="1:14" ht="27" thickBot="1" x14ac:dyDescent="0.35">
      <c r="A31" s="663"/>
      <c r="B31" s="533" t="s">
        <v>1785</v>
      </c>
      <c r="C31" s="534">
        <v>6</v>
      </c>
      <c r="D31" s="534">
        <v>9</v>
      </c>
      <c r="E31" s="534">
        <v>0</v>
      </c>
    </row>
    <row r="32" spans="1:14" ht="27" thickBot="1" x14ac:dyDescent="0.35">
      <c r="A32" s="664"/>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70" t="s">
        <v>412</v>
      </c>
      <c r="B5" s="94" t="s">
        <v>1789</v>
      </c>
    </row>
    <row r="6" spans="1:2" x14ac:dyDescent="0.3">
      <c r="A6" s="670"/>
      <c r="B6" s="94" t="s">
        <v>1790</v>
      </c>
    </row>
    <row r="7" spans="1:2" x14ac:dyDescent="0.3">
      <c r="A7" s="670"/>
      <c r="B7" s="94" t="s">
        <v>1791</v>
      </c>
    </row>
    <row r="8" spans="1:2" x14ac:dyDescent="0.3">
      <c r="A8" s="670"/>
      <c r="B8" s="94" t="s">
        <v>1792</v>
      </c>
    </row>
    <row r="9" spans="1:2" x14ac:dyDescent="0.3">
      <c r="A9" s="670"/>
      <c r="B9" s="94" t="s">
        <v>1793</v>
      </c>
    </row>
    <row r="10" spans="1:2" x14ac:dyDescent="0.3">
      <c r="A10" s="670"/>
      <c r="B10" s="94" t="s">
        <v>1794</v>
      </c>
    </row>
    <row r="11" spans="1:2" ht="15" thickBot="1" x14ac:dyDescent="0.35">
      <c r="A11" s="670"/>
      <c r="B11" s="72" t="s">
        <v>1795</v>
      </c>
    </row>
    <row r="12" spans="1:2" x14ac:dyDescent="0.3">
      <c r="A12" s="670" t="s">
        <v>413</v>
      </c>
      <c r="B12" s="94" t="s">
        <v>1792</v>
      </c>
    </row>
    <row r="13" spans="1:2" x14ac:dyDescent="0.3">
      <c r="A13" s="670"/>
      <c r="B13" s="94" t="s">
        <v>1793</v>
      </c>
    </row>
    <row r="14" spans="1:2" x14ac:dyDescent="0.3">
      <c r="A14" s="670"/>
      <c r="B14" s="94" t="s">
        <v>1794</v>
      </c>
    </row>
    <row r="15" spans="1:2" ht="26.4" x14ac:dyDescent="0.3">
      <c r="A15" s="670"/>
      <c r="B15" s="94" t="s">
        <v>1796</v>
      </c>
    </row>
    <row r="16" spans="1:2" x14ac:dyDescent="0.3">
      <c r="A16" s="670"/>
      <c r="B16" s="94" t="s">
        <v>1797</v>
      </c>
    </row>
    <row r="17" spans="1:2" ht="15" thickBot="1" x14ac:dyDescent="0.35">
      <c r="A17" s="670"/>
      <c r="B17" s="72" t="s">
        <v>1798</v>
      </c>
    </row>
    <row r="18" spans="1:2" x14ac:dyDescent="0.3">
      <c r="A18" s="670" t="s">
        <v>414</v>
      </c>
      <c r="B18" s="94" t="s">
        <v>1799</v>
      </c>
    </row>
    <row r="19" spans="1:2" x14ac:dyDescent="0.3">
      <c r="A19" s="670"/>
      <c r="B19" s="94" t="s">
        <v>1800</v>
      </c>
    </row>
    <row r="20" spans="1:2" x14ac:dyDescent="0.3">
      <c r="A20" s="670"/>
      <c r="B20" s="94" t="s">
        <v>1793</v>
      </c>
    </row>
    <row r="21" spans="1:2" x14ac:dyDescent="0.3">
      <c r="A21" s="670"/>
      <c r="B21" s="94" t="s">
        <v>1801</v>
      </c>
    </row>
    <row r="22" spans="1:2" x14ac:dyDescent="0.3">
      <c r="A22" s="670"/>
      <c r="B22" s="94" t="s">
        <v>1802</v>
      </c>
    </row>
    <row r="23" spans="1:2" ht="26.4" x14ac:dyDescent="0.3">
      <c r="A23" s="670"/>
      <c r="B23" s="94" t="s">
        <v>1803</v>
      </c>
    </row>
    <row r="24" spans="1:2" x14ac:dyDescent="0.3">
      <c r="A24" s="670"/>
      <c r="B24" s="94" t="s">
        <v>1804</v>
      </c>
    </row>
    <row r="25" spans="1:2" ht="15" thickBot="1" x14ac:dyDescent="0.35">
      <c r="A25" s="670"/>
      <c r="B25" s="72" t="s">
        <v>1805</v>
      </c>
    </row>
    <row r="26" spans="1:2" x14ac:dyDescent="0.3">
      <c r="A26" s="670" t="s">
        <v>415</v>
      </c>
      <c r="B26" s="94" t="s">
        <v>1799</v>
      </c>
    </row>
    <row r="27" spans="1:2" x14ac:dyDescent="0.3">
      <c r="A27" s="670"/>
      <c r="B27" s="94" t="s">
        <v>1793</v>
      </c>
    </row>
    <row r="28" spans="1:2" x14ac:dyDescent="0.3">
      <c r="A28" s="670"/>
      <c r="B28" s="94" t="s">
        <v>1806</v>
      </c>
    </row>
    <row r="29" spans="1:2" x14ac:dyDescent="0.3">
      <c r="A29" s="670"/>
      <c r="B29" s="94" t="s">
        <v>1807</v>
      </c>
    </row>
    <row r="30" spans="1:2" x14ac:dyDescent="0.3">
      <c r="A30" s="670"/>
      <c r="B30" s="94" t="s">
        <v>1808</v>
      </c>
    </row>
    <row r="31" spans="1:2" x14ac:dyDescent="0.3">
      <c r="A31" s="670"/>
      <c r="B31" s="94" t="s">
        <v>1809</v>
      </c>
    </row>
    <row r="32" spans="1:2" ht="15" thickBot="1" x14ac:dyDescent="0.35">
      <c r="A32" s="670"/>
      <c r="B32" s="72" t="s">
        <v>1810</v>
      </c>
    </row>
    <row r="33" spans="1:2" x14ac:dyDescent="0.3">
      <c r="A33" s="670" t="s">
        <v>416</v>
      </c>
      <c r="B33" s="94" t="s">
        <v>1811</v>
      </c>
    </row>
    <row r="34" spans="1:2" x14ac:dyDescent="0.3">
      <c r="A34" s="670"/>
      <c r="B34" s="94" t="s">
        <v>1799</v>
      </c>
    </row>
    <row r="35" spans="1:2" x14ac:dyDescent="0.3">
      <c r="A35" s="670"/>
      <c r="B35" s="94" t="s">
        <v>1793</v>
      </c>
    </row>
    <row r="36" spans="1:2" x14ac:dyDescent="0.3">
      <c r="A36" s="670"/>
      <c r="B36" s="94" t="s">
        <v>1812</v>
      </c>
    </row>
    <row r="37" spans="1:2" ht="15" thickBot="1" x14ac:dyDescent="0.35">
      <c r="A37" s="670"/>
      <c r="B37" s="72" t="s">
        <v>1810</v>
      </c>
    </row>
    <row r="38" spans="1:2" x14ac:dyDescent="0.3">
      <c r="A38" s="670" t="s">
        <v>417</v>
      </c>
      <c r="B38" s="94" t="s">
        <v>1799</v>
      </c>
    </row>
    <row r="39" spans="1:2" x14ac:dyDescent="0.3">
      <c r="A39" s="670"/>
      <c r="B39" s="94" t="s">
        <v>1793</v>
      </c>
    </row>
    <row r="40" spans="1:2" ht="15" thickBot="1" x14ac:dyDescent="0.35">
      <c r="A40" s="670"/>
      <c r="B40" s="72" t="s">
        <v>1800</v>
      </c>
    </row>
    <row r="41" spans="1:2" x14ac:dyDescent="0.3">
      <c r="A41" s="670" t="s">
        <v>418</v>
      </c>
      <c r="B41" s="94" t="s">
        <v>1813</v>
      </c>
    </row>
    <row r="42" spans="1:2" ht="39.6" x14ac:dyDescent="0.3">
      <c r="A42" s="670"/>
      <c r="B42" s="94" t="s">
        <v>1814</v>
      </c>
    </row>
    <row r="43" spans="1:2" x14ac:dyDescent="0.3">
      <c r="A43" s="670"/>
      <c r="B43" s="94" t="s">
        <v>1815</v>
      </c>
    </row>
    <row r="44" spans="1:2" x14ac:dyDescent="0.3">
      <c r="A44" s="670"/>
      <c r="B44" s="94" t="s">
        <v>1799</v>
      </c>
    </row>
    <row r="45" spans="1:2" x14ac:dyDescent="0.3">
      <c r="A45" s="670"/>
      <c r="B45" s="94" t="s">
        <v>1800</v>
      </c>
    </row>
    <row r="46" spans="1:2" ht="15" thickBot="1" x14ac:dyDescent="0.35">
      <c r="A46" s="670"/>
      <c r="B46" s="72" t="s">
        <v>1793</v>
      </c>
    </row>
    <row r="47" spans="1:2" x14ac:dyDescent="0.3">
      <c r="A47" s="670" t="s">
        <v>419</v>
      </c>
      <c r="B47" s="94" t="s">
        <v>1799</v>
      </c>
    </row>
    <row r="48" spans="1:2" x14ac:dyDescent="0.3">
      <c r="A48" s="670"/>
      <c r="B48" s="94" t="s">
        <v>1793</v>
      </c>
    </row>
    <row r="49" spans="1:2" x14ac:dyDescent="0.3">
      <c r="A49" s="670"/>
      <c r="B49" s="94" t="s">
        <v>1800</v>
      </c>
    </row>
    <row r="50" spans="1:2" ht="15" thickBot="1" x14ac:dyDescent="0.35">
      <c r="A50" s="670"/>
      <c r="B50" s="72" t="s">
        <v>1816</v>
      </c>
    </row>
    <row r="51" spans="1:2" x14ac:dyDescent="0.3">
      <c r="A51" s="670" t="s">
        <v>420</v>
      </c>
      <c r="B51" s="94" t="s">
        <v>1817</v>
      </c>
    </row>
    <row r="52" spans="1:2" ht="26.4" x14ac:dyDescent="0.3">
      <c r="A52" s="670"/>
      <c r="B52" s="94" t="s">
        <v>1818</v>
      </c>
    </row>
    <row r="53" spans="1:2" x14ac:dyDescent="0.3">
      <c r="A53" s="670"/>
      <c r="B53" s="94" t="s">
        <v>1819</v>
      </c>
    </row>
    <row r="54" spans="1:2" x14ac:dyDescent="0.3">
      <c r="A54" s="670"/>
      <c r="B54" s="94" t="s">
        <v>1820</v>
      </c>
    </row>
    <row r="55" spans="1:2" x14ac:dyDescent="0.3">
      <c r="A55" s="670"/>
      <c r="B55" s="94" t="s">
        <v>1821</v>
      </c>
    </row>
    <row r="56" spans="1:2" ht="26.4" x14ac:dyDescent="0.3">
      <c r="A56" s="670"/>
      <c r="B56" s="94" t="s">
        <v>1822</v>
      </c>
    </row>
    <row r="57" spans="1:2" x14ac:dyDescent="0.3">
      <c r="A57" s="670"/>
      <c r="B57" s="94" t="s">
        <v>1800</v>
      </c>
    </row>
    <row r="58" spans="1:2" ht="15" thickBot="1" x14ac:dyDescent="0.35">
      <c r="A58" s="670"/>
      <c r="B58" s="72" t="s">
        <v>1793</v>
      </c>
    </row>
    <row r="59" spans="1:2" ht="33" customHeight="1" x14ac:dyDescent="0.3">
      <c r="A59" s="670" t="s">
        <v>354</v>
      </c>
      <c r="B59" s="94" t="s">
        <v>1823</v>
      </c>
    </row>
    <row r="60" spans="1:2" x14ac:dyDescent="0.3">
      <c r="A60" s="670"/>
      <c r="B60" s="94" t="s">
        <v>1824</v>
      </c>
    </row>
    <row r="61" spans="1:2" ht="27" thickBot="1" x14ac:dyDescent="0.35">
      <c r="A61" s="670"/>
      <c r="B61" s="72" t="s">
        <v>1825</v>
      </c>
    </row>
    <row r="62" spans="1:2" ht="26.4" x14ac:dyDescent="0.3">
      <c r="A62" s="670" t="s">
        <v>355</v>
      </c>
      <c r="B62" s="94" t="s">
        <v>1826</v>
      </c>
    </row>
    <row r="63" spans="1:2" ht="18.75" customHeight="1" x14ac:dyDescent="0.3">
      <c r="A63" s="670"/>
      <c r="B63" s="94" t="s">
        <v>1827</v>
      </c>
    </row>
    <row r="64" spans="1:2" x14ac:dyDescent="0.3">
      <c r="A64" s="670"/>
      <c r="B64" s="94" t="s">
        <v>1828</v>
      </c>
    </row>
    <row r="65" spans="1:2" x14ac:dyDescent="0.3">
      <c r="A65" s="670"/>
      <c r="B65" s="94" t="s">
        <v>1829</v>
      </c>
    </row>
    <row r="66" spans="1:2" x14ac:dyDescent="0.3">
      <c r="A66" s="670"/>
      <c r="B66" s="94" t="s">
        <v>1830</v>
      </c>
    </row>
    <row r="67" spans="1:2" ht="27" thickBot="1" x14ac:dyDescent="0.35">
      <c r="A67" s="670"/>
      <c r="B67" s="72" t="s">
        <v>1831</v>
      </c>
    </row>
    <row r="68" spans="1:2" x14ac:dyDescent="0.3">
      <c r="A68" s="670" t="s">
        <v>356</v>
      </c>
      <c r="B68" s="94" t="s">
        <v>1832</v>
      </c>
    </row>
    <row r="69" spans="1:2" x14ac:dyDescent="0.3">
      <c r="A69" s="645"/>
      <c r="B69" s="94" t="s">
        <v>1833</v>
      </c>
    </row>
    <row r="70" spans="1:2" x14ac:dyDescent="0.3">
      <c r="A70" s="645"/>
      <c r="B70" s="94" t="s">
        <v>1829</v>
      </c>
    </row>
    <row r="71" spans="1:2" x14ac:dyDescent="0.3">
      <c r="A71" s="645"/>
      <c r="B71" s="94" t="s">
        <v>1830</v>
      </c>
    </row>
    <row r="72" spans="1:2" ht="27" thickBot="1" x14ac:dyDescent="0.35">
      <c r="A72" s="645"/>
      <c r="B72" s="72" t="s">
        <v>1834</v>
      </c>
    </row>
    <row r="73" spans="1:2" ht="15" thickBot="1" x14ac:dyDescent="0.35">
      <c r="A73" s="647"/>
      <c r="B73" s="72"/>
    </row>
    <row r="74" spans="1:2" x14ac:dyDescent="0.3">
      <c r="A74" s="667" t="s">
        <v>357</v>
      </c>
      <c r="B74" s="535" t="s">
        <v>1835</v>
      </c>
    </row>
    <row r="75" spans="1:2" x14ac:dyDescent="0.3">
      <c r="A75" s="668"/>
      <c r="B75" s="535" t="s">
        <v>1836</v>
      </c>
    </row>
    <row r="76" spans="1:2" ht="29.25" customHeight="1" thickBot="1" x14ac:dyDescent="0.35">
      <c r="A76" s="669"/>
      <c r="B76" s="538" t="s">
        <v>1837</v>
      </c>
    </row>
    <row r="77" spans="1:2" x14ac:dyDescent="0.3">
      <c r="A77" s="667" t="s">
        <v>358</v>
      </c>
      <c r="B77" s="535" t="s">
        <v>1838</v>
      </c>
    </row>
    <row r="78" spans="1:2" x14ac:dyDescent="0.3">
      <c r="A78" s="668"/>
      <c r="B78" s="535" t="s">
        <v>1839</v>
      </c>
    </row>
    <row r="79" spans="1:2" x14ac:dyDescent="0.3">
      <c r="A79" s="668"/>
      <c r="B79" s="535" t="s">
        <v>1840</v>
      </c>
    </row>
    <row r="80" spans="1:2" x14ac:dyDescent="0.3">
      <c r="A80" s="668"/>
      <c r="B80" s="535" t="s">
        <v>1841</v>
      </c>
    </row>
    <row r="81" spans="1:2" x14ac:dyDescent="0.3">
      <c r="A81" s="668"/>
      <c r="B81" s="534" t="s">
        <v>1842</v>
      </c>
    </row>
    <row r="82" spans="1:2" x14ac:dyDescent="0.3">
      <c r="A82" s="669"/>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71"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72"/>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73"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72"/>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4" t="s">
        <v>446</v>
      </c>
      <c r="B10" s="674"/>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6"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5"/>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603"/>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4"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5"/>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603"/>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4"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5"/>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603"/>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5" t="s">
        <v>446</v>
      </c>
      <c r="B14" s="675"/>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A11" sqref="A11:B11"/>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71"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72"/>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73"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72"/>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4" t="s">
        <v>446</v>
      </c>
      <c r="B11" s="674"/>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91"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92"/>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92"/>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8"/>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7"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92"/>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92"/>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8"/>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7"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92"/>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92"/>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8"/>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603" t="s">
        <v>446</v>
      </c>
      <c r="B18" s="603"/>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9" t="s">
        <v>1888</v>
      </c>
      <c r="B6" s="444" t="s">
        <v>441</v>
      </c>
      <c r="C6" s="446" t="s">
        <v>1889</v>
      </c>
    </row>
    <row r="7" spans="1:3" x14ac:dyDescent="0.3">
      <c r="A7" s="679"/>
      <c r="B7" s="444" t="s">
        <v>1890</v>
      </c>
      <c r="C7" s="446" t="s">
        <v>1891</v>
      </c>
    </row>
    <row r="8" spans="1:3" x14ac:dyDescent="0.3">
      <c r="A8" s="679"/>
      <c r="B8" s="444" t="s">
        <v>436</v>
      </c>
      <c r="C8" s="446" t="s">
        <v>1892</v>
      </c>
    </row>
    <row r="9" spans="1:3" x14ac:dyDescent="0.3">
      <c r="A9" s="679"/>
      <c r="B9" s="444" t="s">
        <v>437</v>
      </c>
      <c r="C9" s="446" t="s">
        <v>1893</v>
      </c>
    </row>
    <row r="10" spans="1:3" x14ac:dyDescent="0.3">
      <c r="A10" s="680" t="s">
        <v>1894</v>
      </c>
      <c r="B10" s="444" t="s">
        <v>436</v>
      </c>
      <c r="C10" s="446" t="s">
        <v>1895</v>
      </c>
    </row>
    <row r="11" spans="1:3" x14ac:dyDescent="0.3">
      <c r="A11" s="681"/>
      <c r="B11" s="444" t="s">
        <v>437</v>
      </c>
      <c r="C11" s="446" t="s">
        <v>1896</v>
      </c>
    </row>
    <row r="12" spans="1:3" x14ac:dyDescent="0.3">
      <c r="A12" s="682"/>
      <c r="B12" s="444" t="s">
        <v>442</v>
      </c>
      <c r="C12" s="446" t="s">
        <v>1897</v>
      </c>
    </row>
    <row r="13" spans="1:3" x14ac:dyDescent="0.3">
      <c r="A13" s="680" t="s">
        <v>1898</v>
      </c>
      <c r="B13" s="444" t="s">
        <v>436</v>
      </c>
      <c r="C13" s="446" t="s">
        <v>1899</v>
      </c>
    </row>
    <row r="14" spans="1:3" x14ac:dyDescent="0.3">
      <c r="A14" s="682"/>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83"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4"/>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4"/>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4"/>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4"/>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5"/>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83"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4"/>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4"/>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4"/>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4"/>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5"/>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6" t="s">
        <v>446</v>
      </c>
      <c r="B18" s="686"/>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90" t="s">
        <v>1977</v>
      </c>
      <c r="B6" s="690"/>
      <c r="C6" s="690"/>
      <c r="D6" s="690"/>
      <c r="E6" s="690"/>
      <c r="F6" s="690"/>
      <c r="G6" s="690"/>
      <c r="H6" s="690"/>
      <c r="I6" s="690"/>
    </row>
    <row r="7" spans="1:9" ht="15" thickBot="1" x14ac:dyDescent="0.35">
      <c r="A7" s="687" t="s">
        <v>412</v>
      </c>
      <c r="B7" s="270" t="s">
        <v>432</v>
      </c>
      <c r="C7" s="270">
        <v>78</v>
      </c>
      <c r="D7" s="270">
        <v>23</v>
      </c>
      <c r="E7" s="270">
        <v>15</v>
      </c>
      <c r="F7" s="270">
        <v>8</v>
      </c>
      <c r="G7" s="270">
        <v>31</v>
      </c>
      <c r="H7" s="271">
        <v>0.65</v>
      </c>
      <c r="I7" s="271">
        <v>0.53</v>
      </c>
    </row>
    <row r="8" spans="1:9" ht="15" thickBot="1" x14ac:dyDescent="0.35">
      <c r="A8" s="688"/>
      <c r="B8" s="270" t="s">
        <v>439</v>
      </c>
      <c r="C8" s="270">
        <v>1001</v>
      </c>
      <c r="D8" s="270">
        <v>353</v>
      </c>
      <c r="E8" s="270">
        <v>298</v>
      </c>
      <c r="F8" s="270">
        <v>114</v>
      </c>
      <c r="G8" s="270">
        <v>312</v>
      </c>
      <c r="H8" s="271">
        <v>0.84</v>
      </c>
      <c r="I8" s="271">
        <v>0.38</v>
      </c>
    </row>
    <row r="9" spans="1:9" ht="15" thickBot="1" x14ac:dyDescent="0.35">
      <c r="A9" s="687" t="s">
        <v>413</v>
      </c>
      <c r="B9" s="270" t="s">
        <v>432</v>
      </c>
      <c r="C9" s="270">
        <v>67</v>
      </c>
      <c r="D9" s="270">
        <v>22</v>
      </c>
      <c r="E9" s="270">
        <v>6</v>
      </c>
      <c r="F9" s="270">
        <v>5</v>
      </c>
      <c r="G9" s="270">
        <v>27</v>
      </c>
      <c r="H9" s="271">
        <v>0.27</v>
      </c>
      <c r="I9" s="271">
        <v>0.83</v>
      </c>
    </row>
    <row r="10" spans="1:9" ht="15" thickBot="1" x14ac:dyDescent="0.35">
      <c r="A10" s="688"/>
      <c r="B10" s="270" t="s">
        <v>439</v>
      </c>
      <c r="C10" s="270">
        <v>953</v>
      </c>
      <c r="D10" s="270">
        <v>452</v>
      </c>
      <c r="E10" s="270">
        <v>325</v>
      </c>
      <c r="F10" s="270">
        <v>141</v>
      </c>
      <c r="G10" s="270">
        <v>355</v>
      </c>
      <c r="H10" s="271">
        <v>0.72</v>
      </c>
      <c r="I10" s="271">
        <v>0.43</v>
      </c>
    </row>
    <row r="11" spans="1:9" ht="15" thickBot="1" x14ac:dyDescent="0.35">
      <c r="A11" s="687" t="s">
        <v>414</v>
      </c>
      <c r="B11" s="270" t="s">
        <v>432</v>
      </c>
      <c r="C11" s="270">
        <v>0</v>
      </c>
      <c r="D11" s="270">
        <v>0</v>
      </c>
      <c r="E11" s="272">
        <v>0</v>
      </c>
      <c r="F11" s="272">
        <v>0</v>
      </c>
      <c r="G11" s="270">
        <v>13</v>
      </c>
      <c r="H11" s="271">
        <v>0</v>
      </c>
      <c r="I11" s="271">
        <v>0</v>
      </c>
    </row>
    <row r="12" spans="1:9" ht="15" thickBot="1" x14ac:dyDescent="0.35">
      <c r="A12" s="688"/>
      <c r="B12" s="270" t="s">
        <v>439</v>
      </c>
      <c r="C12" s="270">
        <v>739</v>
      </c>
      <c r="D12" s="270">
        <v>407</v>
      </c>
      <c r="E12" s="270">
        <v>345</v>
      </c>
      <c r="F12" s="270">
        <v>211</v>
      </c>
      <c r="G12" s="270">
        <v>434</v>
      </c>
      <c r="H12" s="271">
        <v>0.85</v>
      </c>
      <c r="I12" s="271">
        <v>0.61</v>
      </c>
    </row>
    <row r="13" spans="1:9" ht="15" thickBot="1" x14ac:dyDescent="0.35">
      <c r="A13" s="687" t="s">
        <v>415</v>
      </c>
      <c r="B13" s="270" t="s">
        <v>432</v>
      </c>
      <c r="C13" s="270">
        <v>1</v>
      </c>
      <c r="D13" s="270">
        <v>1</v>
      </c>
      <c r="E13" s="270">
        <v>1</v>
      </c>
      <c r="F13" s="270">
        <v>1</v>
      </c>
      <c r="G13" s="270">
        <v>13</v>
      </c>
      <c r="H13" s="271">
        <v>1</v>
      </c>
      <c r="I13" s="271">
        <v>1</v>
      </c>
    </row>
    <row r="14" spans="1:9" ht="15" thickBot="1" x14ac:dyDescent="0.35">
      <c r="A14" s="688"/>
      <c r="B14" s="270" t="s">
        <v>439</v>
      </c>
      <c r="C14" s="270">
        <v>1032</v>
      </c>
      <c r="D14" s="270">
        <v>547</v>
      </c>
      <c r="E14" s="270">
        <v>527</v>
      </c>
      <c r="F14" s="270">
        <v>125</v>
      </c>
      <c r="G14" s="270">
        <v>370</v>
      </c>
      <c r="H14" s="271">
        <v>0.96</v>
      </c>
      <c r="I14" s="271">
        <v>0.24</v>
      </c>
    </row>
    <row r="15" spans="1:9" ht="15" thickBot="1" x14ac:dyDescent="0.35">
      <c r="A15" s="687" t="s">
        <v>416</v>
      </c>
      <c r="B15" s="270" t="s">
        <v>432</v>
      </c>
      <c r="C15" s="270">
        <v>0</v>
      </c>
      <c r="D15" s="270">
        <v>0</v>
      </c>
      <c r="E15" s="272">
        <v>0</v>
      </c>
      <c r="F15" s="272">
        <v>0</v>
      </c>
      <c r="G15" s="270">
        <v>6</v>
      </c>
      <c r="H15" s="271">
        <v>0</v>
      </c>
      <c r="I15" s="271">
        <v>0</v>
      </c>
    </row>
    <row r="16" spans="1:9" ht="15" thickBot="1" x14ac:dyDescent="0.35">
      <c r="A16" s="688"/>
      <c r="B16" s="270" t="s">
        <v>439</v>
      </c>
      <c r="C16" s="270">
        <v>889</v>
      </c>
      <c r="D16" s="270">
        <v>267</v>
      </c>
      <c r="E16" s="270">
        <v>252</v>
      </c>
      <c r="F16" s="270">
        <v>120</v>
      </c>
      <c r="G16" s="270">
        <v>383</v>
      </c>
      <c r="H16" s="271">
        <v>0.94</v>
      </c>
      <c r="I16" s="271">
        <v>0.48</v>
      </c>
    </row>
    <row r="17" spans="1:9" ht="15" thickBot="1" x14ac:dyDescent="0.35">
      <c r="A17" s="687" t="s">
        <v>417</v>
      </c>
      <c r="B17" s="270" t="s">
        <v>432</v>
      </c>
      <c r="C17" s="270">
        <v>0</v>
      </c>
      <c r="D17" s="270">
        <v>0</v>
      </c>
      <c r="E17" s="272">
        <v>0</v>
      </c>
      <c r="F17" s="272">
        <v>0</v>
      </c>
      <c r="G17" s="270">
        <v>5</v>
      </c>
      <c r="H17" s="271">
        <v>0</v>
      </c>
      <c r="I17" s="271">
        <v>0</v>
      </c>
    </row>
    <row r="18" spans="1:9" ht="15" thickBot="1" x14ac:dyDescent="0.35">
      <c r="A18" s="688"/>
      <c r="B18" s="270" t="s">
        <v>439</v>
      </c>
      <c r="C18" s="270">
        <v>715</v>
      </c>
      <c r="D18" s="270">
        <v>314</v>
      </c>
      <c r="E18" s="270">
        <v>291</v>
      </c>
      <c r="F18" s="270">
        <v>156</v>
      </c>
      <c r="G18" s="270">
        <v>427</v>
      </c>
      <c r="H18" s="271">
        <v>0.93</v>
      </c>
      <c r="I18" s="271">
        <v>0.54</v>
      </c>
    </row>
    <row r="19" spans="1:9" ht="15" thickBot="1" x14ac:dyDescent="0.35">
      <c r="A19" s="687" t="s">
        <v>418</v>
      </c>
      <c r="B19" s="270" t="s">
        <v>432</v>
      </c>
      <c r="C19" s="270">
        <v>0</v>
      </c>
      <c r="D19" s="270">
        <v>0</v>
      </c>
      <c r="E19" s="272">
        <v>0</v>
      </c>
      <c r="F19" s="272">
        <v>0</v>
      </c>
      <c r="G19" s="270">
        <v>3</v>
      </c>
      <c r="H19" s="271">
        <v>0</v>
      </c>
      <c r="I19" s="271">
        <v>0</v>
      </c>
    </row>
    <row r="20" spans="1:9" ht="15" thickBot="1" x14ac:dyDescent="0.35">
      <c r="A20" s="688"/>
      <c r="B20" s="270" t="s">
        <v>439</v>
      </c>
      <c r="C20" s="270">
        <v>634</v>
      </c>
      <c r="D20" s="270">
        <v>245</v>
      </c>
      <c r="E20" s="270">
        <v>230</v>
      </c>
      <c r="F20" s="270">
        <v>114</v>
      </c>
      <c r="G20" s="270">
        <v>401</v>
      </c>
      <c r="H20" s="271">
        <v>0.94</v>
      </c>
      <c r="I20" s="271">
        <v>0.5</v>
      </c>
    </row>
    <row r="21" spans="1:9" ht="15" thickBot="1" x14ac:dyDescent="0.35">
      <c r="A21" s="687" t="s">
        <v>419</v>
      </c>
      <c r="B21" s="270" t="s">
        <v>432</v>
      </c>
      <c r="C21" s="270">
        <v>0</v>
      </c>
      <c r="D21" s="270">
        <v>0</v>
      </c>
      <c r="E21" s="272">
        <v>0</v>
      </c>
      <c r="F21" s="272">
        <v>0</v>
      </c>
      <c r="G21" s="270">
        <v>2</v>
      </c>
      <c r="H21" s="271">
        <v>0</v>
      </c>
      <c r="I21" s="271">
        <v>0</v>
      </c>
    </row>
    <row r="22" spans="1:9" ht="15" thickBot="1" x14ac:dyDescent="0.35">
      <c r="A22" s="688"/>
      <c r="B22" s="270" t="s">
        <v>439</v>
      </c>
      <c r="C22" s="270">
        <v>507</v>
      </c>
      <c r="D22" s="270">
        <v>210</v>
      </c>
      <c r="E22" s="270">
        <v>187</v>
      </c>
      <c r="F22" s="270">
        <v>95</v>
      </c>
      <c r="G22" s="270">
        <v>344</v>
      </c>
      <c r="H22" s="271">
        <v>0.89</v>
      </c>
      <c r="I22" s="271">
        <v>0.51</v>
      </c>
    </row>
    <row r="23" spans="1:9" ht="15" thickBot="1" x14ac:dyDescent="0.35">
      <c r="A23" s="687" t="s">
        <v>420</v>
      </c>
      <c r="B23" s="270" t="s">
        <v>432</v>
      </c>
      <c r="C23" s="270">
        <v>116</v>
      </c>
      <c r="D23" s="270">
        <v>35</v>
      </c>
      <c r="E23" s="270">
        <v>27</v>
      </c>
      <c r="F23" s="270">
        <v>0</v>
      </c>
      <c r="G23" s="270">
        <v>2</v>
      </c>
      <c r="H23" s="271">
        <v>0.77</v>
      </c>
      <c r="I23" s="271">
        <v>0</v>
      </c>
    </row>
    <row r="24" spans="1:9" ht="15" thickBot="1" x14ac:dyDescent="0.35">
      <c r="A24" s="688"/>
      <c r="B24" s="270" t="s">
        <v>439</v>
      </c>
      <c r="C24" s="270">
        <v>473</v>
      </c>
      <c r="D24" s="270">
        <v>214</v>
      </c>
      <c r="E24" s="270">
        <v>197</v>
      </c>
      <c r="F24" s="270">
        <v>99</v>
      </c>
      <c r="G24" s="270">
        <v>353</v>
      </c>
      <c r="H24" s="271">
        <v>0.92</v>
      </c>
      <c r="I24" s="271">
        <v>0.5</v>
      </c>
    </row>
    <row r="25" spans="1:9" ht="15" thickBot="1" x14ac:dyDescent="0.35">
      <c r="A25" s="687" t="s">
        <v>354</v>
      </c>
      <c r="B25" s="270" t="s">
        <v>432</v>
      </c>
      <c r="C25" s="270">
        <v>0</v>
      </c>
      <c r="D25" s="270">
        <v>0</v>
      </c>
      <c r="E25" s="272">
        <v>0</v>
      </c>
      <c r="F25" s="272">
        <v>0</v>
      </c>
      <c r="G25" s="270">
        <v>1</v>
      </c>
      <c r="H25" s="271">
        <v>0</v>
      </c>
      <c r="I25" s="271">
        <v>0</v>
      </c>
    </row>
    <row r="26" spans="1:9" ht="15" thickBot="1" x14ac:dyDescent="0.35">
      <c r="A26" s="688"/>
      <c r="B26" s="270" t="s">
        <v>439</v>
      </c>
      <c r="C26" s="270">
        <v>418</v>
      </c>
      <c r="D26" s="270">
        <v>232</v>
      </c>
      <c r="E26" s="270">
        <v>211</v>
      </c>
      <c r="F26" s="270">
        <v>102</v>
      </c>
      <c r="G26" s="270">
        <v>328</v>
      </c>
      <c r="H26" s="271">
        <v>0.91</v>
      </c>
      <c r="I26" s="271">
        <v>0.48</v>
      </c>
    </row>
    <row r="27" spans="1:9" ht="15" thickBot="1" x14ac:dyDescent="0.35">
      <c r="A27" s="687" t="s">
        <v>355</v>
      </c>
      <c r="B27" s="270" t="s">
        <v>432</v>
      </c>
      <c r="C27" s="270">
        <v>0</v>
      </c>
      <c r="D27" s="270">
        <v>0</v>
      </c>
      <c r="E27" s="272">
        <v>0</v>
      </c>
      <c r="F27" s="272">
        <v>0</v>
      </c>
      <c r="G27" s="270">
        <v>0</v>
      </c>
      <c r="H27" s="271">
        <f t="shared" ref="H27:I30" si="0">IFERROR(E27/D27,0)</f>
        <v>0</v>
      </c>
      <c r="I27" s="271">
        <f t="shared" si="0"/>
        <v>0</v>
      </c>
    </row>
    <row r="28" spans="1:9" x14ac:dyDescent="0.3">
      <c r="A28" s="688"/>
      <c r="B28" s="270" t="s">
        <v>439</v>
      </c>
      <c r="C28" s="270">
        <v>338</v>
      </c>
      <c r="D28" s="270">
        <v>185</v>
      </c>
      <c r="E28" s="270">
        <v>166</v>
      </c>
      <c r="F28" s="270">
        <v>82</v>
      </c>
      <c r="G28" s="270">
        <v>291</v>
      </c>
      <c r="H28" s="271">
        <f t="shared" si="0"/>
        <v>0.89729729729729735</v>
      </c>
      <c r="I28" s="271">
        <f t="shared" si="0"/>
        <v>0.49397590361445781</v>
      </c>
    </row>
    <row r="29" spans="1:9" x14ac:dyDescent="0.3">
      <c r="A29" s="687" t="s">
        <v>356</v>
      </c>
      <c r="B29" s="270" t="s">
        <v>432</v>
      </c>
      <c r="C29" s="270">
        <v>0</v>
      </c>
      <c r="D29" s="270">
        <v>0</v>
      </c>
      <c r="E29" s="272">
        <v>0</v>
      </c>
      <c r="F29" s="272">
        <v>0</v>
      </c>
      <c r="G29" s="270">
        <v>0</v>
      </c>
      <c r="H29" s="271">
        <f t="shared" si="0"/>
        <v>0</v>
      </c>
      <c r="I29" s="271">
        <f t="shared" si="0"/>
        <v>0</v>
      </c>
    </row>
    <row r="30" spans="1:9" ht="15" thickBot="1" x14ac:dyDescent="0.35">
      <c r="A30" s="688"/>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7" t="s">
        <v>357</v>
      </c>
      <c r="B31" s="270" t="s">
        <v>432</v>
      </c>
      <c r="C31" s="270"/>
      <c r="D31" s="270"/>
      <c r="E31" s="272"/>
      <c r="F31" s="272"/>
      <c r="G31" s="270"/>
      <c r="H31" s="271"/>
      <c r="I31" s="271"/>
    </row>
    <row r="32" spans="1:9" ht="15" thickBot="1" x14ac:dyDescent="0.35">
      <c r="A32" s="688"/>
      <c r="B32" s="270" t="s">
        <v>439</v>
      </c>
      <c r="C32" s="270"/>
      <c r="D32" s="270"/>
      <c r="E32" s="270"/>
      <c r="F32" s="270"/>
      <c r="G32" s="270"/>
      <c r="H32" s="271"/>
      <c r="I32" s="271"/>
    </row>
    <row r="33" spans="1:9" ht="15" thickBot="1" x14ac:dyDescent="0.35">
      <c r="A33" s="687" t="s">
        <v>358</v>
      </c>
      <c r="B33" s="270" t="s">
        <v>432</v>
      </c>
      <c r="C33" s="270"/>
      <c r="D33" s="270"/>
      <c r="E33" s="272"/>
      <c r="F33" s="272"/>
      <c r="G33" s="270"/>
      <c r="H33" s="271"/>
      <c r="I33" s="271"/>
    </row>
    <row r="34" spans="1:9" ht="15" thickBot="1" x14ac:dyDescent="0.35">
      <c r="A34" s="688"/>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9" t="s">
        <v>434</v>
      </c>
      <c r="B36" s="689"/>
      <c r="C36" s="689"/>
      <c r="D36" s="689"/>
      <c r="E36" s="689"/>
      <c r="F36" s="689"/>
      <c r="G36" s="689"/>
      <c r="H36" s="689"/>
      <c r="I36" s="689"/>
    </row>
    <row r="37" spans="1:9" ht="15" thickBot="1" x14ac:dyDescent="0.35">
      <c r="A37" s="687" t="s">
        <v>412</v>
      </c>
      <c r="B37" s="270" t="s">
        <v>432</v>
      </c>
      <c r="C37" s="270">
        <v>336</v>
      </c>
      <c r="D37" s="270">
        <v>122</v>
      </c>
      <c r="E37" s="270">
        <v>81</v>
      </c>
      <c r="F37" s="270">
        <v>48</v>
      </c>
      <c r="G37" s="270">
        <v>392</v>
      </c>
      <c r="H37" s="271">
        <v>0.66</v>
      </c>
      <c r="I37" s="271">
        <v>0.59</v>
      </c>
    </row>
    <row r="38" spans="1:9" ht="15" thickBot="1" x14ac:dyDescent="0.35">
      <c r="A38" s="688"/>
      <c r="B38" s="270" t="s">
        <v>439</v>
      </c>
      <c r="C38" s="270">
        <v>6435</v>
      </c>
      <c r="D38" s="270">
        <v>3023</v>
      </c>
      <c r="E38" s="270">
        <v>2676</v>
      </c>
      <c r="F38" s="270">
        <v>1359</v>
      </c>
      <c r="G38" s="270">
        <v>5405</v>
      </c>
      <c r="H38" s="271">
        <v>0.89</v>
      </c>
      <c r="I38" s="271">
        <v>0.51</v>
      </c>
    </row>
    <row r="39" spans="1:9" ht="15" thickBot="1" x14ac:dyDescent="0.35">
      <c r="A39" s="687" t="s">
        <v>413</v>
      </c>
      <c r="B39" s="270" t="s">
        <v>432</v>
      </c>
      <c r="C39" s="270">
        <v>344</v>
      </c>
      <c r="D39" s="270">
        <v>191</v>
      </c>
      <c r="E39" s="270">
        <v>116</v>
      </c>
      <c r="F39" s="270">
        <v>77</v>
      </c>
      <c r="G39" s="270">
        <v>369</v>
      </c>
      <c r="H39" s="271">
        <v>0.61</v>
      </c>
      <c r="I39" s="271">
        <v>0.66</v>
      </c>
    </row>
    <row r="40" spans="1:9" ht="15" thickBot="1" x14ac:dyDescent="0.35">
      <c r="A40" s="688"/>
      <c r="B40" s="270" t="s">
        <v>439</v>
      </c>
      <c r="C40" s="270">
        <v>5874</v>
      </c>
      <c r="D40" s="270">
        <v>3252</v>
      </c>
      <c r="E40" s="270">
        <v>2421</v>
      </c>
      <c r="F40" s="270">
        <v>1316</v>
      </c>
      <c r="G40" s="270">
        <v>5544</v>
      </c>
      <c r="H40" s="271">
        <v>0.74</v>
      </c>
      <c r="I40" s="271">
        <v>0.54</v>
      </c>
    </row>
    <row r="41" spans="1:9" ht="15" thickBot="1" x14ac:dyDescent="0.35">
      <c r="A41" s="687" t="s">
        <v>414</v>
      </c>
      <c r="B41" s="270" t="s">
        <v>432</v>
      </c>
      <c r="C41" s="270">
        <v>114</v>
      </c>
      <c r="D41" s="270">
        <v>52</v>
      </c>
      <c r="E41" s="270">
        <v>22</v>
      </c>
      <c r="F41" s="270">
        <v>15</v>
      </c>
      <c r="G41" s="270">
        <v>291</v>
      </c>
      <c r="H41" s="271">
        <v>0.42</v>
      </c>
      <c r="I41" s="271">
        <v>0.68</v>
      </c>
    </row>
    <row r="42" spans="1:9" ht="15" thickBot="1" x14ac:dyDescent="0.35">
      <c r="A42" s="688"/>
      <c r="B42" s="270" t="s">
        <v>439</v>
      </c>
      <c r="C42" s="270">
        <v>3992</v>
      </c>
      <c r="D42" s="270">
        <v>2404</v>
      </c>
      <c r="E42" s="270">
        <v>2053</v>
      </c>
      <c r="F42" s="270">
        <v>1291</v>
      </c>
      <c r="G42" s="270">
        <v>5448</v>
      </c>
      <c r="H42" s="271">
        <v>0.85</v>
      </c>
      <c r="I42" s="271">
        <v>0.63</v>
      </c>
    </row>
    <row r="43" spans="1:9" ht="15" thickBot="1" x14ac:dyDescent="0.35">
      <c r="A43" s="687" t="s">
        <v>415</v>
      </c>
      <c r="B43" s="270" t="s">
        <v>432</v>
      </c>
      <c r="C43" s="270">
        <v>298</v>
      </c>
      <c r="D43" s="270">
        <v>151</v>
      </c>
      <c r="E43" s="270">
        <v>142</v>
      </c>
      <c r="F43" s="270">
        <v>37</v>
      </c>
      <c r="G43" s="270">
        <v>275</v>
      </c>
      <c r="H43" s="271">
        <v>0.94</v>
      </c>
      <c r="I43" s="271">
        <v>0.26</v>
      </c>
    </row>
    <row r="44" spans="1:9" ht="15" thickBot="1" x14ac:dyDescent="0.35">
      <c r="A44" s="688"/>
      <c r="B44" s="270" t="s">
        <v>439</v>
      </c>
      <c r="C44" s="270">
        <v>7714</v>
      </c>
      <c r="D44" s="270">
        <v>4221</v>
      </c>
      <c r="E44" s="270">
        <v>4096</v>
      </c>
      <c r="F44" s="270">
        <v>1069</v>
      </c>
      <c r="G44" s="270">
        <v>5371</v>
      </c>
      <c r="H44" s="271">
        <v>0.97</v>
      </c>
      <c r="I44" s="271">
        <v>0.26</v>
      </c>
    </row>
    <row r="45" spans="1:9" ht="15" thickBot="1" x14ac:dyDescent="0.35">
      <c r="A45" s="687" t="s">
        <v>416</v>
      </c>
      <c r="B45" s="270" t="s">
        <v>432</v>
      </c>
      <c r="C45" s="270">
        <v>170</v>
      </c>
      <c r="D45" s="270">
        <v>74</v>
      </c>
      <c r="E45" s="270">
        <v>71</v>
      </c>
      <c r="F45" s="270">
        <v>44</v>
      </c>
      <c r="G45" s="270">
        <v>263</v>
      </c>
      <c r="H45" s="271">
        <v>0.96</v>
      </c>
      <c r="I45" s="271">
        <v>0.62</v>
      </c>
    </row>
    <row r="46" spans="1:9" ht="15" thickBot="1" x14ac:dyDescent="0.35">
      <c r="A46" s="688"/>
      <c r="B46" s="270" t="s">
        <v>439</v>
      </c>
      <c r="C46" s="270">
        <v>4914</v>
      </c>
      <c r="D46" s="270">
        <v>1870</v>
      </c>
      <c r="E46" s="270">
        <v>1748</v>
      </c>
      <c r="F46" s="270">
        <v>908</v>
      </c>
      <c r="G46" s="270">
        <v>5106</v>
      </c>
      <c r="H46" s="271">
        <v>0.93</v>
      </c>
      <c r="I46" s="271">
        <v>0.52</v>
      </c>
    </row>
    <row r="47" spans="1:9" ht="15" thickBot="1" x14ac:dyDescent="0.35">
      <c r="A47" s="687" t="s">
        <v>417</v>
      </c>
      <c r="B47" s="270" t="s">
        <v>432</v>
      </c>
      <c r="C47" s="270">
        <v>230</v>
      </c>
      <c r="D47" s="270">
        <v>110</v>
      </c>
      <c r="E47" s="270">
        <v>101</v>
      </c>
      <c r="F47" s="270">
        <v>61</v>
      </c>
      <c r="G47" s="270">
        <v>249</v>
      </c>
      <c r="H47" s="271">
        <v>0.92</v>
      </c>
      <c r="I47" s="271">
        <v>0.6</v>
      </c>
    </row>
    <row r="48" spans="1:9" ht="15" thickBot="1" x14ac:dyDescent="0.35">
      <c r="A48" s="688"/>
      <c r="B48" s="270" t="s">
        <v>439</v>
      </c>
      <c r="C48" s="270">
        <v>4332</v>
      </c>
      <c r="D48" s="270">
        <v>1911</v>
      </c>
      <c r="E48" s="270">
        <v>1813</v>
      </c>
      <c r="F48" s="270">
        <v>963</v>
      </c>
      <c r="G48" s="270">
        <v>5025</v>
      </c>
      <c r="H48" s="271">
        <v>0.95</v>
      </c>
      <c r="I48" s="271">
        <v>0.53</v>
      </c>
    </row>
    <row r="49" spans="1:9" ht="15" thickBot="1" x14ac:dyDescent="0.35">
      <c r="A49" s="687" t="s">
        <v>418</v>
      </c>
      <c r="B49" s="270" t="s">
        <v>432</v>
      </c>
      <c r="C49" s="270">
        <v>276</v>
      </c>
      <c r="D49" s="270">
        <v>169</v>
      </c>
      <c r="E49" s="270">
        <v>159</v>
      </c>
      <c r="F49" s="270">
        <v>112</v>
      </c>
      <c r="G49" s="270">
        <v>320</v>
      </c>
      <c r="H49" s="271">
        <v>0.94</v>
      </c>
      <c r="I49" s="271">
        <v>0.7</v>
      </c>
    </row>
    <row r="50" spans="1:9" ht="15" thickBot="1" x14ac:dyDescent="0.35">
      <c r="A50" s="688"/>
      <c r="B50" s="270" t="s">
        <v>439</v>
      </c>
      <c r="C50" s="270">
        <v>3438</v>
      </c>
      <c r="D50" s="270">
        <v>1606</v>
      </c>
      <c r="E50" s="270">
        <v>1518</v>
      </c>
      <c r="F50" s="270">
        <v>895</v>
      </c>
      <c r="G50" s="270">
        <v>4869</v>
      </c>
      <c r="H50" s="271">
        <v>0.95</v>
      </c>
      <c r="I50" s="271">
        <v>0.59</v>
      </c>
    </row>
    <row r="51" spans="1:9" ht="15" thickBot="1" x14ac:dyDescent="0.35">
      <c r="A51" s="687" t="s">
        <v>419</v>
      </c>
      <c r="B51" s="270" t="s">
        <v>432</v>
      </c>
      <c r="C51" s="270">
        <v>280</v>
      </c>
      <c r="D51" s="270">
        <v>158</v>
      </c>
      <c r="E51" s="270">
        <v>149</v>
      </c>
      <c r="F51" s="270">
        <v>108</v>
      </c>
      <c r="G51" s="270">
        <v>385</v>
      </c>
      <c r="H51" s="271">
        <v>0.94</v>
      </c>
      <c r="I51" s="271">
        <v>0.72</v>
      </c>
    </row>
    <row r="52" spans="1:9" ht="15" thickBot="1" x14ac:dyDescent="0.35">
      <c r="A52" s="688"/>
      <c r="B52" s="270" t="s">
        <v>439</v>
      </c>
      <c r="C52" s="270">
        <v>3500</v>
      </c>
      <c r="D52" s="270">
        <v>1892</v>
      </c>
      <c r="E52" s="270">
        <v>1769</v>
      </c>
      <c r="F52" s="270">
        <v>1020</v>
      </c>
      <c r="G52" s="270">
        <v>4702</v>
      </c>
      <c r="H52" s="271">
        <v>0.93</v>
      </c>
      <c r="I52" s="271">
        <v>0.57999999999999996</v>
      </c>
    </row>
    <row r="53" spans="1:9" ht="15" thickBot="1" x14ac:dyDescent="0.35">
      <c r="A53" s="687" t="s">
        <v>420</v>
      </c>
      <c r="B53" s="270" t="s">
        <v>432</v>
      </c>
      <c r="C53" s="270">
        <v>1988</v>
      </c>
      <c r="D53" s="270">
        <v>1046</v>
      </c>
      <c r="E53" s="270">
        <v>936</v>
      </c>
      <c r="F53" s="270">
        <v>122</v>
      </c>
      <c r="G53" s="270">
        <v>423</v>
      </c>
      <c r="H53" s="271">
        <v>0.89</v>
      </c>
      <c r="I53" s="271">
        <v>0.13</v>
      </c>
    </row>
    <row r="54" spans="1:9" ht="15" thickBot="1" x14ac:dyDescent="0.35">
      <c r="A54" s="688"/>
      <c r="B54" s="270" t="s">
        <v>439</v>
      </c>
      <c r="C54" s="270">
        <v>3084</v>
      </c>
      <c r="D54" s="270">
        <v>1675</v>
      </c>
      <c r="E54" s="270">
        <v>1577</v>
      </c>
      <c r="F54" s="270">
        <v>954</v>
      </c>
      <c r="G54" s="270">
        <v>4550</v>
      </c>
      <c r="H54" s="271">
        <v>0.94</v>
      </c>
      <c r="I54" s="271">
        <v>0.6</v>
      </c>
    </row>
    <row r="55" spans="1:9" ht="15" thickBot="1" x14ac:dyDescent="0.35">
      <c r="A55" s="687" t="s">
        <v>354</v>
      </c>
      <c r="B55" s="270" t="s">
        <v>432</v>
      </c>
      <c r="C55" s="270">
        <v>230</v>
      </c>
      <c r="D55" s="270">
        <v>134</v>
      </c>
      <c r="E55" s="270">
        <v>121</v>
      </c>
      <c r="F55" s="270">
        <v>94</v>
      </c>
      <c r="G55" s="270">
        <v>458</v>
      </c>
      <c r="H55" s="271">
        <v>0.9</v>
      </c>
      <c r="I55" s="271">
        <v>0.78</v>
      </c>
    </row>
    <row r="56" spans="1:9" x14ac:dyDescent="0.3">
      <c r="A56" s="688"/>
      <c r="B56" s="270" t="s">
        <v>439</v>
      </c>
      <c r="C56" s="270">
        <v>2692</v>
      </c>
      <c r="D56" s="270">
        <v>1681</v>
      </c>
      <c r="E56" s="270">
        <v>1563</v>
      </c>
      <c r="F56" s="270">
        <v>992</v>
      </c>
      <c r="G56" s="270">
        <v>4401</v>
      </c>
      <c r="H56" s="271">
        <v>0.93</v>
      </c>
      <c r="I56" s="271">
        <v>0.63</v>
      </c>
    </row>
    <row r="57" spans="1:9" x14ac:dyDescent="0.3">
      <c r="A57" s="687"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8"/>
      <c r="B58" s="270" t="s">
        <v>439</v>
      </c>
      <c r="C58" s="270">
        <v>2200</v>
      </c>
      <c r="D58" s="270">
        <v>1326</v>
      </c>
      <c r="E58" s="270">
        <v>1216</v>
      </c>
      <c r="F58" s="270">
        <v>748</v>
      </c>
      <c r="G58" s="270">
        <v>4079</v>
      </c>
      <c r="H58" s="271">
        <f t="shared" si="1"/>
        <v>0.9170437405731523</v>
      </c>
      <c r="I58" s="271">
        <f t="shared" si="1"/>
        <v>0.61513157894736847</v>
      </c>
    </row>
    <row r="59" spans="1:9" x14ac:dyDescent="0.3">
      <c r="A59" s="687"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8"/>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7" t="s">
        <v>357</v>
      </c>
      <c r="B61" s="270" t="s">
        <v>432</v>
      </c>
      <c r="C61" s="270"/>
      <c r="D61" s="270"/>
      <c r="E61" s="270"/>
      <c r="F61" s="270"/>
      <c r="G61" s="270"/>
      <c r="H61" s="271"/>
      <c r="I61" s="271"/>
    </row>
    <row r="62" spans="1:9" ht="15" thickBot="1" x14ac:dyDescent="0.35">
      <c r="A62" s="688"/>
      <c r="B62" s="270" t="s">
        <v>439</v>
      </c>
      <c r="C62" s="270"/>
      <c r="D62" s="270"/>
      <c r="E62" s="270"/>
      <c r="F62" s="270"/>
      <c r="G62" s="270"/>
      <c r="H62" s="271"/>
      <c r="I62" s="271"/>
    </row>
    <row r="63" spans="1:9" ht="15" thickBot="1" x14ac:dyDescent="0.35">
      <c r="A63" s="687" t="s">
        <v>358</v>
      </c>
      <c r="B63" s="270" t="s">
        <v>432</v>
      </c>
      <c r="C63" s="270"/>
      <c r="D63" s="270"/>
      <c r="E63" s="270"/>
      <c r="F63" s="270"/>
      <c r="G63" s="270"/>
      <c r="H63" s="271"/>
      <c r="I63" s="271"/>
    </row>
    <row r="64" spans="1:9" ht="15" thickBot="1" x14ac:dyDescent="0.35">
      <c r="A64" s="688"/>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9" t="s">
        <v>435</v>
      </c>
      <c r="B66" s="689"/>
      <c r="C66" s="689"/>
      <c r="D66" s="689"/>
      <c r="E66" s="689"/>
      <c r="F66" s="689"/>
      <c r="G66" s="689"/>
      <c r="H66" s="689"/>
      <c r="I66" s="689"/>
    </row>
    <row r="67" spans="1:9" ht="15" thickBot="1" x14ac:dyDescent="0.35">
      <c r="A67" s="687" t="s">
        <v>412</v>
      </c>
      <c r="B67" s="270" t="s">
        <v>432</v>
      </c>
      <c r="C67" s="270">
        <v>4265</v>
      </c>
      <c r="D67" s="270">
        <v>2223</v>
      </c>
      <c r="E67" s="270">
        <v>1579</v>
      </c>
      <c r="F67" s="270">
        <v>848</v>
      </c>
      <c r="G67" s="270">
        <v>6391</v>
      </c>
      <c r="H67" s="271">
        <v>0.71</v>
      </c>
      <c r="I67" s="271">
        <v>0.54</v>
      </c>
    </row>
    <row r="68" spans="1:9" ht="15" thickBot="1" x14ac:dyDescent="0.35">
      <c r="A68" s="688"/>
      <c r="B68" s="270" t="s">
        <v>439</v>
      </c>
      <c r="C68" s="270">
        <v>22236</v>
      </c>
      <c r="D68" s="270">
        <v>13118</v>
      </c>
      <c r="E68" s="270">
        <v>11617</v>
      </c>
      <c r="F68" s="270">
        <v>6132</v>
      </c>
      <c r="G68" s="270">
        <v>36710</v>
      </c>
      <c r="H68" s="271">
        <v>0.89</v>
      </c>
      <c r="I68" s="271">
        <v>0.53</v>
      </c>
    </row>
    <row r="69" spans="1:9" ht="15" thickBot="1" x14ac:dyDescent="0.35">
      <c r="A69" s="687" t="s">
        <v>413</v>
      </c>
      <c r="B69" s="270" t="s">
        <v>432</v>
      </c>
      <c r="C69" s="270">
        <v>4815</v>
      </c>
      <c r="D69" s="270">
        <v>2439</v>
      </c>
      <c r="E69" s="270">
        <v>1513</v>
      </c>
      <c r="F69" s="270">
        <v>1094</v>
      </c>
      <c r="G69" s="270">
        <v>6327</v>
      </c>
      <c r="H69" s="271">
        <v>0.62</v>
      </c>
      <c r="I69" s="271">
        <v>0.72</v>
      </c>
    </row>
    <row r="70" spans="1:9" ht="15" thickBot="1" x14ac:dyDescent="0.35">
      <c r="A70" s="688"/>
      <c r="B70" s="270" t="s">
        <v>439</v>
      </c>
      <c r="C70" s="270">
        <v>19459</v>
      </c>
      <c r="D70" s="270">
        <v>13352</v>
      </c>
      <c r="E70" s="270">
        <v>10842</v>
      </c>
      <c r="F70" s="270">
        <v>6291</v>
      </c>
      <c r="G70" s="270">
        <v>37056</v>
      </c>
      <c r="H70" s="271">
        <v>0.81</v>
      </c>
      <c r="I70" s="271">
        <v>0.57999999999999996</v>
      </c>
    </row>
    <row r="71" spans="1:9" ht="15" thickBot="1" x14ac:dyDescent="0.35">
      <c r="A71" s="687" t="s">
        <v>414</v>
      </c>
      <c r="B71" s="270" t="s">
        <v>432</v>
      </c>
      <c r="C71" s="270">
        <v>2670</v>
      </c>
      <c r="D71" s="270">
        <v>1378</v>
      </c>
      <c r="E71" s="270">
        <v>705</v>
      </c>
      <c r="F71" s="270">
        <v>425</v>
      </c>
      <c r="G71" s="270">
        <v>5430</v>
      </c>
      <c r="H71" s="271">
        <v>0.51</v>
      </c>
      <c r="I71" s="271">
        <v>0.6</v>
      </c>
    </row>
    <row r="72" spans="1:9" ht="15" thickBot="1" x14ac:dyDescent="0.35">
      <c r="A72" s="688"/>
      <c r="B72" s="270" t="s">
        <v>439</v>
      </c>
      <c r="C72" s="270">
        <v>15492</v>
      </c>
      <c r="D72" s="270">
        <v>11389</v>
      </c>
      <c r="E72" s="270">
        <v>10079</v>
      </c>
      <c r="F72" s="270">
        <v>7034</v>
      </c>
      <c r="G72" s="270">
        <v>37269</v>
      </c>
      <c r="H72" s="271">
        <v>0.88</v>
      </c>
      <c r="I72" s="271">
        <v>0.7</v>
      </c>
    </row>
    <row r="73" spans="1:9" ht="15" thickBot="1" x14ac:dyDescent="0.35">
      <c r="A73" s="687" t="s">
        <v>415</v>
      </c>
      <c r="B73" s="270" t="s">
        <v>432</v>
      </c>
      <c r="C73" s="270">
        <v>5022</v>
      </c>
      <c r="D73" s="270">
        <v>3135</v>
      </c>
      <c r="E73" s="270">
        <v>2944</v>
      </c>
      <c r="F73" s="270">
        <v>865</v>
      </c>
      <c r="G73" s="270">
        <v>5294</v>
      </c>
      <c r="H73" s="271">
        <v>0.94</v>
      </c>
      <c r="I73" s="271">
        <v>0.28999999999999998</v>
      </c>
    </row>
    <row r="74" spans="1:9" ht="15" thickBot="1" x14ac:dyDescent="0.35">
      <c r="A74" s="688"/>
      <c r="B74" s="270" t="s">
        <v>439</v>
      </c>
      <c r="C74" s="270">
        <v>29866</v>
      </c>
      <c r="D74" s="270">
        <v>20075</v>
      </c>
      <c r="E74" s="270">
        <v>19429</v>
      </c>
      <c r="F74" s="270">
        <v>6475</v>
      </c>
      <c r="G74" s="270">
        <v>36150</v>
      </c>
      <c r="H74" s="271">
        <v>0.97</v>
      </c>
      <c r="I74" s="271">
        <v>0.33</v>
      </c>
    </row>
    <row r="75" spans="1:9" ht="15" thickBot="1" x14ac:dyDescent="0.35">
      <c r="A75" s="687" t="s">
        <v>416</v>
      </c>
      <c r="B75" s="270" t="s">
        <v>432</v>
      </c>
      <c r="C75" s="270">
        <v>2684</v>
      </c>
      <c r="D75" s="270">
        <v>1109</v>
      </c>
      <c r="E75" s="270">
        <v>1008</v>
      </c>
      <c r="F75" s="270">
        <v>453</v>
      </c>
      <c r="G75" s="270">
        <v>4822</v>
      </c>
      <c r="H75" s="271">
        <v>0.91</v>
      </c>
      <c r="I75" s="271">
        <v>0.45</v>
      </c>
    </row>
    <row r="76" spans="1:9" ht="15" thickBot="1" x14ac:dyDescent="0.35">
      <c r="A76" s="688"/>
      <c r="B76" s="270" t="s">
        <v>439</v>
      </c>
      <c r="C76" s="270">
        <v>24170</v>
      </c>
      <c r="D76" s="270">
        <v>11183</v>
      </c>
      <c r="E76" s="270">
        <v>10406</v>
      </c>
      <c r="F76" s="270">
        <v>5486</v>
      </c>
      <c r="G76" s="270">
        <v>35640</v>
      </c>
      <c r="H76" s="271">
        <v>0.93</v>
      </c>
      <c r="I76" s="271">
        <v>0.53</v>
      </c>
    </row>
    <row r="77" spans="1:9" ht="15" thickBot="1" x14ac:dyDescent="0.35">
      <c r="A77" s="687" t="s">
        <v>417</v>
      </c>
      <c r="B77" s="270" t="s">
        <v>432</v>
      </c>
      <c r="C77" s="270">
        <v>3684</v>
      </c>
      <c r="D77" s="270">
        <v>1645</v>
      </c>
      <c r="E77" s="270">
        <v>1463</v>
      </c>
      <c r="F77" s="270">
        <v>782</v>
      </c>
      <c r="G77" s="270">
        <v>4768</v>
      </c>
      <c r="H77" s="271">
        <v>0.89</v>
      </c>
      <c r="I77" s="271">
        <v>0.53</v>
      </c>
    </row>
    <row r="78" spans="1:9" ht="15" thickBot="1" x14ac:dyDescent="0.35">
      <c r="A78" s="688"/>
      <c r="B78" s="270" t="s">
        <v>439</v>
      </c>
      <c r="C78" s="270">
        <v>22519</v>
      </c>
      <c r="D78" s="270">
        <v>12179</v>
      </c>
      <c r="E78" s="270">
        <v>11278</v>
      </c>
      <c r="F78" s="270">
        <v>7038</v>
      </c>
      <c r="G78" s="270">
        <v>36070</v>
      </c>
      <c r="H78" s="271">
        <v>0.93</v>
      </c>
      <c r="I78" s="271">
        <v>0.62</v>
      </c>
    </row>
    <row r="79" spans="1:9" ht="15" thickBot="1" x14ac:dyDescent="0.35">
      <c r="A79" s="687" t="s">
        <v>418</v>
      </c>
      <c r="B79" s="270" t="s">
        <v>432</v>
      </c>
      <c r="C79" s="270">
        <v>2607</v>
      </c>
      <c r="D79" s="270">
        <v>1181</v>
      </c>
      <c r="E79" s="270">
        <v>1048</v>
      </c>
      <c r="F79" s="270">
        <v>553</v>
      </c>
      <c r="G79" s="270">
        <v>4429</v>
      </c>
      <c r="H79" s="271">
        <v>0.89</v>
      </c>
      <c r="I79" s="271">
        <v>0.53</v>
      </c>
    </row>
    <row r="80" spans="1:9" ht="15" thickBot="1" x14ac:dyDescent="0.35">
      <c r="A80" s="688"/>
      <c r="B80" s="270" t="s">
        <v>439</v>
      </c>
      <c r="C80" s="270">
        <v>20209</v>
      </c>
      <c r="D80" s="270">
        <v>11446</v>
      </c>
      <c r="E80" s="270">
        <v>10424</v>
      </c>
      <c r="F80" s="270">
        <v>6302</v>
      </c>
      <c r="G80" s="270">
        <v>36076</v>
      </c>
      <c r="H80" s="271">
        <v>0.91</v>
      </c>
      <c r="I80" s="271">
        <v>0.6</v>
      </c>
    </row>
    <row r="81" spans="1:9" ht="15" thickBot="1" x14ac:dyDescent="0.35">
      <c r="A81" s="687" t="s">
        <v>419</v>
      </c>
      <c r="B81" s="270" t="s">
        <v>432</v>
      </c>
      <c r="C81" s="270">
        <v>3579</v>
      </c>
      <c r="D81" s="270">
        <v>1663</v>
      </c>
      <c r="E81" s="270">
        <v>1473</v>
      </c>
      <c r="F81" s="270">
        <v>843</v>
      </c>
      <c r="G81" s="270">
        <v>4720</v>
      </c>
      <c r="H81" s="271">
        <v>0.89</v>
      </c>
      <c r="I81" s="271">
        <v>0.56999999999999995</v>
      </c>
    </row>
    <row r="82" spans="1:9" ht="15" thickBot="1" x14ac:dyDescent="0.35">
      <c r="A82" s="688"/>
      <c r="B82" s="270" t="s">
        <v>439</v>
      </c>
      <c r="C82" s="270">
        <v>24860</v>
      </c>
      <c r="D82" s="270">
        <v>14349</v>
      </c>
      <c r="E82" s="270">
        <v>12925</v>
      </c>
      <c r="F82" s="270">
        <v>8059</v>
      </c>
      <c r="G82" s="270">
        <v>36074</v>
      </c>
      <c r="H82" s="271">
        <v>0.9</v>
      </c>
      <c r="I82" s="271">
        <v>0.62</v>
      </c>
    </row>
    <row r="83" spans="1:9" ht="15" thickBot="1" x14ac:dyDescent="0.35">
      <c r="A83" s="687" t="s">
        <v>420</v>
      </c>
      <c r="B83" s="270" t="s">
        <v>432</v>
      </c>
      <c r="C83" s="270">
        <v>2680</v>
      </c>
      <c r="D83" s="270">
        <v>1376</v>
      </c>
      <c r="E83" s="270">
        <v>1207</v>
      </c>
      <c r="F83" s="270">
        <v>766</v>
      </c>
      <c r="G83" s="270">
        <v>4665</v>
      </c>
      <c r="H83" s="271">
        <v>0.88</v>
      </c>
      <c r="I83" s="271">
        <v>0.63</v>
      </c>
    </row>
    <row r="84" spans="1:9" ht="15" thickBot="1" x14ac:dyDescent="0.35">
      <c r="A84" s="688"/>
      <c r="B84" s="270" t="s">
        <v>439</v>
      </c>
      <c r="C84" s="270">
        <v>22183</v>
      </c>
      <c r="D84" s="270">
        <v>12266</v>
      </c>
      <c r="E84" s="270">
        <v>11117</v>
      </c>
      <c r="F84" s="270">
        <v>6673</v>
      </c>
      <c r="G84" s="270">
        <v>36409</v>
      </c>
      <c r="H84" s="271">
        <v>0.91</v>
      </c>
      <c r="I84" s="271">
        <v>0.6</v>
      </c>
    </row>
    <row r="85" spans="1:9" ht="15" thickBot="1" x14ac:dyDescent="0.35">
      <c r="A85" s="687" t="s">
        <v>354</v>
      </c>
      <c r="B85" s="270" t="s">
        <v>432</v>
      </c>
      <c r="C85" s="270">
        <v>2587</v>
      </c>
      <c r="D85" s="270">
        <v>1514</v>
      </c>
      <c r="E85" s="270">
        <v>1348</v>
      </c>
      <c r="F85" s="270">
        <v>917</v>
      </c>
      <c r="G85" s="270">
        <v>4755</v>
      </c>
      <c r="H85" s="271">
        <v>0.89</v>
      </c>
      <c r="I85" s="271">
        <v>0.68</v>
      </c>
    </row>
    <row r="86" spans="1:9" ht="15" thickBot="1" x14ac:dyDescent="0.35">
      <c r="A86" s="688"/>
      <c r="B86" s="270" t="s">
        <v>439</v>
      </c>
      <c r="C86" s="270">
        <v>24526</v>
      </c>
      <c r="D86" s="270">
        <v>14468</v>
      </c>
      <c r="E86" s="270">
        <v>13076</v>
      </c>
      <c r="F86" s="270">
        <v>8453</v>
      </c>
      <c r="G86" s="270">
        <v>36534</v>
      </c>
      <c r="H86" s="271">
        <v>0.9</v>
      </c>
      <c r="I86" s="271">
        <v>0.65</v>
      </c>
    </row>
    <row r="87" spans="1:9" ht="15" thickBot="1" x14ac:dyDescent="0.35">
      <c r="A87" s="687"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8"/>
      <c r="B88" s="270" t="s">
        <v>439</v>
      </c>
      <c r="C88" s="270">
        <v>15451</v>
      </c>
      <c r="D88" s="270">
        <v>11589</v>
      </c>
      <c r="E88" s="270">
        <v>10250</v>
      </c>
      <c r="F88" s="270">
        <v>7209</v>
      </c>
      <c r="G88" s="270">
        <v>36412</v>
      </c>
      <c r="H88" s="271">
        <f t="shared" si="2"/>
        <v>0.88445940115626887</v>
      </c>
      <c r="I88" s="271">
        <f t="shared" si="2"/>
        <v>0.70331707317073167</v>
      </c>
    </row>
    <row r="89" spans="1:9" x14ac:dyDescent="0.3">
      <c r="A89" s="687"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8"/>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7" t="s">
        <v>357</v>
      </c>
      <c r="B91" s="270" t="s">
        <v>432</v>
      </c>
      <c r="C91" s="270"/>
      <c r="D91" s="270"/>
      <c r="E91" s="270"/>
      <c r="F91" s="270"/>
      <c r="G91" s="270"/>
      <c r="H91" s="271"/>
      <c r="I91" s="271"/>
    </row>
    <row r="92" spans="1:9" ht="15" thickBot="1" x14ac:dyDescent="0.35">
      <c r="A92" s="688"/>
      <c r="B92" s="270" t="s">
        <v>439</v>
      </c>
      <c r="C92" s="270"/>
      <c r="D92" s="270"/>
      <c r="E92" s="270"/>
      <c r="F92" s="270"/>
      <c r="G92" s="270"/>
      <c r="H92" s="271"/>
      <c r="I92" s="271"/>
    </row>
    <row r="93" spans="1:9" ht="15" thickBot="1" x14ac:dyDescent="0.35">
      <c r="A93" s="687" t="s">
        <v>358</v>
      </c>
      <c r="B93" s="270" t="s">
        <v>432</v>
      </c>
      <c r="C93" s="270"/>
      <c r="D93" s="270"/>
      <c r="E93" s="270"/>
      <c r="F93" s="270"/>
      <c r="G93" s="270"/>
      <c r="H93" s="271"/>
      <c r="I93" s="271"/>
    </row>
    <row r="94" spans="1:9" ht="15" thickBot="1" x14ac:dyDescent="0.35">
      <c r="A94" s="688"/>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9" t="s">
        <v>436</v>
      </c>
      <c r="B96" s="689"/>
      <c r="C96" s="689"/>
      <c r="D96" s="689"/>
      <c r="E96" s="689"/>
      <c r="F96" s="689"/>
      <c r="G96" s="689"/>
      <c r="H96" s="689"/>
      <c r="I96" s="689"/>
    </row>
    <row r="97" spans="1:9" ht="15" thickBot="1" x14ac:dyDescent="0.35">
      <c r="A97" s="687" t="s">
        <v>412</v>
      </c>
      <c r="B97" s="270" t="s">
        <v>432</v>
      </c>
      <c r="C97" s="270">
        <v>816</v>
      </c>
      <c r="D97" s="270">
        <v>533</v>
      </c>
      <c r="E97" s="270">
        <v>423</v>
      </c>
      <c r="F97" s="270">
        <v>246</v>
      </c>
      <c r="G97" s="270">
        <v>569</v>
      </c>
      <c r="H97" s="271">
        <v>0.79</v>
      </c>
      <c r="I97" s="271">
        <v>0.57999999999999996</v>
      </c>
    </row>
    <row r="98" spans="1:9" ht="15" thickBot="1" x14ac:dyDescent="0.35">
      <c r="A98" s="688"/>
      <c r="B98" s="270" t="s">
        <v>439</v>
      </c>
      <c r="C98" s="270">
        <v>2044</v>
      </c>
      <c r="D98" s="270">
        <v>1226</v>
      </c>
      <c r="E98" s="270">
        <v>969</v>
      </c>
      <c r="F98" s="270">
        <v>511</v>
      </c>
      <c r="G98" s="270">
        <v>1186</v>
      </c>
      <c r="H98" s="271">
        <v>0.79</v>
      </c>
      <c r="I98" s="271">
        <v>0.53</v>
      </c>
    </row>
    <row r="99" spans="1:9" ht="15" thickBot="1" x14ac:dyDescent="0.35">
      <c r="A99" s="687" t="s">
        <v>413</v>
      </c>
      <c r="B99" s="270" t="s">
        <v>432</v>
      </c>
      <c r="C99" s="270">
        <v>1342</v>
      </c>
      <c r="D99" s="270">
        <v>722</v>
      </c>
      <c r="E99" s="270">
        <v>553</v>
      </c>
      <c r="F99" s="270">
        <v>341</v>
      </c>
      <c r="G99" s="270">
        <v>577</v>
      </c>
      <c r="H99" s="271">
        <v>0.77</v>
      </c>
      <c r="I99" s="271">
        <v>0.62</v>
      </c>
    </row>
    <row r="100" spans="1:9" ht="15" thickBot="1" x14ac:dyDescent="0.35">
      <c r="A100" s="688"/>
      <c r="B100" s="270" t="s">
        <v>439</v>
      </c>
      <c r="C100" s="270">
        <v>2871</v>
      </c>
      <c r="D100" s="270">
        <v>1716</v>
      </c>
      <c r="E100" s="270">
        <v>1359</v>
      </c>
      <c r="F100" s="270">
        <v>861</v>
      </c>
      <c r="G100" s="270">
        <v>1307</v>
      </c>
      <c r="H100" s="271">
        <v>0.79</v>
      </c>
      <c r="I100" s="271">
        <v>0.63</v>
      </c>
    </row>
    <row r="101" spans="1:9" ht="15" thickBot="1" x14ac:dyDescent="0.35">
      <c r="A101" s="687" t="s">
        <v>414</v>
      </c>
      <c r="B101" s="270" t="s">
        <v>432</v>
      </c>
      <c r="C101" s="270">
        <v>522</v>
      </c>
      <c r="D101" s="270">
        <v>307</v>
      </c>
      <c r="E101" s="270">
        <v>238</v>
      </c>
      <c r="F101" s="270">
        <v>140</v>
      </c>
      <c r="G101" s="270">
        <v>446</v>
      </c>
      <c r="H101" s="271">
        <v>0.78</v>
      </c>
      <c r="I101" s="271">
        <v>0.59</v>
      </c>
    </row>
    <row r="102" spans="1:9" ht="15" thickBot="1" x14ac:dyDescent="0.35">
      <c r="A102" s="688"/>
      <c r="B102" s="270" t="s">
        <v>439</v>
      </c>
      <c r="C102" s="270">
        <v>2413</v>
      </c>
      <c r="D102" s="270">
        <v>1516</v>
      </c>
      <c r="E102" s="270">
        <v>1247</v>
      </c>
      <c r="F102" s="270">
        <v>811</v>
      </c>
      <c r="G102" s="270">
        <v>1567</v>
      </c>
      <c r="H102" s="271">
        <v>0.82</v>
      </c>
      <c r="I102" s="271">
        <v>0.65</v>
      </c>
    </row>
    <row r="103" spans="1:9" ht="15" thickBot="1" x14ac:dyDescent="0.35">
      <c r="A103" s="687" t="s">
        <v>415</v>
      </c>
      <c r="B103" s="270" t="s">
        <v>432</v>
      </c>
      <c r="C103" s="270">
        <v>917</v>
      </c>
      <c r="D103" s="270">
        <v>483</v>
      </c>
      <c r="E103" s="270">
        <v>422</v>
      </c>
      <c r="F103" s="270">
        <v>287</v>
      </c>
      <c r="G103" s="270">
        <v>438</v>
      </c>
      <c r="H103" s="271">
        <v>0.87</v>
      </c>
      <c r="I103" s="271">
        <v>0.68</v>
      </c>
    </row>
    <row r="104" spans="1:9" ht="15" thickBot="1" x14ac:dyDescent="0.35">
      <c r="A104" s="688"/>
      <c r="B104" s="270" t="s">
        <v>439</v>
      </c>
      <c r="C104" s="270">
        <v>4970</v>
      </c>
      <c r="D104" s="270">
        <v>1550</v>
      </c>
      <c r="E104" s="270">
        <v>1490</v>
      </c>
      <c r="F104" s="270">
        <v>926</v>
      </c>
      <c r="G104" s="270">
        <v>1699</v>
      </c>
      <c r="H104" s="271">
        <v>0.96</v>
      </c>
      <c r="I104" s="271">
        <v>0.62</v>
      </c>
    </row>
    <row r="105" spans="1:9" ht="15" thickBot="1" x14ac:dyDescent="0.35">
      <c r="A105" s="687" t="s">
        <v>416</v>
      </c>
      <c r="B105" s="270" t="s">
        <v>432</v>
      </c>
      <c r="C105" s="270">
        <v>583</v>
      </c>
      <c r="D105" s="270">
        <v>284</v>
      </c>
      <c r="E105" s="270">
        <v>266</v>
      </c>
      <c r="F105" s="270">
        <v>148</v>
      </c>
      <c r="G105" s="270">
        <v>435</v>
      </c>
      <c r="H105" s="271">
        <v>0.94</v>
      </c>
      <c r="I105" s="271">
        <v>0.56000000000000005</v>
      </c>
    </row>
    <row r="106" spans="1:9" ht="15" thickBot="1" x14ac:dyDescent="0.35">
      <c r="A106" s="688"/>
      <c r="B106" s="270" t="s">
        <v>439</v>
      </c>
      <c r="C106" s="270">
        <v>3769</v>
      </c>
      <c r="D106" s="270">
        <v>1262</v>
      </c>
      <c r="E106" s="270">
        <v>1198</v>
      </c>
      <c r="F106" s="270">
        <v>714</v>
      </c>
      <c r="G106" s="270">
        <v>1546</v>
      </c>
      <c r="H106" s="271">
        <v>0.95</v>
      </c>
      <c r="I106" s="271">
        <v>0.6</v>
      </c>
    </row>
    <row r="107" spans="1:9" ht="15" thickBot="1" x14ac:dyDescent="0.35">
      <c r="A107" s="687" t="s">
        <v>417</v>
      </c>
      <c r="B107" s="270" t="s">
        <v>432</v>
      </c>
      <c r="C107" s="270">
        <v>854</v>
      </c>
      <c r="D107" s="270">
        <v>534</v>
      </c>
      <c r="E107" s="270">
        <v>503</v>
      </c>
      <c r="F107" s="270">
        <v>274</v>
      </c>
      <c r="G107" s="270">
        <v>420</v>
      </c>
      <c r="H107" s="271">
        <v>0.94</v>
      </c>
      <c r="I107" s="271">
        <v>0.54</v>
      </c>
    </row>
    <row r="108" spans="1:9" ht="15" thickBot="1" x14ac:dyDescent="0.35">
      <c r="A108" s="688"/>
      <c r="B108" s="270" t="s">
        <v>439</v>
      </c>
      <c r="C108" s="270">
        <v>6023</v>
      </c>
      <c r="D108" s="270">
        <v>1903</v>
      </c>
      <c r="E108" s="270">
        <v>1777</v>
      </c>
      <c r="F108" s="270">
        <v>1059</v>
      </c>
      <c r="G108" s="270">
        <v>1760</v>
      </c>
      <c r="H108" s="271">
        <v>0.93</v>
      </c>
      <c r="I108" s="271">
        <v>0.6</v>
      </c>
    </row>
    <row r="109" spans="1:9" ht="15" thickBot="1" x14ac:dyDescent="0.35">
      <c r="A109" s="687" t="s">
        <v>418</v>
      </c>
      <c r="B109" s="270" t="s">
        <v>432</v>
      </c>
      <c r="C109" s="270">
        <v>496</v>
      </c>
      <c r="D109" s="270">
        <v>320</v>
      </c>
      <c r="E109" s="270">
        <v>290</v>
      </c>
      <c r="F109" s="270">
        <v>176</v>
      </c>
      <c r="G109" s="270">
        <v>437</v>
      </c>
      <c r="H109" s="271">
        <v>0.91</v>
      </c>
      <c r="I109" s="271">
        <v>0.61</v>
      </c>
    </row>
    <row r="110" spans="1:9" ht="15" thickBot="1" x14ac:dyDescent="0.35">
      <c r="A110" s="688"/>
      <c r="B110" s="270" t="s">
        <v>439</v>
      </c>
      <c r="C110" s="270">
        <v>4418</v>
      </c>
      <c r="D110" s="270">
        <v>1521</v>
      </c>
      <c r="E110" s="270">
        <v>1428</v>
      </c>
      <c r="F110" s="270">
        <v>852</v>
      </c>
      <c r="G110" s="270">
        <v>1854</v>
      </c>
      <c r="H110" s="271">
        <v>0.94</v>
      </c>
      <c r="I110" s="271">
        <v>0.6</v>
      </c>
    </row>
    <row r="111" spans="1:9" ht="15" thickBot="1" x14ac:dyDescent="0.35">
      <c r="A111" s="687" t="s">
        <v>419</v>
      </c>
      <c r="B111" s="270" t="s">
        <v>432</v>
      </c>
      <c r="C111" s="270">
        <v>929</v>
      </c>
      <c r="D111" s="270">
        <v>544</v>
      </c>
      <c r="E111" s="270">
        <v>513</v>
      </c>
      <c r="F111" s="270">
        <v>301</v>
      </c>
      <c r="G111" s="270">
        <v>470</v>
      </c>
      <c r="H111" s="271">
        <v>0.94</v>
      </c>
      <c r="I111" s="271">
        <v>0.59</v>
      </c>
    </row>
    <row r="112" spans="1:9" ht="15" thickBot="1" x14ac:dyDescent="0.35">
      <c r="A112" s="688"/>
      <c r="B112" s="270" t="s">
        <v>439</v>
      </c>
      <c r="C112" s="270">
        <v>4510</v>
      </c>
      <c r="D112" s="270">
        <v>2065</v>
      </c>
      <c r="E112" s="270">
        <v>1931</v>
      </c>
      <c r="F112" s="270">
        <v>1063</v>
      </c>
      <c r="G112" s="270">
        <v>1915</v>
      </c>
      <c r="H112" s="271">
        <v>0.94</v>
      </c>
      <c r="I112" s="271">
        <v>0.55000000000000004</v>
      </c>
    </row>
    <row r="113" spans="1:9" ht="15" thickBot="1" x14ac:dyDescent="0.35">
      <c r="A113" s="687" t="s">
        <v>420</v>
      </c>
      <c r="B113" s="270" t="s">
        <v>432</v>
      </c>
      <c r="C113" s="270">
        <v>498</v>
      </c>
      <c r="D113" s="270">
        <v>297</v>
      </c>
      <c r="E113" s="270">
        <v>274</v>
      </c>
      <c r="F113" s="270">
        <v>175</v>
      </c>
      <c r="G113" s="270">
        <v>467</v>
      </c>
      <c r="H113" s="271">
        <v>0.92</v>
      </c>
      <c r="I113" s="271">
        <v>0.64</v>
      </c>
    </row>
    <row r="114" spans="1:9" ht="15" thickBot="1" x14ac:dyDescent="0.35">
      <c r="A114" s="688"/>
      <c r="B114" s="270" t="s">
        <v>439</v>
      </c>
      <c r="C114" s="270">
        <v>914</v>
      </c>
      <c r="D114" s="270">
        <v>914</v>
      </c>
      <c r="E114" s="270">
        <v>914</v>
      </c>
      <c r="F114" s="270">
        <v>914</v>
      </c>
      <c r="G114" s="270">
        <v>1981</v>
      </c>
      <c r="H114" s="271">
        <v>1</v>
      </c>
      <c r="I114" s="271">
        <v>1</v>
      </c>
    </row>
    <row r="115" spans="1:9" ht="15" thickBot="1" x14ac:dyDescent="0.35">
      <c r="A115" s="687" t="s">
        <v>354</v>
      </c>
      <c r="B115" s="270" t="s">
        <v>432</v>
      </c>
      <c r="C115" s="270">
        <v>844</v>
      </c>
      <c r="D115" s="270">
        <v>576</v>
      </c>
      <c r="E115" s="270">
        <v>545</v>
      </c>
      <c r="F115" s="270">
        <v>313</v>
      </c>
      <c r="G115" s="270">
        <v>483</v>
      </c>
      <c r="H115" s="271">
        <v>0.95</v>
      </c>
      <c r="I115" s="271">
        <v>0.56999999999999995</v>
      </c>
    </row>
    <row r="116" spans="1:9" ht="15" thickBot="1" x14ac:dyDescent="0.35">
      <c r="A116" s="688"/>
      <c r="B116" s="270" t="s">
        <v>439</v>
      </c>
      <c r="C116" s="270">
        <v>2732</v>
      </c>
      <c r="D116" s="270">
        <v>1851</v>
      </c>
      <c r="E116" s="270">
        <v>1763</v>
      </c>
      <c r="F116" s="270">
        <v>1120</v>
      </c>
      <c r="G116" s="270">
        <v>1985</v>
      </c>
      <c r="H116" s="271">
        <v>0.95</v>
      </c>
      <c r="I116" s="271">
        <v>0.64</v>
      </c>
    </row>
    <row r="117" spans="1:9" ht="15" thickBot="1" x14ac:dyDescent="0.35">
      <c r="A117" s="687"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8"/>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7"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8"/>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7" t="s">
        <v>357</v>
      </c>
      <c r="B121" s="270" t="s">
        <v>432</v>
      </c>
      <c r="C121" s="270"/>
      <c r="D121" s="270"/>
      <c r="E121" s="270"/>
      <c r="F121" s="270"/>
      <c r="G121" s="270"/>
      <c r="H121" s="271"/>
      <c r="I121" s="271"/>
    </row>
    <row r="122" spans="1:9" ht="15" thickBot="1" x14ac:dyDescent="0.35">
      <c r="A122" s="688"/>
      <c r="B122" s="270" t="s">
        <v>439</v>
      </c>
      <c r="C122" s="270"/>
      <c r="D122" s="270"/>
      <c r="E122" s="270"/>
      <c r="F122" s="270"/>
      <c r="G122" s="270"/>
      <c r="H122" s="271"/>
      <c r="I122" s="271"/>
    </row>
    <row r="123" spans="1:9" ht="15" thickBot="1" x14ac:dyDescent="0.35">
      <c r="A123" s="687" t="s">
        <v>358</v>
      </c>
      <c r="B123" s="270" t="s">
        <v>432</v>
      </c>
      <c r="C123" s="270"/>
      <c r="D123" s="270"/>
      <c r="E123" s="270"/>
      <c r="F123" s="270"/>
      <c r="G123" s="270"/>
      <c r="H123" s="271"/>
      <c r="I123" s="271"/>
    </row>
    <row r="124" spans="1:9" ht="15" thickBot="1" x14ac:dyDescent="0.35">
      <c r="A124" s="688"/>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9" t="s">
        <v>437</v>
      </c>
      <c r="B126" s="689"/>
      <c r="C126" s="689"/>
      <c r="D126" s="689"/>
      <c r="E126" s="689"/>
      <c r="F126" s="689"/>
      <c r="G126" s="689"/>
      <c r="H126" s="689"/>
      <c r="I126" s="689"/>
    </row>
    <row r="127" spans="1:9" ht="15" thickBot="1" x14ac:dyDescent="0.35">
      <c r="A127" s="687" t="s">
        <v>412</v>
      </c>
      <c r="B127" s="270" t="s">
        <v>432</v>
      </c>
      <c r="C127" s="270">
        <v>91</v>
      </c>
      <c r="D127" s="270">
        <v>70</v>
      </c>
      <c r="E127" s="270">
        <v>58</v>
      </c>
      <c r="F127" s="270">
        <v>29</v>
      </c>
      <c r="G127" s="270">
        <v>118</v>
      </c>
      <c r="H127" s="271">
        <v>0.83</v>
      </c>
      <c r="I127" s="271">
        <v>0.5</v>
      </c>
    </row>
    <row r="128" spans="1:9" ht="15" thickBot="1" x14ac:dyDescent="0.35">
      <c r="A128" s="688"/>
      <c r="B128" s="270" t="s">
        <v>439</v>
      </c>
      <c r="C128" s="270">
        <v>0</v>
      </c>
      <c r="D128" s="270">
        <v>0</v>
      </c>
      <c r="E128" s="272">
        <v>0</v>
      </c>
      <c r="F128" s="272">
        <v>0</v>
      </c>
      <c r="G128" s="272">
        <v>0</v>
      </c>
      <c r="H128" s="271">
        <v>0</v>
      </c>
      <c r="I128" s="271">
        <v>0</v>
      </c>
    </row>
    <row r="129" spans="1:9" ht="15" thickBot="1" x14ac:dyDescent="0.35">
      <c r="A129" s="687" t="s">
        <v>413</v>
      </c>
      <c r="B129" s="270" t="s">
        <v>432</v>
      </c>
      <c r="C129" s="270">
        <v>133</v>
      </c>
      <c r="D129" s="270">
        <v>95</v>
      </c>
      <c r="E129" s="270">
        <v>79</v>
      </c>
      <c r="F129" s="270">
        <v>42</v>
      </c>
      <c r="G129" s="270">
        <v>126</v>
      </c>
      <c r="H129" s="271">
        <v>0.83</v>
      </c>
      <c r="I129" s="271">
        <v>0.53</v>
      </c>
    </row>
    <row r="130" spans="1:9" ht="15" thickBot="1" x14ac:dyDescent="0.35">
      <c r="A130" s="688"/>
      <c r="B130" s="270" t="s">
        <v>439</v>
      </c>
      <c r="C130" s="270">
        <v>0</v>
      </c>
      <c r="D130" s="270">
        <v>0</v>
      </c>
      <c r="E130" s="272">
        <v>0</v>
      </c>
      <c r="F130" s="272">
        <v>0</v>
      </c>
      <c r="G130" s="272">
        <v>0</v>
      </c>
      <c r="H130" s="271">
        <v>0</v>
      </c>
      <c r="I130" s="271">
        <v>0</v>
      </c>
    </row>
    <row r="131" spans="1:9" ht="15" thickBot="1" x14ac:dyDescent="0.35">
      <c r="A131" s="687" t="s">
        <v>414</v>
      </c>
      <c r="B131" s="270" t="s">
        <v>432</v>
      </c>
      <c r="C131" s="270">
        <v>114</v>
      </c>
      <c r="D131" s="270">
        <v>75</v>
      </c>
      <c r="E131" s="270">
        <v>56</v>
      </c>
      <c r="F131" s="270">
        <v>35</v>
      </c>
      <c r="G131" s="270">
        <v>112</v>
      </c>
      <c r="H131" s="271">
        <v>0.75</v>
      </c>
      <c r="I131" s="271">
        <v>0.63</v>
      </c>
    </row>
    <row r="132" spans="1:9" ht="15" thickBot="1" x14ac:dyDescent="0.35">
      <c r="A132" s="688"/>
      <c r="B132" s="270" t="s">
        <v>439</v>
      </c>
      <c r="C132" s="270">
        <v>0</v>
      </c>
      <c r="D132" s="270">
        <v>0</v>
      </c>
      <c r="E132" s="272">
        <v>0</v>
      </c>
      <c r="F132" s="272">
        <v>0</v>
      </c>
      <c r="G132" s="272">
        <v>0</v>
      </c>
      <c r="H132" s="271">
        <v>0</v>
      </c>
      <c r="I132" s="271">
        <v>0</v>
      </c>
    </row>
    <row r="133" spans="1:9" ht="15" thickBot="1" x14ac:dyDescent="0.35">
      <c r="A133" s="687" t="s">
        <v>415</v>
      </c>
      <c r="B133" s="270" t="s">
        <v>432</v>
      </c>
      <c r="C133" s="270">
        <v>76</v>
      </c>
      <c r="D133" s="270">
        <v>47</v>
      </c>
      <c r="E133" s="270">
        <v>37</v>
      </c>
      <c r="F133" s="270">
        <v>22</v>
      </c>
      <c r="G133" s="270">
        <v>93</v>
      </c>
      <c r="H133" s="271">
        <v>0.79</v>
      </c>
      <c r="I133" s="271">
        <v>0.59</v>
      </c>
    </row>
    <row r="134" spans="1:9" ht="15" thickBot="1" x14ac:dyDescent="0.35">
      <c r="A134" s="688"/>
      <c r="B134" s="270" t="s">
        <v>439</v>
      </c>
      <c r="C134" s="270">
        <v>0</v>
      </c>
      <c r="D134" s="270">
        <v>0</v>
      </c>
      <c r="E134" s="270">
        <v>0</v>
      </c>
      <c r="F134" s="270">
        <v>0</v>
      </c>
      <c r="G134" s="270">
        <v>0</v>
      </c>
      <c r="H134" s="271">
        <v>0</v>
      </c>
      <c r="I134" s="271">
        <v>0</v>
      </c>
    </row>
    <row r="135" spans="1:9" ht="15" thickBot="1" x14ac:dyDescent="0.35">
      <c r="A135" s="687" t="s">
        <v>416</v>
      </c>
      <c r="B135" s="270" t="s">
        <v>432</v>
      </c>
      <c r="C135" s="270">
        <v>68</v>
      </c>
      <c r="D135" s="270">
        <v>32</v>
      </c>
      <c r="E135" s="270">
        <v>30</v>
      </c>
      <c r="F135" s="270">
        <v>15</v>
      </c>
      <c r="G135" s="270">
        <v>75</v>
      </c>
      <c r="H135" s="271">
        <v>0.94</v>
      </c>
      <c r="I135" s="271">
        <v>0.5</v>
      </c>
    </row>
    <row r="136" spans="1:9" ht="15" thickBot="1" x14ac:dyDescent="0.35">
      <c r="A136" s="688"/>
      <c r="B136" s="270" t="s">
        <v>439</v>
      </c>
      <c r="C136" s="270">
        <v>95</v>
      </c>
      <c r="D136" s="270">
        <v>35</v>
      </c>
      <c r="E136" s="270">
        <v>31</v>
      </c>
      <c r="F136" s="270">
        <v>1</v>
      </c>
      <c r="G136" s="270">
        <v>1</v>
      </c>
      <c r="H136" s="271">
        <v>0.89</v>
      </c>
      <c r="I136" s="271">
        <v>0.03</v>
      </c>
    </row>
    <row r="137" spans="1:9" ht="15" thickBot="1" x14ac:dyDescent="0.35">
      <c r="A137" s="687" t="s">
        <v>417</v>
      </c>
      <c r="B137" s="270" t="s">
        <v>432</v>
      </c>
      <c r="C137" s="270">
        <v>76</v>
      </c>
      <c r="D137" s="270">
        <v>48</v>
      </c>
      <c r="E137" s="270">
        <v>44</v>
      </c>
      <c r="F137" s="270">
        <v>17</v>
      </c>
      <c r="G137" s="270">
        <v>63</v>
      </c>
      <c r="H137" s="271">
        <v>0.92</v>
      </c>
      <c r="I137" s="271">
        <v>0.39</v>
      </c>
    </row>
    <row r="138" spans="1:9" ht="15" thickBot="1" x14ac:dyDescent="0.35">
      <c r="A138" s="688"/>
      <c r="B138" s="270" t="s">
        <v>439</v>
      </c>
      <c r="C138" s="270">
        <v>1631</v>
      </c>
      <c r="D138" s="270">
        <v>362</v>
      </c>
      <c r="E138" s="270">
        <v>353</v>
      </c>
      <c r="F138" s="270">
        <v>132</v>
      </c>
      <c r="G138" s="270">
        <v>133</v>
      </c>
      <c r="H138" s="271">
        <v>0.98</v>
      </c>
      <c r="I138" s="271">
        <v>0.37</v>
      </c>
    </row>
    <row r="139" spans="1:9" ht="15" thickBot="1" x14ac:dyDescent="0.35">
      <c r="A139" s="687" t="s">
        <v>418</v>
      </c>
      <c r="B139" s="270" t="s">
        <v>432</v>
      </c>
      <c r="C139" s="270">
        <v>51</v>
      </c>
      <c r="D139" s="270">
        <v>38</v>
      </c>
      <c r="E139" s="270">
        <v>36</v>
      </c>
      <c r="F139" s="270">
        <v>0</v>
      </c>
      <c r="G139" s="270">
        <v>50</v>
      </c>
      <c r="H139" s="271">
        <v>0.95</v>
      </c>
      <c r="I139" s="271">
        <v>0</v>
      </c>
    </row>
    <row r="140" spans="1:9" ht="15" thickBot="1" x14ac:dyDescent="0.35">
      <c r="A140" s="688"/>
      <c r="B140" s="270" t="s">
        <v>439</v>
      </c>
      <c r="C140" s="270">
        <v>1049</v>
      </c>
      <c r="D140" s="270">
        <v>349</v>
      </c>
      <c r="E140" s="270">
        <v>327</v>
      </c>
      <c r="F140" s="270">
        <v>141</v>
      </c>
      <c r="G140" s="270">
        <v>249</v>
      </c>
      <c r="H140" s="271">
        <v>0.94</v>
      </c>
      <c r="I140" s="271">
        <v>0.43</v>
      </c>
    </row>
    <row r="141" spans="1:9" ht="15" thickBot="1" x14ac:dyDescent="0.35">
      <c r="A141" s="687" t="s">
        <v>419</v>
      </c>
      <c r="B141" s="270" t="s">
        <v>432</v>
      </c>
      <c r="C141" s="270">
        <v>102</v>
      </c>
      <c r="D141" s="270">
        <v>60</v>
      </c>
      <c r="E141" s="270">
        <v>57</v>
      </c>
      <c r="F141" s="270">
        <v>11</v>
      </c>
      <c r="G141" s="270">
        <v>37</v>
      </c>
      <c r="H141" s="271">
        <v>0.95</v>
      </c>
      <c r="I141" s="271">
        <v>0.19</v>
      </c>
    </row>
    <row r="142" spans="1:9" ht="15" thickBot="1" x14ac:dyDescent="0.35">
      <c r="A142" s="688"/>
      <c r="B142" s="270" t="s">
        <v>439</v>
      </c>
      <c r="C142" s="270">
        <v>1581</v>
      </c>
      <c r="D142" s="270">
        <v>829</v>
      </c>
      <c r="E142" s="270">
        <v>740</v>
      </c>
      <c r="F142" s="270">
        <v>315</v>
      </c>
      <c r="G142" s="270">
        <v>533</v>
      </c>
      <c r="H142" s="271">
        <v>0.89</v>
      </c>
      <c r="I142" s="271">
        <v>0.43</v>
      </c>
    </row>
    <row r="143" spans="1:9" ht="15" thickBot="1" x14ac:dyDescent="0.35">
      <c r="A143" s="687" t="s">
        <v>420</v>
      </c>
      <c r="B143" s="270" t="s">
        <v>432</v>
      </c>
      <c r="C143" s="270">
        <v>157</v>
      </c>
      <c r="D143" s="270">
        <v>124</v>
      </c>
      <c r="E143" s="270">
        <v>111</v>
      </c>
      <c r="F143" s="270">
        <v>49</v>
      </c>
      <c r="G143" s="270">
        <v>70</v>
      </c>
      <c r="H143" s="271">
        <v>0.9</v>
      </c>
      <c r="I143" s="271">
        <v>0.44</v>
      </c>
    </row>
    <row r="144" spans="1:9" ht="15" thickBot="1" x14ac:dyDescent="0.35">
      <c r="A144" s="688"/>
      <c r="B144" s="270" t="s">
        <v>439</v>
      </c>
      <c r="C144" s="270">
        <v>1625</v>
      </c>
      <c r="D144" s="270">
        <v>1091</v>
      </c>
      <c r="E144" s="270">
        <v>1043</v>
      </c>
      <c r="F144" s="270">
        <v>386</v>
      </c>
      <c r="G144" s="270">
        <v>790</v>
      </c>
      <c r="H144" s="271">
        <v>0.96</v>
      </c>
      <c r="I144" s="271">
        <v>0.37</v>
      </c>
    </row>
    <row r="145" spans="1:9" ht="15" thickBot="1" x14ac:dyDescent="0.35">
      <c r="A145" s="687" t="s">
        <v>354</v>
      </c>
      <c r="B145" s="270" t="s">
        <v>432</v>
      </c>
      <c r="C145" s="270">
        <v>158</v>
      </c>
      <c r="D145" s="270">
        <v>102</v>
      </c>
      <c r="E145" s="270">
        <v>99</v>
      </c>
      <c r="F145" s="270">
        <v>48</v>
      </c>
      <c r="G145" s="270">
        <v>103</v>
      </c>
      <c r="H145" s="271">
        <v>0.97</v>
      </c>
      <c r="I145" s="271">
        <v>0.48</v>
      </c>
    </row>
    <row r="146" spans="1:9" ht="15" thickBot="1" x14ac:dyDescent="0.35">
      <c r="A146" s="688"/>
      <c r="B146" s="270" t="s">
        <v>439</v>
      </c>
      <c r="C146" s="270">
        <v>1280</v>
      </c>
      <c r="D146" s="270">
        <v>822</v>
      </c>
      <c r="E146" s="270">
        <v>774</v>
      </c>
      <c r="F146" s="270">
        <v>386</v>
      </c>
      <c r="G146" s="270">
        <v>913</v>
      </c>
      <c r="H146" s="271">
        <v>0.94</v>
      </c>
      <c r="I146" s="271">
        <v>0.5</v>
      </c>
    </row>
    <row r="147" spans="1:9" ht="15" thickBot="1" x14ac:dyDescent="0.35">
      <c r="A147" s="687"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8"/>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7"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8"/>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7" t="s">
        <v>357</v>
      </c>
      <c r="B151" s="270" t="s">
        <v>432</v>
      </c>
      <c r="C151" s="270"/>
      <c r="D151" s="270"/>
      <c r="E151" s="270"/>
      <c r="F151" s="270"/>
      <c r="G151" s="270"/>
      <c r="H151" s="271"/>
      <c r="I151" s="271"/>
    </row>
    <row r="152" spans="1:9" ht="15" thickBot="1" x14ac:dyDescent="0.35">
      <c r="A152" s="688"/>
      <c r="B152" s="270" t="s">
        <v>439</v>
      </c>
      <c r="C152" s="270"/>
      <c r="D152" s="270"/>
      <c r="E152" s="270"/>
      <c r="F152" s="270"/>
      <c r="G152" s="270"/>
      <c r="H152" s="271"/>
      <c r="I152" s="271"/>
    </row>
    <row r="153" spans="1:9" ht="15" thickBot="1" x14ac:dyDescent="0.35">
      <c r="A153" s="687" t="s">
        <v>358</v>
      </c>
      <c r="B153" s="270" t="s">
        <v>432</v>
      </c>
      <c r="C153" s="270"/>
      <c r="D153" s="270"/>
      <c r="E153" s="270"/>
      <c r="F153" s="270"/>
      <c r="G153" s="270"/>
      <c r="H153" s="271"/>
      <c r="I153" s="271"/>
    </row>
    <row r="154" spans="1:9" ht="15" thickBot="1" x14ac:dyDescent="0.35">
      <c r="A154" s="688"/>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91" t="s">
        <v>431</v>
      </c>
      <c r="B5" s="691"/>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92"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93"/>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93"/>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93"/>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91"/>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4" t="s">
        <v>438</v>
      </c>
      <c r="B11" s="694"/>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92"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93"/>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93"/>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93"/>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91"/>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92" t="s">
        <v>440</v>
      </c>
      <c r="B17" s="692"/>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6" t="s">
        <v>1180</v>
      </c>
      <c r="B8" s="696"/>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5" t="s">
        <v>439</v>
      </c>
      <c r="B9" s="695"/>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5" t="s">
        <v>1994</v>
      </c>
      <c r="B10" s="695"/>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6" t="s">
        <v>1589</v>
      </c>
      <c r="B11" s="696"/>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6" t="s">
        <v>1180</v>
      </c>
      <c r="B16" s="696"/>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5" t="s">
        <v>1997</v>
      </c>
      <c r="B17" s="695"/>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5" t="s">
        <v>1994</v>
      </c>
      <c r="B18" s="695"/>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6" t="s">
        <v>1589</v>
      </c>
      <c r="B19" s="696"/>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8" t="s">
        <v>1980</v>
      </c>
      <c r="C5" s="698"/>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4" t="s">
        <v>1993</v>
      </c>
      <c r="C6" s="694"/>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4" t="s">
        <v>1993</v>
      </c>
      <c r="C7" s="694"/>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4" t="s">
        <v>1180</v>
      </c>
      <c r="B8" s="694"/>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9" t="s">
        <v>1998</v>
      </c>
      <c r="B9" s="699"/>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9" t="s">
        <v>1999</v>
      </c>
      <c r="B10" s="699"/>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4" t="s">
        <v>1589</v>
      </c>
      <c r="B11" s="694"/>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6" t="s">
        <v>1180</v>
      </c>
      <c r="B16" s="606"/>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7" t="s">
        <v>1998</v>
      </c>
      <c r="B17" s="697"/>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7" t="s">
        <v>1999</v>
      </c>
      <c r="B18" s="697"/>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6" t="s">
        <v>1589</v>
      </c>
      <c r="B19" s="606"/>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700" t="s">
        <v>1980</v>
      </c>
      <c r="B5" s="700"/>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63" t="s">
        <v>2002</v>
      </c>
      <c r="B14" s="663"/>
      <c r="C14" s="663"/>
      <c r="D14" s="663"/>
      <c r="E14" s="663"/>
      <c r="F14" s="663"/>
      <c r="G14" s="663"/>
      <c r="H14" s="663"/>
      <c r="I14" s="663"/>
      <c r="J14" s="663"/>
      <c r="K14" s="663"/>
      <c r="L14" s="663"/>
      <c r="M14" s="663"/>
      <c r="N14" s="663"/>
    </row>
    <row r="15" spans="1:14" ht="30" customHeight="1" x14ac:dyDescent="0.3">
      <c r="A15" s="701" t="s">
        <v>2003</v>
      </c>
      <c r="B15" s="701"/>
      <c r="C15" s="701"/>
      <c r="D15" s="701"/>
      <c r="E15" s="701"/>
      <c r="F15" s="701"/>
      <c r="G15" s="701"/>
      <c r="H15" s="701"/>
      <c r="I15" s="701"/>
      <c r="J15" s="701"/>
      <c r="K15" s="701"/>
      <c r="L15" s="701"/>
      <c r="M15" s="701"/>
      <c r="N15" s="701"/>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92"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93"/>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93"/>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93"/>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93"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93"/>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93"/>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93"/>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702" t="s">
        <v>446</v>
      </c>
      <c r="B13" s="702"/>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700" t="s">
        <v>2008</v>
      </c>
      <c r="B5" s="700"/>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703" t="s">
        <v>2008</v>
      </c>
      <c r="B9" s="703"/>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703" t="s">
        <v>2008</v>
      </c>
      <c r="B13" s="703"/>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7"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9"/>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9"/>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8"/>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7"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9"/>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9"/>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8"/>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4" t="s">
        <v>2054</v>
      </c>
      <c r="B13" s="694"/>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4" t="s">
        <v>413</v>
      </c>
      <c r="E4" s="704"/>
      <c r="F4" s="295" t="s">
        <v>414</v>
      </c>
      <c r="G4" s="295" t="s">
        <v>415</v>
      </c>
      <c r="H4" s="295" t="s">
        <v>416</v>
      </c>
      <c r="I4" s="295" t="s">
        <v>417</v>
      </c>
      <c r="J4" s="704" t="s">
        <v>418</v>
      </c>
      <c r="K4" s="704"/>
      <c r="L4" s="295" t="s">
        <v>419</v>
      </c>
      <c r="M4" s="295" t="s">
        <v>420</v>
      </c>
      <c r="N4" s="295" t="s">
        <v>354</v>
      </c>
      <c r="O4" s="295" t="s">
        <v>355</v>
      </c>
      <c r="P4" s="295" t="s">
        <v>356</v>
      </c>
      <c r="Q4" s="295" t="s">
        <v>357</v>
      </c>
      <c r="R4" s="295" t="s">
        <v>358</v>
      </c>
    </row>
    <row r="5" spans="1:18" ht="15.6" thickBot="1" x14ac:dyDescent="0.35">
      <c r="A5" s="705" t="s">
        <v>432</v>
      </c>
      <c r="B5" s="61" t="s">
        <v>2070</v>
      </c>
      <c r="C5" s="286">
        <v>0.34</v>
      </c>
      <c r="D5" s="707">
        <v>0.3</v>
      </c>
      <c r="E5" s="707"/>
      <c r="F5" s="286">
        <v>0.33</v>
      </c>
      <c r="G5" s="286">
        <v>0.32</v>
      </c>
      <c r="H5" s="286">
        <v>0.34</v>
      </c>
      <c r="I5" s="296">
        <v>0.42</v>
      </c>
      <c r="J5" s="708">
        <v>0.44</v>
      </c>
      <c r="K5" s="708"/>
      <c r="L5" s="296">
        <v>0.48</v>
      </c>
      <c r="M5" s="296">
        <v>0.42</v>
      </c>
      <c r="N5" s="297">
        <v>0.44</v>
      </c>
      <c r="O5" s="297">
        <v>0.44</v>
      </c>
      <c r="P5" s="297"/>
      <c r="Q5" s="297"/>
      <c r="R5" s="297"/>
    </row>
    <row r="6" spans="1:18" ht="15.6" thickBot="1" x14ac:dyDescent="0.35">
      <c r="A6" s="706"/>
      <c r="B6" s="61" t="s">
        <v>2071</v>
      </c>
      <c r="C6" s="286">
        <v>0.54</v>
      </c>
      <c r="D6" s="707">
        <v>0.57999999999999996</v>
      </c>
      <c r="E6" s="707"/>
      <c r="F6" s="286">
        <v>0.56000000000000005</v>
      </c>
      <c r="G6" s="286">
        <v>0.56999999999999995</v>
      </c>
      <c r="H6" s="286">
        <v>0.55000000000000004</v>
      </c>
      <c r="I6" s="296">
        <v>0.41</v>
      </c>
      <c r="J6" s="708">
        <v>0.39</v>
      </c>
      <c r="K6" s="708"/>
      <c r="L6" s="296">
        <v>0.37</v>
      </c>
      <c r="M6" s="296">
        <v>0.33</v>
      </c>
      <c r="N6" s="297">
        <v>0.38</v>
      </c>
      <c r="O6" s="297">
        <v>0.37</v>
      </c>
      <c r="P6" s="297"/>
      <c r="Q6" s="297"/>
      <c r="R6" s="297"/>
    </row>
    <row r="7" spans="1:18" ht="15.6" thickBot="1" x14ac:dyDescent="0.35">
      <c r="A7" s="706"/>
      <c r="B7" s="61" t="s">
        <v>2072</v>
      </c>
      <c r="C7" s="286">
        <v>7.0000000000000007E-2</v>
      </c>
      <c r="D7" s="707">
        <v>7.0000000000000007E-2</v>
      </c>
      <c r="E7" s="707"/>
      <c r="F7" s="286">
        <v>7.0000000000000007E-2</v>
      </c>
      <c r="G7" s="286">
        <v>7.0000000000000007E-2</v>
      </c>
      <c r="H7" s="286">
        <v>7.0000000000000007E-2</v>
      </c>
      <c r="I7" s="296">
        <v>0.13</v>
      </c>
      <c r="J7" s="708">
        <v>0.13</v>
      </c>
      <c r="K7" s="708"/>
      <c r="L7" s="296">
        <v>0.11</v>
      </c>
      <c r="M7" s="296">
        <v>0.15</v>
      </c>
      <c r="N7" s="297">
        <v>0.13</v>
      </c>
      <c r="O7" s="297">
        <v>0.14000000000000001</v>
      </c>
      <c r="P7" s="297"/>
      <c r="Q7" s="297"/>
      <c r="R7" s="297"/>
    </row>
    <row r="8" spans="1:18" ht="15.6" thickBot="1" x14ac:dyDescent="0.35">
      <c r="A8" s="706"/>
      <c r="B8" s="61" t="s">
        <v>2073</v>
      </c>
      <c r="C8" s="286">
        <v>0.04</v>
      </c>
      <c r="D8" s="707">
        <v>0.05</v>
      </c>
      <c r="E8" s="707"/>
      <c r="F8" s="286">
        <v>0.03</v>
      </c>
      <c r="G8" s="286">
        <v>0.03</v>
      </c>
      <c r="H8" s="286">
        <v>0.03</v>
      </c>
      <c r="I8" s="296">
        <v>0.03</v>
      </c>
      <c r="J8" s="708">
        <v>0.02</v>
      </c>
      <c r="K8" s="708"/>
      <c r="L8" s="296">
        <v>0.03</v>
      </c>
      <c r="M8" s="296">
        <v>0.05</v>
      </c>
      <c r="N8" s="297">
        <v>0.03</v>
      </c>
      <c r="O8" s="297">
        <v>0.03</v>
      </c>
      <c r="P8" s="297"/>
      <c r="Q8" s="297"/>
      <c r="R8" s="297"/>
    </row>
    <row r="9" spans="1:18" ht="15.6" thickBot="1" x14ac:dyDescent="0.35">
      <c r="A9" s="706"/>
      <c r="B9" s="61" t="s">
        <v>2074</v>
      </c>
      <c r="C9" s="286">
        <v>0.01</v>
      </c>
      <c r="D9" s="707">
        <v>0.01</v>
      </c>
      <c r="E9" s="707"/>
      <c r="F9" s="286">
        <v>0.01</v>
      </c>
      <c r="G9" s="286">
        <v>0.01</v>
      </c>
      <c r="H9" s="286">
        <v>0.01</v>
      </c>
      <c r="I9" s="286">
        <v>0.01</v>
      </c>
      <c r="J9" s="707">
        <v>0.01</v>
      </c>
      <c r="K9" s="707"/>
      <c r="L9" s="286">
        <v>0.02</v>
      </c>
      <c r="M9" s="286">
        <v>0.04</v>
      </c>
      <c r="N9" s="297">
        <v>0.02</v>
      </c>
      <c r="O9" s="297">
        <v>0.02</v>
      </c>
      <c r="P9" s="297"/>
      <c r="Q9" s="297"/>
      <c r="R9" s="297"/>
    </row>
    <row r="10" spans="1:18" ht="15.6" thickBot="1" x14ac:dyDescent="0.35">
      <c r="A10" s="706" t="s">
        <v>439</v>
      </c>
      <c r="B10" s="61" t="s">
        <v>2070</v>
      </c>
      <c r="C10" s="286">
        <v>0.47</v>
      </c>
      <c r="D10" s="707">
        <v>0.47</v>
      </c>
      <c r="E10" s="707"/>
      <c r="F10" s="286">
        <v>0.47</v>
      </c>
      <c r="G10" s="286">
        <v>0.51</v>
      </c>
      <c r="H10" s="286">
        <v>0.49</v>
      </c>
      <c r="I10" s="286">
        <v>0.56999999999999995</v>
      </c>
      <c r="J10" s="707">
        <v>0.56000000000000005</v>
      </c>
      <c r="K10" s="707"/>
      <c r="L10" s="286">
        <v>0.57999999999999996</v>
      </c>
      <c r="M10" s="286">
        <v>0.6</v>
      </c>
      <c r="N10" s="297">
        <v>0.57999999999999996</v>
      </c>
      <c r="O10" s="297">
        <v>0.6</v>
      </c>
      <c r="P10" s="297"/>
      <c r="Q10" s="297"/>
      <c r="R10" s="297"/>
    </row>
    <row r="11" spans="1:18" ht="15.6" thickBot="1" x14ac:dyDescent="0.35">
      <c r="A11" s="706"/>
      <c r="B11" s="61" t="s">
        <v>2071</v>
      </c>
      <c r="C11" s="286">
        <v>0.48</v>
      </c>
      <c r="D11" s="707">
        <v>0.48</v>
      </c>
      <c r="E11" s="707"/>
      <c r="F11" s="286">
        <v>0.48</v>
      </c>
      <c r="G11" s="286">
        <v>0.34</v>
      </c>
      <c r="H11" s="286">
        <v>0.37</v>
      </c>
      <c r="I11" s="286">
        <v>0.33</v>
      </c>
      <c r="J11" s="707">
        <v>0.34</v>
      </c>
      <c r="K11" s="707"/>
      <c r="L11" s="286">
        <v>0.33</v>
      </c>
      <c r="M11" s="286">
        <v>0.28999999999999998</v>
      </c>
      <c r="N11" s="297">
        <v>0.32</v>
      </c>
      <c r="O11" s="297">
        <v>0.31</v>
      </c>
      <c r="P11" s="297"/>
      <c r="Q11" s="297"/>
      <c r="R11" s="297"/>
    </row>
    <row r="12" spans="1:18" ht="15.6" thickBot="1" x14ac:dyDescent="0.35">
      <c r="A12" s="706"/>
      <c r="B12" s="61" t="s">
        <v>2072</v>
      </c>
      <c r="C12" s="286">
        <v>0.03</v>
      </c>
      <c r="D12" s="707">
        <v>0.03</v>
      </c>
      <c r="E12" s="707"/>
      <c r="F12" s="286">
        <v>0.03</v>
      </c>
      <c r="G12" s="286">
        <v>0.11</v>
      </c>
      <c r="H12" s="286">
        <v>0.11</v>
      </c>
      <c r="I12" s="286">
        <v>0.08</v>
      </c>
      <c r="J12" s="707">
        <v>0.08</v>
      </c>
      <c r="K12" s="707"/>
      <c r="L12" s="286">
        <v>0.08</v>
      </c>
      <c r="M12" s="286">
        <v>0.09</v>
      </c>
      <c r="N12" s="297">
        <v>0.08</v>
      </c>
      <c r="O12" s="297">
        <v>7.0000000000000007E-2</v>
      </c>
      <c r="P12" s="297"/>
      <c r="Q12" s="297"/>
      <c r="R12" s="297"/>
    </row>
    <row r="13" spans="1:18" ht="15.6" thickBot="1" x14ac:dyDescent="0.35">
      <c r="A13" s="706"/>
      <c r="B13" s="61" t="s">
        <v>2073</v>
      </c>
      <c r="C13" s="286">
        <v>0.02</v>
      </c>
      <c r="D13" s="707">
        <v>0.02</v>
      </c>
      <c r="E13" s="707"/>
      <c r="F13" s="286">
        <v>0.01</v>
      </c>
      <c r="G13" s="286">
        <v>0.03</v>
      </c>
      <c r="H13" s="286">
        <v>0.02</v>
      </c>
      <c r="I13" s="286">
        <v>0.01</v>
      </c>
      <c r="J13" s="707">
        <v>0.01</v>
      </c>
      <c r="K13" s="707"/>
      <c r="L13" s="286">
        <v>0.01</v>
      </c>
      <c r="M13" s="286">
        <v>0.01</v>
      </c>
      <c r="N13" s="297">
        <v>0.01</v>
      </c>
      <c r="O13" s="297">
        <v>0.01</v>
      </c>
      <c r="P13" s="297"/>
      <c r="Q13" s="297"/>
      <c r="R13" s="297"/>
    </row>
    <row r="14" spans="1:18" ht="15.6" thickBot="1" x14ac:dyDescent="0.35">
      <c r="A14" s="706"/>
      <c r="B14" s="61" t="s">
        <v>2074</v>
      </c>
      <c r="C14" s="286">
        <v>0</v>
      </c>
      <c r="D14" s="707">
        <v>0.01</v>
      </c>
      <c r="E14" s="707"/>
      <c r="F14" s="286">
        <v>0</v>
      </c>
      <c r="G14" s="286">
        <v>0.02</v>
      </c>
      <c r="H14" s="286">
        <v>0.01</v>
      </c>
      <c r="I14" s="286">
        <v>0.01</v>
      </c>
      <c r="J14" s="707">
        <v>0.01</v>
      </c>
      <c r="K14" s="707"/>
      <c r="L14" s="286">
        <v>0.01</v>
      </c>
      <c r="M14" s="286">
        <v>0</v>
      </c>
      <c r="N14" s="297">
        <v>0.01</v>
      </c>
      <c r="O14" s="297">
        <v>0.01</v>
      </c>
      <c r="P14" s="297"/>
      <c r="Q14" s="297"/>
      <c r="R14" s="297"/>
    </row>
    <row r="15" spans="1:18" ht="15" thickBot="1" x14ac:dyDescent="0.35">
      <c r="A15" s="709" t="s">
        <v>2054</v>
      </c>
      <c r="B15" s="709"/>
      <c r="C15" s="710">
        <v>3515</v>
      </c>
      <c r="D15" s="710"/>
      <c r="E15" s="298">
        <v>4491</v>
      </c>
      <c r="F15" s="298">
        <v>5222</v>
      </c>
      <c r="G15" s="298">
        <v>12516</v>
      </c>
      <c r="H15" s="298">
        <v>12326</v>
      </c>
      <c r="I15" s="710">
        <v>12032</v>
      </c>
      <c r="J15" s="710"/>
      <c r="K15" s="298">
        <v>6244</v>
      </c>
      <c r="L15" s="298">
        <v>4347</v>
      </c>
      <c r="M15" s="298">
        <v>444</v>
      </c>
      <c r="N15" s="298">
        <v>4393</v>
      </c>
      <c r="O15" s="510">
        <v>6564</v>
      </c>
      <c r="P15" s="510"/>
      <c r="Q15" s="510"/>
      <c r="R15" s="510"/>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12" t="s">
        <v>439</v>
      </c>
      <c r="B6" s="63" t="s">
        <v>2077</v>
      </c>
      <c r="C6" s="63">
        <v>3</v>
      </c>
      <c r="D6" s="63">
        <v>194</v>
      </c>
      <c r="E6" s="63">
        <v>66</v>
      </c>
      <c r="F6" s="63">
        <v>7</v>
      </c>
      <c r="G6" s="63">
        <v>135</v>
      </c>
      <c r="H6" s="48">
        <v>140</v>
      </c>
      <c r="I6" s="579">
        <v>35</v>
      </c>
      <c r="J6" s="48"/>
      <c r="K6" s="48">
        <f>+SUM(C6:I6)</f>
        <v>580</v>
      </c>
    </row>
    <row r="7" spans="1:11" ht="15.6" thickBot="1" x14ac:dyDescent="0.35">
      <c r="A7" s="713"/>
      <c r="B7" s="63" t="s">
        <v>2078</v>
      </c>
      <c r="C7" s="63">
        <v>1</v>
      </c>
      <c r="D7" s="63">
        <v>3</v>
      </c>
      <c r="E7" s="63">
        <v>1</v>
      </c>
      <c r="F7" s="63">
        <v>0</v>
      </c>
      <c r="G7" s="63">
        <v>3</v>
      </c>
      <c r="H7" s="48">
        <v>6</v>
      </c>
      <c r="I7" s="579">
        <v>47</v>
      </c>
      <c r="J7" s="48"/>
      <c r="K7" s="48">
        <f t="shared" ref="K7:K9" si="0">+SUM(C7:I7)</f>
        <v>61</v>
      </c>
    </row>
    <row r="8" spans="1:11" ht="15.6" thickBot="1" x14ac:dyDescent="0.35">
      <c r="A8" s="712" t="s">
        <v>432</v>
      </c>
      <c r="B8" s="63" t="s">
        <v>2077</v>
      </c>
      <c r="C8" s="63">
        <v>9</v>
      </c>
      <c r="D8" s="63">
        <v>17</v>
      </c>
      <c r="E8" s="63">
        <v>38</v>
      </c>
      <c r="F8" s="63">
        <v>17</v>
      </c>
      <c r="G8" s="63">
        <v>49</v>
      </c>
      <c r="H8" s="63">
        <v>34</v>
      </c>
      <c r="I8" s="569">
        <v>9</v>
      </c>
      <c r="J8" s="63"/>
      <c r="K8" s="48">
        <f t="shared" si="0"/>
        <v>173</v>
      </c>
    </row>
    <row r="9" spans="1:11" ht="15.6" thickBot="1" x14ac:dyDescent="0.35">
      <c r="A9" s="713"/>
      <c r="B9" s="63" t="s">
        <v>2078</v>
      </c>
      <c r="C9" s="63">
        <v>6</v>
      </c>
      <c r="D9" s="63">
        <v>4</v>
      </c>
      <c r="E9" s="63">
        <v>7</v>
      </c>
      <c r="F9" s="63">
        <v>7</v>
      </c>
      <c r="G9" s="63">
        <v>0</v>
      </c>
      <c r="H9" s="63">
        <v>20</v>
      </c>
      <c r="I9" s="569">
        <v>14</v>
      </c>
      <c r="J9" s="63"/>
      <c r="K9" s="48">
        <f t="shared" si="0"/>
        <v>58</v>
      </c>
    </row>
    <row r="10" spans="1:11" ht="15.6" thickBot="1" x14ac:dyDescent="0.35">
      <c r="A10" s="711" t="s">
        <v>446</v>
      </c>
      <c r="B10" s="711"/>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4" t="s">
        <v>2081</v>
      </c>
      <c r="B4" s="715"/>
      <c r="C4" s="715"/>
      <c r="D4" s="715"/>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2.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74926-57AB-41CC-8952-32FE8C225B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2026-09-21T07:47:07Z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