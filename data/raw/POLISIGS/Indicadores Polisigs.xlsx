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f15395a9ed9a48f/Proyectos_DS/SGING/data/raw/POLISIGS/"/>
    </mc:Choice>
  </mc:AlternateContent>
  <xr:revisionPtr revIDLastSave="0" documentId="8_{CBDDA9AF-5BBB-43B8-AA1B-83F282993DD3}" xr6:coauthVersionLast="47" xr6:coauthVersionMax="47" xr10:uidLastSave="{00000000-0000-0000-0000-000000000000}"/>
  <bookViews>
    <workbookView xWindow="-108" yWindow="-108" windowWidth="23256" windowHeight="12456" xr2:uid="{DD633585-D102-482C-AFCB-0CE364CF36F2}"/>
  </bookViews>
  <sheets>
    <sheet name="Indicadores POLISIGS" sheetId="1" r:id="rId1"/>
  </sheets>
  <externalReferences>
    <externalReference r:id="rId2"/>
  </externalReferences>
  <definedNames>
    <definedName name="_xlnm._FilterDatabase" localSheetId="0" hidden="1">'Indicadores POLISIGS'!$A$1:$T$125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25" i="1" l="1"/>
  <c r="Q125" i="1"/>
  <c r="O125" i="1"/>
  <c r="P125" i="1" s="1"/>
  <c r="R124" i="1"/>
  <c r="Q124" i="1"/>
  <c r="O124" i="1"/>
  <c r="P124" i="1" s="1"/>
  <c r="R123" i="1"/>
  <c r="Q123" i="1"/>
  <c r="O123" i="1"/>
  <c r="P123" i="1" s="1"/>
  <c r="R122" i="1"/>
  <c r="Q122" i="1"/>
  <c r="O122" i="1"/>
  <c r="P122" i="1" s="1"/>
  <c r="R121" i="1"/>
  <c r="Q121" i="1"/>
  <c r="O121" i="1"/>
  <c r="P121" i="1" s="1"/>
  <c r="R120" i="1"/>
  <c r="Q120" i="1"/>
  <c r="O120" i="1"/>
  <c r="P120" i="1" s="1"/>
  <c r="R119" i="1"/>
  <c r="Q119" i="1"/>
  <c r="O119" i="1"/>
  <c r="P119" i="1" s="1"/>
  <c r="R118" i="1"/>
  <c r="Q118" i="1"/>
  <c r="O118" i="1"/>
  <c r="P118" i="1" s="1"/>
  <c r="R117" i="1"/>
  <c r="Q117" i="1"/>
  <c r="O117" i="1"/>
  <c r="P117" i="1" s="1"/>
  <c r="R116" i="1"/>
  <c r="Q116" i="1"/>
  <c r="O116" i="1"/>
  <c r="P116" i="1" s="1"/>
  <c r="R115" i="1"/>
  <c r="Q115" i="1"/>
  <c r="O115" i="1"/>
  <c r="P115" i="1" s="1"/>
  <c r="R114" i="1"/>
  <c r="Q114" i="1"/>
  <c r="O114" i="1"/>
  <c r="P114" i="1" s="1"/>
  <c r="R113" i="1"/>
  <c r="Q113" i="1"/>
  <c r="O113" i="1"/>
  <c r="P113" i="1" s="1"/>
  <c r="R112" i="1"/>
  <c r="Q112" i="1"/>
  <c r="O112" i="1"/>
  <c r="P112" i="1" s="1"/>
  <c r="R111" i="1"/>
  <c r="Q111" i="1"/>
  <c r="O111" i="1"/>
  <c r="P111" i="1" s="1"/>
  <c r="R110" i="1"/>
  <c r="Q110" i="1"/>
  <c r="O110" i="1"/>
  <c r="P110" i="1" s="1"/>
  <c r="R109" i="1"/>
  <c r="Q109" i="1"/>
  <c r="O109" i="1"/>
  <c r="P109" i="1" s="1"/>
  <c r="R108" i="1"/>
  <c r="Q108" i="1"/>
  <c r="O108" i="1"/>
  <c r="P108" i="1" s="1"/>
  <c r="R107" i="1"/>
  <c r="Q107" i="1"/>
  <c r="O107" i="1"/>
  <c r="P107" i="1" s="1"/>
  <c r="R106" i="1"/>
  <c r="Q106" i="1"/>
  <c r="O106" i="1"/>
  <c r="P106" i="1" s="1"/>
  <c r="R105" i="1"/>
  <c r="Q105" i="1"/>
  <c r="O105" i="1"/>
  <c r="P105" i="1" s="1"/>
  <c r="R104" i="1"/>
  <c r="Q104" i="1"/>
  <c r="O104" i="1"/>
  <c r="P104" i="1" s="1"/>
  <c r="R103" i="1"/>
  <c r="Q103" i="1"/>
  <c r="O103" i="1"/>
  <c r="P103" i="1" s="1"/>
  <c r="R102" i="1"/>
  <c r="Q102" i="1"/>
  <c r="O102" i="1"/>
  <c r="P102" i="1" s="1"/>
  <c r="R101" i="1"/>
  <c r="Q101" i="1"/>
  <c r="O101" i="1"/>
  <c r="P101" i="1" s="1"/>
  <c r="R100" i="1"/>
  <c r="Q100" i="1"/>
  <c r="O100" i="1"/>
  <c r="P100" i="1" s="1"/>
  <c r="R99" i="1"/>
  <c r="Q99" i="1"/>
  <c r="O99" i="1"/>
  <c r="P99" i="1" s="1"/>
  <c r="R98" i="1"/>
  <c r="Q98" i="1"/>
  <c r="O98" i="1"/>
  <c r="P98" i="1" s="1"/>
  <c r="R97" i="1"/>
  <c r="Q97" i="1"/>
  <c r="O97" i="1"/>
  <c r="P97" i="1" s="1"/>
  <c r="R96" i="1"/>
  <c r="Q96" i="1"/>
  <c r="O96" i="1"/>
  <c r="P96" i="1" s="1"/>
  <c r="R95" i="1"/>
  <c r="Q95" i="1"/>
  <c r="O95" i="1"/>
  <c r="P95" i="1" s="1"/>
  <c r="R94" i="1"/>
  <c r="Q94" i="1"/>
  <c r="O94" i="1"/>
  <c r="P94" i="1" s="1"/>
  <c r="R93" i="1"/>
  <c r="Q93" i="1"/>
  <c r="O93" i="1"/>
  <c r="P93" i="1" s="1"/>
  <c r="R92" i="1"/>
  <c r="Q92" i="1"/>
  <c r="O92" i="1"/>
  <c r="P92" i="1" s="1"/>
  <c r="R91" i="1"/>
  <c r="Q91" i="1"/>
  <c r="O91" i="1"/>
  <c r="P91" i="1" s="1"/>
  <c r="R90" i="1"/>
  <c r="Q90" i="1"/>
  <c r="O90" i="1"/>
  <c r="P90" i="1" s="1"/>
  <c r="R89" i="1"/>
  <c r="Q89" i="1"/>
  <c r="O89" i="1"/>
  <c r="P89" i="1" s="1"/>
  <c r="R88" i="1"/>
  <c r="Q88" i="1"/>
  <c r="O88" i="1"/>
  <c r="P88" i="1" s="1"/>
  <c r="R87" i="1"/>
  <c r="Q87" i="1"/>
  <c r="O87" i="1"/>
  <c r="P87" i="1" s="1"/>
  <c r="R86" i="1"/>
  <c r="Q86" i="1"/>
  <c r="O86" i="1"/>
  <c r="P86" i="1" s="1"/>
  <c r="R85" i="1"/>
  <c r="Q85" i="1"/>
  <c r="O85" i="1"/>
  <c r="P85" i="1" s="1"/>
  <c r="R84" i="1"/>
  <c r="Q84" i="1"/>
  <c r="O84" i="1"/>
  <c r="P84" i="1" s="1"/>
  <c r="R83" i="1"/>
  <c r="Q83" i="1"/>
  <c r="O83" i="1"/>
  <c r="P83" i="1" s="1"/>
  <c r="R82" i="1"/>
  <c r="Q82" i="1"/>
  <c r="O82" i="1"/>
  <c r="P82" i="1" s="1"/>
  <c r="R81" i="1"/>
  <c r="Q81" i="1"/>
  <c r="O81" i="1"/>
  <c r="P81" i="1" s="1"/>
  <c r="R80" i="1"/>
  <c r="Q80" i="1"/>
  <c r="O80" i="1"/>
  <c r="P80" i="1" s="1"/>
  <c r="R79" i="1"/>
  <c r="Q79" i="1"/>
  <c r="O79" i="1"/>
  <c r="P79" i="1" s="1"/>
  <c r="R78" i="1"/>
  <c r="Q78" i="1"/>
  <c r="O78" i="1"/>
  <c r="P78" i="1" s="1"/>
  <c r="R77" i="1"/>
  <c r="Q77" i="1"/>
  <c r="O77" i="1"/>
  <c r="P77" i="1" s="1"/>
  <c r="R76" i="1"/>
  <c r="Q76" i="1"/>
  <c r="O76" i="1"/>
  <c r="P76" i="1" s="1"/>
  <c r="R75" i="1"/>
  <c r="Q75" i="1"/>
  <c r="O75" i="1"/>
  <c r="P75" i="1" s="1"/>
  <c r="R74" i="1"/>
  <c r="Q74" i="1"/>
  <c r="O74" i="1"/>
  <c r="P74" i="1" s="1"/>
  <c r="R73" i="1"/>
  <c r="Q73" i="1"/>
  <c r="O73" i="1"/>
  <c r="P73" i="1" s="1"/>
  <c r="R72" i="1"/>
  <c r="Q72" i="1"/>
  <c r="O72" i="1"/>
  <c r="P72" i="1" s="1"/>
  <c r="R71" i="1"/>
  <c r="Q71" i="1"/>
  <c r="O71" i="1"/>
  <c r="P71" i="1" s="1"/>
  <c r="R70" i="1"/>
  <c r="Q70" i="1"/>
  <c r="O70" i="1"/>
  <c r="P70" i="1" s="1"/>
  <c r="R69" i="1"/>
  <c r="Q69" i="1"/>
  <c r="O69" i="1"/>
  <c r="P69" i="1" s="1"/>
  <c r="R68" i="1"/>
  <c r="Q68" i="1"/>
  <c r="O68" i="1"/>
  <c r="P68" i="1" s="1"/>
  <c r="R67" i="1"/>
  <c r="Q67" i="1"/>
  <c r="O67" i="1"/>
  <c r="P67" i="1" s="1"/>
  <c r="R66" i="1"/>
  <c r="Q66" i="1"/>
  <c r="O66" i="1"/>
  <c r="P66" i="1" s="1"/>
  <c r="R65" i="1"/>
  <c r="Q65" i="1"/>
  <c r="O65" i="1"/>
  <c r="P65" i="1" s="1"/>
  <c r="R64" i="1"/>
  <c r="Q64" i="1"/>
  <c r="O64" i="1"/>
  <c r="P64" i="1" s="1"/>
  <c r="R63" i="1"/>
  <c r="Q63" i="1"/>
  <c r="O63" i="1"/>
  <c r="P63" i="1" s="1"/>
  <c r="R62" i="1"/>
  <c r="Q62" i="1"/>
  <c r="O62" i="1"/>
  <c r="P62" i="1" s="1"/>
  <c r="R61" i="1"/>
  <c r="Q61" i="1"/>
  <c r="O61" i="1"/>
  <c r="P61" i="1" s="1"/>
  <c r="R60" i="1"/>
  <c r="Q60" i="1"/>
  <c r="O60" i="1"/>
  <c r="P60" i="1" s="1"/>
  <c r="R59" i="1"/>
  <c r="Q59" i="1"/>
  <c r="O59" i="1"/>
  <c r="P59" i="1" s="1"/>
  <c r="R58" i="1"/>
  <c r="Q58" i="1"/>
  <c r="O58" i="1"/>
  <c r="P58" i="1" s="1"/>
  <c r="R57" i="1"/>
  <c r="Q57" i="1"/>
  <c r="O57" i="1"/>
  <c r="P57" i="1" s="1"/>
  <c r="R56" i="1"/>
  <c r="Q56" i="1"/>
  <c r="O56" i="1"/>
  <c r="P56" i="1" s="1"/>
  <c r="R55" i="1"/>
  <c r="Q55" i="1"/>
  <c r="O55" i="1"/>
  <c r="P55" i="1" s="1"/>
  <c r="R54" i="1"/>
  <c r="Q54" i="1"/>
  <c r="O54" i="1"/>
  <c r="P54" i="1" s="1"/>
  <c r="R53" i="1"/>
  <c r="Q53" i="1"/>
  <c r="O53" i="1"/>
  <c r="P53" i="1" s="1"/>
  <c r="R52" i="1"/>
  <c r="Q52" i="1"/>
  <c r="O52" i="1"/>
  <c r="P52" i="1" s="1"/>
  <c r="R51" i="1"/>
  <c r="Q51" i="1"/>
  <c r="O51" i="1"/>
  <c r="P51" i="1" s="1"/>
  <c r="R50" i="1"/>
  <c r="Q50" i="1"/>
  <c r="O50" i="1"/>
  <c r="P50" i="1" s="1"/>
  <c r="R49" i="1"/>
  <c r="Q49" i="1"/>
  <c r="O49" i="1"/>
  <c r="P49" i="1" s="1"/>
  <c r="R48" i="1"/>
  <c r="Q48" i="1"/>
  <c r="O48" i="1"/>
  <c r="P48" i="1" s="1"/>
  <c r="R47" i="1"/>
  <c r="Q47" i="1"/>
  <c r="O47" i="1"/>
  <c r="P47" i="1" s="1"/>
  <c r="R46" i="1"/>
  <c r="Q46" i="1"/>
  <c r="O46" i="1"/>
  <c r="P46" i="1" s="1"/>
  <c r="R45" i="1"/>
  <c r="Q45" i="1"/>
  <c r="O45" i="1"/>
  <c r="P45" i="1" s="1"/>
  <c r="R44" i="1"/>
  <c r="Q44" i="1"/>
  <c r="O44" i="1"/>
  <c r="P44" i="1" s="1"/>
  <c r="R43" i="1"/>
  <c r="Q43" i="1"/>
  <c r="O43" i="1"/>
  <c r="P43" i="1" s="1"/>
  <c r="R42" i="1"/>
  <c r="Q42" i="1"/>
  <c r="O42" i="1"/>
  <c r="P42" i="1" s="1"/>
  <c r="R41" i="1"/>
  <c r="Q41" i="1"/>
  <c r="O41" i="1"/>
  <c r="P41" i="1" s="1"/>
  <c r="R40" i="1"/>
  <c r="Q40" i="1"/>
  <c r="O40" i="1"/>
  <c r="P40" i="1" s="1"/>
  <c r="R39" i="1"/>
  <c r="Q39" i="1"/>
  <c r="O39" i="1"/>
  <c r="P39" i="1" s="1"/>
  <c r="R38" i="1"/>
  <c r="Q38" i="1"/>
  <c r="O38" i="1"/>
  <c r="P38" i="1" s="1"/>
  <c r="R37" i="1"/>
  <c r="Q37" i="1"/>
  <c r="O37" i="1"/>
  <c r="P37" i="1" s="1"/>
  <c r="R36" i="1"/>
  <c r="Q36" i="1"/>
  <c r="O36" i="1"/>
  <c r="P36" i="1" s="1"/>
  <c r="R35" i="1"/>
  <c r="Q35" i="1"/>
  <c r="O35" i="1"/>
  <c r="P35" i="1" s="1"/>
  <c r="R34" i="1"/>
  <c r="Q34" i="1"/>
  <c r="O34" i="1"/>
  <c r="P34" i="1" s="1"/>
  <c r="R33" i="1"/>
  <c r="Q33" i="1"/>
  <c r="O33" i="1"/>
  <c r="P33" i="1" s="1"/>
  <c r="R32" i="1"/>
  <c r="Q32" i="1"/>
  <c r="O32" i="1"/>
  <c r="P32" i="1" s="1"/>
  <c r="R31" i="1"/>
  <c r="Q31" i="1"/>
  <c r="O31" i="1"/>
  <c r="P31" i="1" s="1"/>
  <c r="R30" i="1"/>
  <c r="Q30" i="1"/>
  <c r="O30" i="1"/>
  <c r="P30" i="1" s="1"/>
  <c r="R29" i="1"/>
  <c r="Q29" i="1"/>
  <c r="O29" i="1"/>
  <c r="P29" i="1" s="1"/>
  <c r="R28" i="1"/>
  <c r="Q28" i="1"/>
  <c r="O28" i="1"/>
  <c r="P28" i="1" s="1"/>
  <c r="R27" i="1"/>
  <c r="Q27" i="1"/>
  <c r="O27" i="1"/>
  <c r="P27" i="1" s="1"/>
  <c r="R26" i="1"/>
  <c r="Q26" i="1"/>
  <c r="O26" i="1"/>
  <c r="P26" i="1" s="1"/>
  <c r="R25" i="1"/>
  <c r="Q25" i="1"/>
  <c r="O25" i="1"/>
  <c r="P25" i="1" s="1"/>
  <c r="R24" i="1"/>
  <c r="Q24" i="1"/>
  <c r="O24" i="1"/>
  <c r="P24" i="1" s="1"/>
  <c r="R23" i="1"/>
  <c r="Q23" i="1"/>
  <c r="O23" i="1"/>
  <c r="P23" i="1" s="1"/>
  <c r="R22" i="1"/>
  <c r="Q22" i="1"/>
  <c r="O22" i="1"/>
  <c r="P22" i="1" s="1"/>
  <c r="R21" i="1"/>
  <c r="Q21" i="1"/>
  <c r="O21" i="1"/>
  <c r="P21" i="1" s="1"/>
  <c r="R20" i="1"/>
  <c r="Q20" i="1"/>
  <c r="O20" i="1"/>
  <c r="P20" i="1" s="1"/>
  <c r="R19" i="1"/>
  <c r="Q19" i="1"/>
  <c r="O19" i="1"/>
  <c r="P19" i="1" s="1"/>
  <c r="R18" i="1"/>
  <c r="Q18" i="1"/>
  <c r="O18" i="1"/>
  <c r="P18" i="1" s="1"/>
  <c r="R17" i="1"/>
  <c r="Q17" i="1"/>
  <c r="P17" i="1"/>
  <c r="O17" i="1"/>
  <c r="R16" i="1"/>
  <c r="Q16" i="1"/>
  <c r="O16" i="1"/>
  <c r="P16" i="1" s="1"/>
  <c r="R15" i="1"/>
  <c r="Q15" i="1"/>
  <c r="O15" i="1"/>
  <c r="P15" i="1" s="1"/>
  <c r="R14" i="1"/>
  <c r="Q14" i="1"/>
  <c r="O14" i="1"/>
  <c r="P14" i="1" s="1"/>
  <c r="R13" i="1"/>
  <c r="Q13" i="1"/>
  <c r="O13" i="1"/>
  <c r="P13" i="1" s="1"/>
  <c r="R12" i="1"/>
  <c r="Q12" i="1"/>
  <c r="O12" i="1"/>
  <c r="P12" i="1" s="1"/>
  <c r="R11" i="1"/>
  <c r="Q11" i="1"/>
  <c r="O11" i="1"/>
  <c r="P11" i="1" s="1"/>
  <c r="R10" i="1"/>
  <c r="Q10" i="1"/>
  <c r="O10" i="1"/>
  <c r="P10" i="1" s="1"/>
  <c r="R9" i="1"/>
  <c r="Q9" i="1"/>
  <c r="O9" i="1"/>
  <c r="P9" i="1" s="1"/>
  <c r="R8" i="1"/>
  <c r="Q8" i="1"/>
  <c r="O8" i="1"/>
  <c r="P8" i="1" s="1"/>
  <c r="R7" i="1"/>
  <c r="Q7" i="1"/>
  <c r="O7" i="1"/>
  <c r="P7" i="1" s="1"/>
  <c r="R6" i="1"/>
  <c r="Q6" i="1"/>
  <c r="O6" i="1"/>
  <c r="P6" i="1" s="1"/>
  <c r="R5" i="1"/>
  <c r="Q5" i="1"/>
  <c r="O5" i="1"/>
  <c r="P5" i="1" s="1"/>
  <c r="R4" i="1"/>
  <c r="Q4" i="1"/>
  <c r="O4" i="1"/>
  <c r="P4" i="1" s="1"/>
  <c r="R3" i="1"/>
  <c r="Q3" i="1"/>
  <c r="O3" i="1"/>
  <c r="P3" i="1" s="1"/>
  <c r="R2" i="1"/>
  <c r="Q2" i="1"/>
  <c r="O2" i="1"/>
  <c r="P2" i="1" s="1"/>
</calcChain>
</file>

<file path=xl/sharedStrings.xml><?xml version="1.0" encoding="utf-8"?>
<sst xmlns="http://schemas.openxmlformats.org/spreadsheetml/2006/main" count="1198" uniqueCount="388">
  <si>
    <t>Objetivo de la política</t>
  </si>
  <si>
    <t>Componente del objetivo</t>
  </si>
  <si>
    <t>ID</t>
  </si>
  <si>
    <t>Indicador</t>
  </si>
  <si>
    <t>Proceso</t>
  </si>
  <si>
    <t>Responsable</t>
  </si>
  <si>
    <t>Tipo de medición</t>
  </si>
  <si>
    <t>Frecuencia</t>
  </si>
  <si>
    <t>Sentido</t>
  </si>
  <si>
    <t>Meta</t>
  </si>
  <si>
    <t>Último valor</t>
  </si>
  <si>
    <t>Afinidad</t>
  </si>
  <si>
    <t>Importancia</t>
  </si>
  <si>
    <t>Impacto</t>
  </si>
  <si>
    <t>Puntaje</t>
  </si>
  <si>
    <t>Clasificación</t>
  </si>
  <si>
    <t>Estado vs meta</t>
  </si>
  <si>
    <t>Cumplimiento</t>
  </si>
  <si>
    <t>Objetivo secundario</t>
  </si>
  <si>
    <t>Justificación</t>
  </si>
  <si>
    <t>1. Alta calidad académica</t>
  </si>
  <si>
    <t>Aseguramiento de la alta calidad (acreditación, SIAC, cuerpo docente)</t>
  </si>
  <si>
    <t>Programas acreditables acreditados Sede Bogotá</t>
  </si>
  <si>
    <t>Autoevaluación institucional</t>
  </si>
  <si>
    <t>Director Aseguramiento De La Calidad</t>
  </si>
  <si>
    <t>Resultado</t>
  </si>
  <si>
    <t>Anual</t>
  </si>
  <si>
    <t>Positivo</t>
  </si>
  <si>
    <t>Porcentaje de programas acreditables acreditados: medida más directa del 'aseguramiento de la alta calidad académica'. Insumo de acreditación institucional.</t>
  </si>
  <si>
    <t>Resultados de evaluación de desempeño docente 360°</t>
  </si>
  <si>
    <t>Gestión Docente</t>
  </si>
  <si>
    <t>Secretario Academico Y De Docencia</t>
  </si>
  <si>
    <t>Semestral</t>
  </si>
  <si>
    <t>Resultado de la evaluación docente 360°: aproxima la calidad de la enseñanza.</t>
  </si>
  <si>
    <t>Número de programas con obtención de acreditación por primera vez- Metrica</t>
  </si>
  <si>
    <t>Autoevaluación de programas académicos</t>
  </si>
  <si>
    <t>Programas acreditados por primera vez: evidencia avance en alta calidad; complementa al 339.</t>
  </si>
  <si>
    <t>Número de programas con renovación de acreditación en alta calidad - Metrica</t>
  </si>
  <si>
    <t>Sin dato</t>
  </si>
  <si>
    <t>Renovación de acreditación: sostenibilidad de la alta calidad alcanzada; complementa al 339.</t>
  </si>
  <si>
    <t>Relación estudiante docente TCE (Tiempo Completo Equivalente)</t>
  </si>
  <si>
    <t>Negativo</t>
  </si>
  <si>
    <t>Relación estudiante–docente TCE: suficiencia docente, condición de calidad.</t>
  </si>
  <si>
    <t>Total docentes por nivel de estudios - Metrica</t>
  </si>
  <si>
    <t>Docentes por nivel de formación: cualificación del cuerpo docente, condición de calidad (Decreto 1330).</t>
  </si>
  <si>
    <t>% de profesores (Contrato Indefinido- Fijo) impactados plan de desarrollo docente</t>
  </si>
  <si>
    <t>GESTIÓN Y DESARROLLO DEL TALENTO HUMANO</t>
  </si>
  <si>
    <t>Director De Formacion Y Desarrollo</t>
  </si>
  <si>
    <t>5. Disposición de recursos</t>
  </si>
  <si>
    <t>Profesores impactados por el plan de desarrollo docente: fortalece capacidades pedagógicas.</t>
  </si>
  <si>
    <t>Índice de Apropiación del Sistema Interno de Aseguramiento de la Calidad (SIAC)</t>
  </si>
  <si>
    <t>2. Procesos centrados en la experiencia</t>
  </si>
  <si>
    <t>Apropiación del SIAC por la comunidad: condición del aseguramiento de calidad y de la cultura de mejora.</t>
  </si>
  <si>
    <t>Portafolio pertinente e innovador</t>
  </si>
  <si>
    <t>Número de programas nuevos con registro calificado aprobado - Metrica</t>
  </si>
  <si>
    <t>Creación, modificación y cierre de programas académicos</t>
  </si>
  <si>
    <t>Programas nuevos con registro aprobado: oferta validada como pertinente por el MEN.</t>
  </si>
  <si>
    <t>Número de estudiantes que ha realizado la simulación (Metrica)</t>
  </si>
  <si>
    <t>LEI</t>
  </si>
  <si>
    <t>Coordinador De Innovacion Y Soluciones</t>
  </si>
  <si>
    <t>Estudiantes que usan ambientes inmersivos: uso efectivo de recursos innovadores en el portafolio.</t>
  </si>
  <si>
    <t>Inclusión, accesibilidad y equidad</t>
  </si>
  <si>
    <t>Índice de Inclusión</t>
  </si>
  <si>
    <t>Gestión de la Responsabilidad Social</t>
  </si>
  <si>
    <t>Director De Experiencia E Inclusion</t>
  </si>
  <si>
    <t>Índice de inclusión (percepción de prácticas inclusivas alineadas a factores de acreditación): mide directamente el carácter 'inclusivo y accesible'.</t>
  </si>
  <si>
    <t>Tasa de Permanencia de Beneficiarios del Programa de Becas</t>
  </si>
  <si>
    <t>Director Bienestar Univer Y Huella Granc</t>
  </si>
  <si>
    <t>Permanencia de beneficiarios de becas: integra equidad y permanencia; mide si el apoyo cumple su propósito.</t>
  </si>
  <si>
    <t>Tasa de crecimiento de estudiantes beneficiarios de becas</t>
  </si>
  <si>
    <t>Crecimiento de estudiantes con becas: acceso y equidad.</t>
  </si>
  <si>
    <t>Satisfacción con la estrategia de acompañamiento del proceso de inclusión</t>
  </si>
  <si>
    <t>Percepción</t>
  </si>
  <si>
    <t>Satisfacción con el acompañamiento de inclusión: calidad percibida del apoyo.</t>
  </si>
  <si>
    <t>Permanencia</t>
  </si>
  <si>
    <t>Tasa de deserción estudiantil</t>
  </si>
  <si>
    <t>Director De Permanencia</t>
  </si>
  <si>
    <t>Tasa de deserción: resultado clave de permanencia, explícita en la política y en el PDI.</t>
  </si>
  <si>
    <t>Tasa de Permanencia Intersemestral de Estudiantes Ingresantes</t>
  </si>
  <si>
    <t>Permanencia de ingresantes: periodo de mayor riesgo de abandono; alto impacto.</t>
  </si>
  <si>
    <t>Tasa de Permanencia Intersemestral</t>
  </si>
  <si>
    <t>Permanencia intersemestral general. Redundante con el 585 (son complementarios); usar uno de los dos en el tablero.</t>
  </si>
  <si>
    <t>Tasa de Permanencia por modalidad y nivel</t>
  </si>
  <si>
    <t>Permanencia por modalidad y nivel: desagregación útil para focalizar acciones.</t>
  </si>
  <si>
    <t>Permanencia por escuela</t>
  </si>
  <si>
    <t>Gestión de Unidades Académicas</t>
  </si>
  <si>
    <t>Vicerrector Academico</t>
  </si>
  <si>
    <t>Permanencia por escuela: seguimiento a nivel de unidad académica.</t>
  </si>
  <si>
    <t>Cumplimiento Meta de estudiantes de Reintegros</t>
  </si>
  <si>
    <t>Rematrícula</t>
  </si>
  <si>
    <t>Director De Rematriculas</t>
  </si>
  <si>
    <t>Reintegros: segunda oportunidad para culminar estudios.</t>
  </si>
  <si>
    <t>Aprendizaje y logro de resultados de aprendizaje</t>
  </si>
  <si>
    <t>Programas con resultados de aprendizaje definidos</t>
  </si>
  <si>
    <t>Gestión, Evaluación e Innovación Curricular</t>
  </si>
  <si>
    <t>Director De Curriculo</t>
  </si>
  <si>
    <t>Programas con resultados de aprendizaje definidos: condición previa para medir su logro (no mide logro).</t>
  </si>
  <si>
    <t>Asignaturas o modulos con mecanismos de evaluación implementados</t>
  </si>
  <si>
    <t>Director De Curriculo Presencial Y Virtu</t>
  </si>
  <si>
    <t>Asignaturas con mecanismos de evaluación implementados: habilita la medición del logro de resultados de aprendizaje.</t>
  </si>
  <si>
    <t>Bienestar y desarrollo integral</t>
  </si>
  <si>
    <t>Indice de impacto Psicosocial de las actividades de bienestar</t>
  </si>
  <si>
    <t>BIENESTAR INSTITUCIONAL</t>
  </si>
  <si>
    <t>Director De Bienestar Universitario</t>
  </si>
  <si>
    <t>4. Bienestar e impacto social (SST)</t>
  </si>
  <si>
    <t>Impacto psicosocial de las actividades de bienestar en toda la comunidad: mide 'bienestar y desarrollo integral'.</t>
  </si>
  <si>
    <t>Estudiantes vinculados a investigación</t>
  </si>
  <si>
    <t>Formación para la investigación, creación e innovación</t>
  </si>
  <si>
    <t>Lider En Iniciacion Cientifica</t>
  </si>
  <si>
    <t>Estudiantes vinculados a investigación: formación integral y aprendizaje activo.</t>
  </si>
  <si>
    <t>Impacto de Campañas de promoción y prevención</t>
  </si>
  <si>
    <t>Servicio de Salud</t>
  </si>
  <si>
    <t>Medico</t>
  </si>
  <si>
    <t>Impacto de campañas de promoción y prevención en salud: bienestar de la comunidad.</t>
  </si>
  <si>
    <t>Participación en Actividades deportivas</t>
  </si>
  <si>
    <t>Cultura y Deporte</t>
  </si>
  <si>
    <t>Jefe De Cultura Y Deportes</t>
  </si>
  <si>
    <t>Participación en deporte: actividad, no resultado de bienestar.</t>
  </si>
  <si>
    <t>Participación en actividades culturales</t>
  </si>
  <si>
    <t>Participación cultural: actividad, no resultado de desarrollo integral.</t>
  </si>
  <si>
    <t>Transformación de vidas y desarrollo social</t>
  </si>
  <si>
    <t>Tasa de cotización del graduado - Metrica</t>
  </si>
  <si>
    <t>Gestión de Graduados</t>
  </si>
  <si>
    <t>Director De Graduados Y Proyeccion Emp.</t>
  </si>
  <si>
    <t>Tasa de cotización del graduado (empleabilidad formal): mejor aproximación disponible a la 'transformación de vidas'.</t>
  </si>
  <si>
    <t>Nivel de satisfacción del graduado con la institución</t>
  </si>
  <si>
    <t>Satisfacción del graduado con su formación: valoración de la calidad recibida.</t>
  </si>
  <si>
    <t>Tasa de Sostenibilidad de Emprendimientos</t>
  </si>
  <si>
    <t>Emprendimiento</t>
  </si>
  <si>
    <t>Wilinton Javier Ortiz Amador</t>
  </si>
  <si>
    <t>Sostenibilidad de emprendimientos apoyados: contribución al desarrollo social y económico.</t>
  </si>
  <si>
    <t>Nivel de acompañamiento a estudiantes en práctica</t>
  </si>
  <si>
    <t>Prácticas</t>
  </si>
  <si>
    <t>Jefe De Practicas</t>
  </si>
  <si>
    <t>Acompañamiento a estudiantes en práctica: transición al mundo laboral.</t>
  </si>
  <si>
    <t>% de Participación de graduados en actividades de empleabilidad y relacionamiento</t>
  </si>
  <si>
    <t>Participación de graduados en empleabilidad y formación continua.</t>
  </si>
  <si>
    <t>Cultura de mejoramiento continuo</t>
  </si>
  <si>
    <t>Cierre eficaz de las oportunidades de mejora</t>
  </si>
  <si>
    <t>Planificación POLISIGS</t>
  </si>
  <si>
    <t>Director Del Sistema Integrado</t>
  </si>
  <si>
    <t>Bimestral</t>
  </si>
  <si>
    <t>0. Política POLISIGS (global)</t>
  </si>
  <si>
    <t>Cierre eficaz de oportunidades de mejora: mide directamente la cultura de mejoramiento continuo (ISO 9001 cl. 10).</t>
  </si>
  <si>
    <t>Oportunidad en el cierre de acciones</t>
  </si>
  <si>
    <t>Gestión de calidad</t>
  </si>
  <si>
    <t>Mensual</t>
  </si>
  <si>
    <t>Oportunidad en el cierre de acciones correctivas, preventivas y de mejora: agilidad del ciclo de mejora.</t>
  </si>
  <si>
    <t>Oportunidad en el cierre de actividades de los planes de mejora</t>
  </si>
  <si>
    <t>Cierre oportuno de actividades de planes de mejora por fuente.</t>
  </si>
  <si>
    <t>Eficacia del Plan documental Institucional</t>
  </si>
  <si>
    <t>Eficacia del plan documental: soporte documental del sistema; baja capacidad de reflejar desempeño.</t>
  </si>
  <si>
    <t>Gestión de riesgos y oportunidades</t>
  </si>
  <si>
    <t>Frecuencia de incidentes de riesgos</t>
  </si>
  <si>
    <t>GESTIÓN DE RIESGOS</t>
  </si>
  <si>
    <t>Profesional De Riesgos</t>
  </si>
  <si>
    <t>Trimestral</t>
  </si>
  <si>
    <t>Frecuencia de riesgos materializados: resultado final de la gestión de riesgos.</t>
  </si>
  <si>
    <t>Índice de Madurez de la Gestión de Riesgos (RM Maturity Index)</t>
  </si>
  <si>
    <t>Índice de madurez de la gestión de riesgos: medida global del compromiso de 'gestión de riesgos'.</t>
  </si>
  <si>
    <t>Eficacia de controles</t>
  </si>
  <si>
    <t>Eficacia de los controles fuertes: calidad del tratamiento de riesgos.</t>
  </si>
  <si>
    <t>Nivel de cumplimiento del plan de seguimiento a controles</t>
  </si>
  <si>
    <t>Cumplimiento del plan de seguimiento a controles.</t>
  </si>
  <si>
    <t>Respuesta ante nuevas necesidades de control</t>
  </si>
  <si>
    <t>Respuesta a nuevas necesidades de control.</t>
  </si>
  <si>
    <t>Índice de riesgos materializados en proyectos (Metrica)</t>
  </si>
  <si>
    <t>Gestión de Proyectos</t>
  </si>
  <si>
    <t>Lider Pmo ? Agile</t>
  </si>
  <si>
    <t>Riesgos materializados en proyectos: gestión de riesgos a nivel de portafolio.</t>
  </si>
  <si>
    <t>Innovación</t>
  </si>
  <si>
    <t>Índice de Autogestión Implementado (IAI)</t>
  </si>
  <si>
    <t>GESTIÓN DE LA TECNOLOGÍA E INNOVACIÓN DIGITAL</t>
  </si>
  <si>
    <t>Director De Desarrollo E Innovacion Dig.</t>
  </si>
  <si>
    <t>Índice de autogestión implementado: innovación aplicada a procesos críticos con impacto directo en la experiencia del usuario.</t>
  </si>
  <si>
    <t>Tiempo Promedio de Producción de Materiales Educativos con IA Generativa</t>
  </si>
  <si>
    <t>Diseño de Contenido Virtual</t>
  </si>
  <si>
    <t>Coordinador De Gestion De Contenidos</t>
  </si>
  <si>
    <t>Tiempo de producción con IA generativa: innovación puntual en un proceso.</t>
  </si>
  <si>
    <t>Evaluación del desempeño y toma de decisiones</t>
  </si>
  <si>
    <t>Tasa de indicadores PDI con cumplimiento de meta en el período de seguimiento</t>
  </si>
  <si>
    <t>Desempeño Institucional</t>
  </si>
  <si>
    <t>Especialista De Medicion Y Mejora</t>
  </si>
  <si>
    <t>Indicadores del PDI que cumplen meta: medida directa de evaluación del desempeño institucional.</t>
  </si>
  <si>
    <t>Índice de cumplimiento del Plan de Desarrollo Institucional por línea estratégica</t>
  </si>
  <si>
    <t>Cumplimiento del PDI por línea estratégica: redundante parcialmente con el 607.</t>
  </si>
  <si>
    <t>Cumplimiento programa de auditoría</t>
  </si>
  <si>
    <t>AUDITORÍA INTERNA</t>
  </si>
  <si>
    <t>Director De Control Interno</t>
  </si>
  <si>
    <t>Cumplimiento del programa de auditoría interna (ISO cl. 9.2): evaluación del sistema.</t>
  </si>
  <si>
    <t>Índice de madurez analítica</t>
  </si>
  <si>
    <t>DATOS Y ANALÍTICA</t>
  </si>
  <si>
    <t>Jefe De Ingenieria De Datos</t>
  </si>
  <si>
    <t>Madurez analítica: capacidad institucional para decidir con datos.</t>
  </si>
  <si>
    <t>Índice de oportunidad en el reporte de indicadores</t>
  </si>
  <si>
    <t>Oportunidad en el reporte de indicadores: calidad del insumo para la toma de decisiones.</t>
  </si>
  <si>
    <t>Subprocesos Con indicadores definidos</t>
  </si>
  <si>
    <t>Subprocesos con indicadores definidos: cobertura del sistema de medición.</t>
  </si>
  <si>
    <t>Experiencias positivas de estudiantes y grupos de interés</t>
  </si>
  <si>
    <t>Satisfacción Institucional por grupos de interés principales (CSAT)</t>
  </si>
  <si>
    <t>EXPERIENCIA INSTITUCIONAL</t>
  </si>
  <si>
    <t>Satisfacción institucional de los grupos de interés principales: medida directa de 'experiencias positivas'.</t>
  </si>
  <si>
    <t>NPS Estudiantes</t>
  </si>
  <si>
    <t>NPS estudiantes: lealtad y experiencia del grupo de interés central de la política.</t>
  </si>
  <si>
    <t>CES General</t>
  </si>
  <si>
    <t>CES general: esfuerzo percibido en los procesos institucionales.</t>
  </si>
  <si>
    <t>Porcentaje de Cumplimiento del Acuerdo de Nivel de Servicio (ANS)</t>
  </si>
  <si>
    <t>Servicio</t>
  </si>
  <si>
    <t>Director De Servicio</t>
  </si>
  <si>
    <t>Cumplimiento de ANS en solicitudes de estudiantes.</t>
  </si>
  <si>
    <t>Oportunidad de respuesta de PQRS</t>
  </si>
  <si>
    <t>GESTIÓN JURÍDICA Y NORMATIVA</t>
  </si>
  <si>
    <t>Jefe De Pqrs Y Litigios</t>
  </si>
  <si>
    <t>Respuesta oportuna a PQRS: atención a requisitos y expectativas de partes interesadas.</t>
  </si>
  <si>
    <t>Satisfacción Institucional CSAT</t>
  </si>
  <si>
    <t>CSAT promedio de los instrumentos por proceso; redundante con el 275.</t>
  </si>
  <si>
    <t>NPS Graduados</t>
  </si>
  <si>
    <t>NPS graduados.</t>
  </si>
  <si>
    <t>FCR- Resolución en primer contacto</t>
  </si>
  <si>
    <t>Resolución en primer contacto.</t>
  </si>
  <si>
    <t>CES- Costumer Effort Score del proceso de Rematrícula</t>
  </si>
  <si>
    <t>CES de rematrícula: experiencia en un trámite crítico.</t>
  </si>
  <si>
    <t>CES Inscripción de asignaturas</t>
  </si>
  <si>
    <t>Operaciones Académicas</t>
  </si>
  <si>
    <t>Jefe Procesos Financieros S.I.S Y Ux</t>
  </si>
  <si>
    <t>CES de inscripción de asignaturas: experiencia en un trámite crítico.</t>
  </si>
  <si>
    <t>3. Protección y cuidado del ambiente</t>
  </si>
  <si>
    <t>Planes y programas ambientales y cumplimiento legal</t>
  </si>
  <si>
    <t>Cumplimiento del Plan Anual del Sistema de Gestión Ambiental</t>
  </si>
  <si>
    <t>GESTIÓN AMBIENTAL</t>
  </si>
  <si>
    <t>Lider Sistema De Gestion Ambiental</t>
  </si>
  <si>
    <t>Cumplimiento del plan anual del SGA: mide la 'implementación de planes y programas' (ISO 14001).</t>
  </si>
  <si>
    <t>Cumplimiento de Requisitos Legales Ambientales Aplicables</t>
  </si>
  <si>
    <t>Cumplimiento de requisitos legales ambientales: compromiso explícito de cumplimiento legal de la política.</t>
  </si>
  <si>
    <t>Cumplimiento de la Protección del Medio Ambiente</t>
  </si>
  <si>
    <t>Cumplimiento de controles de protección ambiental: cubre los tres compromisos (contaminación, biodiversidad, recursos).</t>
  </si>
  <si>
    <t>GreenMetric - Nacional</t>
  </si>
  <si>
    <t>Posición en GreenMetric: referente externo de desempeño ambiental del campus.</t>
  </si>
  <si>
    <t>Prevención de la contaminación</t>
  </si>
  <si>
    <t>Generación de  Gases de Efecto Invernadero per Cápita</t>
  </si>
  <si>
    <t>Emisiones de GEI per cápita: principal impacto ambiental atmosférico.</t>
  </si>
  <si>
    <t>Calidad de las Aguas Residuales Domesticas</t>
  </si>
  <si>
    <t>Calidad de aguas residuales (vertimientos): requisito legal y prevención de contaminación hídrica.</t>
  </si>
  <si>
    <t>Disminución de la Generación de Residuos Peligrosos per Cápita</t>
  </si>
  <si>
    <t>Disminución de residuos peligrosos per cápita: prevención de la contaminación de mayor riesgo.</t>
  </si>
  <si>
    <t>Disminución de la Generación de Residuos per Cápita</t>
  </si>
  <si>
    <t>Disminución de residuos per cápita: prevención en la fuente.</t>
  </si>
  <si>
    <t>Aprovechamiento de Residuos</t>
  </si>
  <si>
    <t>Aprovechamiento de residuos: economía circular; también uso responsable de recursos.</t>
  </si>
  <si>
    <t>Cumplimiento Nivel de Emisión de Ruido</t>
  </si>
  <si>
    <t>Cumplimiento de niveles de emisión de ruido (Res. 627/2006).</t>
  </si>
  <si>
    <t>Compensación de Gases de Efecto Invernadero</t>
  </si>
  <si>
    <t>Compensación de GEI.</t>
  </si>
  <si>
    <t>Generación de Residuos Sólidos per Cápita Semestral</t>
  </si>
  <si>
    <t>Residuos sólidos per cápita semestral (seguimiento operativo del 628).</t>
  </si>
  <si>
    <t>Generación de Residuos Peligrosos per Cápita Semestral</t>
  </si>
  <si>
    <t>Residuos peligrosos per cápita semestral (seguimiento operativo del 653).</t>
  </si>
  <si>
    <t>Registro de Publicidad Exterior Visual</t>
  </si>
  <si>
    <t>Registro de publicidad exterior visual: cumplimiento puntual.</t>
  </si>
  <si>
    <t>Preservación de la biodiversidad</t>
  </si>
  <si>
    <t>Acciones para el Cuidado y Mantenimiento de las Especies de Flora y el Suelo de las Áreas Naturales</t>
  </si>
  <si>
    <t>Acciones de cuidado de flora y suelo: único indicador de 'preservar la biodiversidad'.</t>
  </si>
  <si>
    <t>Uso responsable de los recursos naturales</t>
  </si>
  <si>
    <t>Disminución del Consumo de Energía Eléctrica per Cápita</t>
  </si>
  <si>
    <t>Disminución del consumo de energía per cápita.</t>
  </si>
  <si>
    <t>Disminución del Consumo de Agua per Cápita</t>
  </si>
  <si>
    <t>Disminución del consumo de agua per cápita.</t>
  </si>
  <si>
    <t>Consumo de Agua per Cápita Semestral</t>
  </si>
  <si>
    <t>Consumo de agua per cápita semestral (seguimiento operativo del 644).</t>
  </si>
  <si>
    <t>Consumo de Energía Eléctrica per Cápita Semestral</t>
  </si>
  <si>
    <t>Consumo de energía per cápita semestral (seguimiento operativo del 629).</t>
  </si>
  <si>
    <t>Riesgo de la Calidad del Agua Potable</t>
  </si>
  <si>
    <t>Riesgo de la calidad del agua potable: más ligado a salud que a uso de recursos.</t>
  </si>
  <si>
    <t>Sensibilización ambiental (soporte a planes y programas)</t>
  </si>
  <si>
    <t>Participación en Eventos de Formación Ambiental de la Comunidad Institucional</t>
  </si>
  <si>
    <t>Participación de la comunidad en formación ambiental: habilita la eficacia de los programas.</t>
  </si>
  <si>
    <t>Participación en Eventos de Formación Ambiental de Grupos de Interés Externos</t>
  </si>
  <si>
    <t>Participación de grupos externos en formación ambiental.</t>
  </si>
  <si>
    <t>Ejecución de las Comunicaciones en Materia Ambiental</t>
  </si>
  <si>
    <t>Ejecución de comunicaciones ambientales.</t>
  </si>
  <si>
    <t>Impacto de las Comunicaciones en Materia Ambiental a Través de Redes Sociales - Instagram</t>
  </si>
  <si>
    <t>Interacción con contenidos ambientales en Instagram.</t>
  </si>
  <si>
    <t>Prevención de lesiones (accidentalidad)</t>
  </si>
  <si>
    <t>Indice de Frecuencia de accidentalidad</t>
  </si>
  <si>
    <t>GESTIÓN DE SEGURIDAD Y SALUD EN EL TRABAJO</t>
  </si>
  <si>
    <t>Jefe De Seguridad Y Salud En El Trabajo</t>
  </si>
  <si>
    <t>Índice de frecuencia de accidentalidad: resultado directo de 'prevención de lesiones' (Res. 0312).</t>
  </si>
  <si>
    <t>Proporción de accidentes de trabajo mortales</t>
  </si>
  <si>
    <t>Accidentes de trabajo mortales: indicador mínimo legal de máxima severidad.</t>
  </si>
  <si>
    <t>Indice de severidad</t>
  </si>
  <si>
    <t>Índice de severidad: días perdidos por accidente.</t>
  </si>
  <si>
    <t>Tasa de accidentalidad</t>
  </si>
  <si>
    <t>Tasa de accidentalidad anual: redundante con el 124 (mismo fenómeno, otra frecuencia).</t>
  </si>
  <si>
    <t>Reporte e investigación</t>
  </si>
  <si>
    <t>Investigación de accidentes, incidentes y enfermedades.</t>
  </si>
  <si>
    <t>Prevención del deterioro de la salud (enfermedad laboral)</t>
  </si>
  <si>
    <t>Indice de Incidencia EL Enfermedad laboral</t>
  </si>
  <si>
    <t>Incidencia de enfermedad laboral: resultado directo de 'prevención del deterioro de la salud'.</t>
  </si>
  <si>
    <t>Indice de Prevalencia EL Enfermedad laboral</t>
  </si>
  <si>
    <t>Prevalencia de enfermedad laboral.</t>
  </si>
  <si>
    <t>Ausentísmo por causa médica</t>
  </si>
  <si>
    <t>Ausentismo por causa médica: incluye causas no laborales.</t>
  </si>
  <si>
    <t>Gestión y seguimiento de casos de salud que impactan a los colaboradores</t>
  </si>
  <si>
    <t>Gestión y seguimiento de casos de salud.</t>
  </si>
  <si>
    <t>Evaluación condiciones de salud (examen médico)</t>
  </si>
  <si>
    <t>Exámenes médicos ocupacionales.</t>
  </si>
  <si>
    <t>Cumplimiento del Programa de la Cultura del Autocuidado</t>
  </si>
  <si>
    <t>Programa de cultura del autocuidado.</t>
  </si>
  <si>
    <t>Gestión de peligros y riesgos SST</t>
  </si>
  <si>
    <t>Intervención a la gestión del riesgo de los colaboradores</t>
  </si>
  <si>
    <t>Intervención en la gestión del riesgo de los colaboradores: tratamiento de 'la naturaleza de sus riesgos'.</t>
  </si>
  <si>
    <t>Ejecución del plan de trabajo</t>
  </si>
  <si>
    <t>Ejecución del plan de trabajo anual SST.</t>
  </si>
  <si>
    <t>Plan de Emergencias</t>
  </si>
  <si>
    <t>Sedes con plan de emergencias.</t>
  </si>
  <si>
    <t>Ejecución plan de capacitación</t>
  </si>
  <si>
    <t>Ejecución del plan de capacitación SST (el 91 tiene la misma descripción; no se incluye).</t>
  </si>
  <si>
    <t>Cobertura Elementos de Protección Personal</t>
  </si>
  <si>
    <t>Cobertura de elementos de protección personal.</t>
  </si>
  <si>
    <t>Inspecciones de seguridad</t>
  </si>
  <si>
    <t>Inspecciones de seguridad.</t>
  </si>
  <si>
    <t>Ejecución de Simulacros</t>
  </si>
  <si>
    <t>Ejecución de simulacros.</t>
  </si>
  <si>
    <t>Cumplimiento legal y participación de trabajadores</t>
  </si>
  <si>
    <t>Autoevaluación</t>
  </si>
  <si>
    <t>Autoevaluación del SG-SST: valoración global del sistema frente a estándares mínimos.</t>
  </si>
  <si>
    <t>Cumplimiento de requisitos legales SST</t>
  </si>
  <si>
    <t>Cumplimiento de requisitos legales SST.</t>
  </si>
  <si>
    <t>Funcionamiento del COPASST</t>
  </si>
  <si>
    <t>Funcionamiento del COPASST: participación de trabajadores (ISO 45001 cl. 5.4).</t>
  </si>
  <si>
    <t>Bienestar laboral e impacto social</t>
  </si>
  <si>
    <t>Great Place to Work</t>
  </si>
  <si>
    <t>Gerente De Talento Humano Y Comunicacion</t>
  </si>
  <si>
    <t>Great Place to Work: clima y condiciones laborales; corresponde al nombre del objetivo más que a su texto.</t>
  </si>
  <si>
    <t>Participación de POLI- voluntariados (Estudiantes- Colaboradores)</t>
  </si>
  <si>
    <t>Participación en voluntariados: única medición asociable a 'impacto social'.</t>
  </si>
  <si>
    <t>eNPS (indice de recomendación de colaboradores)</t>
  </si>
  <si>
    <t>Director De Bienestar Y Relac. Laborales</t>
  </si>
  <si>
    <t>eNPS de colaboradores.</t>
  </si>
  <si>
    <t>% de profesores impactados en actividades de Bienestar (Indefinido- Fijo Anualizado)</t>
  </si>
  <si>
    <t>Profesores impactados en actividades de bienestar.</t>
  </si>
  <si>
    <t>Recursos humanos</t>
  </si>
  <si>
    <t>Cumplimiento Plan de formación Institucional</t>
  </si>
  <si>
    <t>Cumplimiento del plan de formación institucional, que incluye la línea de Formación POLISIGS.</t>
  </si>
  <si>
    <t>Nivel de cumplimiento de eficacia las capacitaciones</t>
  </si>
  <si>
    <t>Eficacia de las capacitaciones (competencia, ISO cl. 7.2).</t>
  </si>
  <si>
    <t>Cumplimiento del plan de Inducción institucional</t>
  </si>
  <si>
    <t>Director De Gestion De Talento</t>
  </si>
  <si>
    <t>Cobertura de la inducción institucional en nuevos ingresos.</t>
  </si>
  <si>
    <t>Índice de rotación</t>
  </si>
  <si>
    <t>Director De Admon Laboral Y Compensacion</t>
  </si>
  <si>
    <t>Índice de rotación: estabilidad del talento humano.</t>
  </si>
  <si>
    <t>Recursos financieros</t>
  </si>
  <si>
    <t>Inversión en CAPEX de la utilidad anterior</t>
  </si>
  <si>
    <t>Planeación Financiera</t>
  </si>
  <si>
    <t>Director De Planeacion Financiera Y Teso</t>
  </si>
  <si>
    <t>Reinversión de la utilidad en CAPEX: disposición de recursos para inversión.</t>
  </si>
  <si>
    <t>CAPEX</t>
  </si>
  <si>
    <t>Ejecución de inversión en activos (CAPEX).</t>
  </si>
  <si>
    <t>Nivel de Cumplimiento Opex</t>
  </si>
  <si>
    <t>Cumplimiento presupuestal de OPEX.</t>
  </si>
  <si>
    <t>Seguimiento a ejecución presupuestal de los proyectos (Metrica)</t>
  </si>
  <si>
    <t>Ejecución presupuestal de proyectos.</t>
  </si>
  <si>
    <t>Recursos tecnológicos</t>
  </si>
  <si>
    <t>Disponibilidad de servicios tecnológicos</t>
  </si>
  <si>
    <t>Director De Operaciones It</t>
  </si>
  <si>
    <t>Disponibilidad de servicios tecnológicos: recurso tecnológico disponible para los procesos.</t>
  </si>
  <si>
    <t>Índice de madurez tecnológica</t>
  </si>
  <si>
    <t>Gerente De Tecnologia E Innovacion Dig.</t>
  </si>
  <si>
    <t>Índice de madurez tecnológica.</t>
  </si>
  <si>
    <t>Porcentaje de procesos de control implementados</t>
  </si>
  <si>
    <t>Director De Gobierno Digital</t>
  </si>
  <si>
    <t>Procesos de control de seguridad de la información implementados.</t>
  </si>
  <si>
    <t>Infraestructura y proveedores</t>
  </si>
  <si>
    <t>Oportunidad en la solución de solicitudes de infraestructura</t>
  </si>
  <si>
    <t>Gestión Infraestructura Física</t>
  </si>
  <si>
    <t>Director De Infraestructura</t>
  </si>
  <si>
    <t>Oportunidad en la solución de solicitudes de infraestructura.</t>
  </si>
  <si>
    <t>Cumplimiento cronograma Mantenimiento de Equipos</t>
  </si>
  <si>
    <t>Cumplimiento del cronograma de mantenimiento de equipos (ISO cl. 7.1.3).</t>
  </si>
  <si>
    <t>Evaluación de desempeño a proveedores críticos</t>
  </si>
  <si>
    <t>GESTIÓN DE ABASTECIMIENTO</t>
  </si>
  <si>
    <t>Director De Compras Y Abastecimiento</t>
  </si>
  <si>
    <t>Desempeño de proveedores críticos (control de recursos externos, ISO cl. 8.4).</t>
  </si>
  <si>
    <t>Cumplimiento plan de trabajo - Bogotá</t>
  </si>
  <si>
    <t>Administración de Servicios Generales</t>
  </si>
  <si>
    <t>Director De Servicios Administrativos</t>
  </si>
  <si>
    <t>Plan de trabajo de aseo, seguridad y transporte.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</si>
</sst>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63A5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2" fontId="2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5">
    <dxf>
      <font>
        <b/>
        <color rgb="FFC00000"/>
        <name val="Arial"/>
        <charset val="1"/>
      </font>
    </dxf>
    <dxf>
      <font>
        <b/>
        <color rgb="FF006100"/>
        <name val="Arial"/>
        <charset val="1"/>
      </font>
    </dxf>
    <dxf>
      <fill>
        <patternFill>
          <bgColor rgb="FFEDEDED"/>
        </patternFill>
      </fill>
    </dxf>
    <dxf>
      <fill>
        <patternFill>
          <bgColor rgb="FFFFF2CC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1" defaultTableStyle="TableStyleMedium2" defaultPivotStyle="PivotStyleLight16">
    <tableStyle name="Invisible" pivot="0" table="0" count="0" xr9:uid="{748FF492-075F-4C59-B1AB-2370B2DFCB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imen\Downloads\Indicadores_Politica_POLISIGS.xlsx" TargetMode="External"/><Relationship Id="rId1" Type="http://schemas.openxmlformats.org/officeDocument/2006/relationships/externalLinkPath" Target="file:///C:\Users\ximen\Downloads\Indicadores_Politica_POLISI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adores POLISIGS"/>
      <sheetName val="Resumen"/>
      <sheetName val="Criterios"/>
      <sheetName val="Cobertura por componente"/>
      <sheetName val="Vacíos y propuestas"/>
      <sheetName val="Notas"/>
    </sheetNames>
    <sheetDataSet>
      <sheetData sheetId="0"/>
      <sheetData sheetId="1"/>
      <sheetData sheetId="2">
        <row r="5">
          <cell r="C5">
            <v>0.4</v>
          </cell>
        </row>
        <row r="6">
          <cell r="C6">
            <v>0.3</v>
          </cell>
        </row>
        <row r="7">
          <cell r="C7">
            <v>0.3</v>
          </cell>
        </row>
        <row r="10">
          <cell r="C10">
            <v>4.2</v>
          </cell>
        </row>
        <row r="11">
          <cell r="C11">
            <v>3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9508-B33B-4EC8-BB95-A93D4C6286A6}">
  <dimension ref="A1:T125"/>
  <sheetViews>
    <sheetView showGridLines="0"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24" customWidth="1"/>
    <col min="2" max="2" width="28" customWidth="1"/>
    <col min="3" max="3" width="7" customWidth="1"/>
    <col min="4" max="4" width="38" customWidth="1"/>
    <col min="5" max="5" width="24" customWidth="1"/>
    <col min="6" max="6" width="22" customWidth="1"/>
    <col min="7" max="7" width="12" customWidth="1"/>
    <col min="8" max="8" width="11" customWidth="1"/>
    <col min="9" max="9" width="10" customWidth="1"/>
    <col min="10" max="10" width="8" customWidth="1"/>
    <col min="11" max="12" width="9" customWidth="1"/>
    <col min="13" max="13" width="11" customWidth="1"/>
    <col min="14" max="15" width="9" customWidth="1"/>
    <col min="16" max="16" width="15" customWidth="1"/>
    <col min="17" max="18" width="12" customWidth="1"/>
    <col min="19" max="19" width="11" customWidth="1"/>
    <col min="20" max="20" width="60" customWidth="1"/>
  </cols>
  <sheetData>
    <row r="1" spans="1:20" ht="33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9.6" x14ac:dyDescent="0.3">
      <c r="A2" s="2" t="s">
        <v>20</v>
      </c>
      <c r="B2" s="2" t="s">
        <v>21</v>
      </c>
      <c r="C2" s="3">
        <v>339</v>
      </c>
      <c r="D2" s="4" t="s">
        <v>22</v>
      </c>
      <c r="E2" s="2" t="s">
        <v>23</v>
      </c>
      <c r="F2" s="2" t="s">
        <v>24</v>
      </c>
      <c r="G2" s="3" t="s">
        <v>25</v>
      </c>
      <c r="H2" s="3" t="s">
        <v>26</v>
      </c>
      <c r="I2" s="3" t="s">
        <v>27</v>
      </c>
      <c r="J2" s="5">
        <v>30</v>
      </c>
      <c r="K2" s="5">
        <v>35.29</v>
      </c>
      <c r="L2" s="6">
        <v>5</v>
      </c>
      <c r="M2" s="6">
        <v>5</v>
      </c>
      <c r="N2" s="6">
        <v>4</v>
      </c>
      <c r="O2" s="3">
        <f>ROUND(L2*[1]Criterios!$C$5+M2*[1]Criterios!$C$6+N2*[1]Criterios!$C$7,2)</f>
        <v>4.7</v>
      </c>
      <c r="P2" s="3" t="str">
        <f>IF(O2&gt;=[1]Criterios!$C$10,"Núcleo",IF(O2&gt;=[1]Criterios!$C$11,"Complementario","Referencia"))</f>
        <v>Núcleo</v>
      </c>
      <c r="Q2" s="3" t="str">
        <f t="shared" ref="Q2:Q65" si="0">IF(NOT(ISNUMBER(K2)),"Sin dato",IF(NOT(ISNUMBER(J2)),"Sin meta",IF(I2="Positivo",IF(K2&gt;=J2,"Cumple","No cumple"),IF(K2&lt;=J2,"Cumple","No cumple"))))</f>
        <v>Cumple</v>
      </c>
      <c r="R2" s="7">
        <f t="shared" ref="R2:R65" si="1">IF(OR(NOT(ISNUMBER(K2)),NOT(ISNUMBER(J2))),"",IF(I2="Positivo",IF(J2=0,1,MIN(1,K2/J2)),IF(K2=0,1,MIN(1,J2/K2))))</f>
        <v>1</v>
      </c>
      <c r="S2" s="2"/>
      <c r="T2" s="2" t="s">
        <v>28</v>
      </c>
    </row>
    <row r="3" spans="1:20" ht="39.6" x14ac:dyDescent="0.3">
      <c r="A3" s="2" t="s">
        <v>20</v>
      </c>
      <c r="B3" s="2" t="s">
        <v>21</v>
      </c>
      <c r="C3" s="3">
        <v>283</v>
      </c>
      <c r="D3" s="4" t="s">
        <v>29</v>
      </c>
      <c r="E3" s="2" t="s">
        <v>30</v>
      </c>
      <c r="F3" s="2" t="s">
        <v>31</v>
      </c>
      <c r="G3" s="3" t="s">
        <v>25</v>
      </c>
      <c r="H3" s="3" t="s">
        <v>32</v>
      </c>
      <c r="I3" s="3" t="s">
        <v>27</v>
      </c>
      <c r="J3" s="5">
        <v>4.66</v>
      </c>
      <c r="K3" s="5">
        <v>4.63</v>
      </c>
      <c r="L3" s="6">
        <v>4</v>
      </c>
      <c r="M3" s="6">
        <v>4</v>
      </c>
      <c r="N3" s="6">
        <v>4</v>
      </c>
      <c r="O3" s="3">
        <f>ROUND(L3*[1]Criterios!$C$5+M3*[1]Criterios!$C$6+N3*[1]Criterios!$C$7,2)</f>
        <v>4</v>
      </c>
      <c r="P3" s="3" t="str">
        <f>IF(O3&gt;=[1]Criterios!$C$10,"Núcleo",IF(O3&gt;=[1]Criterios!$C$11,"Complementario","Referencia"))</f>
        <v>Complementario</v>
      </c>
      <c r="Q3" s="3" t="str">
        <f t="shared" si="0"/>
        <v>No cumple</v>
      </c>
      <c r="R3" s="7">
        <f t="shared" si="1"/>
        <v>0.99356223175965663</v>
      </c>
      <c r="S3" s="2"/>
      <c r="T3" s="2" t="s">
        <v>33</v>
      </c>
    </row>
    <row r="4" spans="1:20" ht="39.6" x14ac:dyDescent="0.3">
      <c r="A4" s="2" t="s">
        <v>20</v>
      </c>
      <c r="B4" s="2" t="s">
        <v>21</v>
      </c>
      <c r="C4" s="3">
        <v>327</v>
      </c>
      <c r="D4" s="4" t="s">
        <v>34</v>
      </c>
      <c r="E4" s="2" t="s">
        <v>35</v>
      </c>
      <c r="F4" s="2" t="s">
        <v>24</v>
      </c>
      <c r="G4" s="3" t="s">
        <v>25</v>
      </c>
      <c r="H4" s="3" t="s">
        <v>32</v>
      </c>
      <c r="I4" s="3" t="s">
        <v>27</v>
      </c>
      <c r="J4" s="3"/>
      <c r="K4" s="5">
        <v>100</v>
      </c>
      <c r="L4" s="6">
        <v>4</v>
      </c>
      <c r="M4" s="6">
        <v>4</v>
      </c>
      <c r="N4" s="6">
        <v>4</v>
      </c>
      <c r="O4" s="3">
        <f>ROUND(L4*[1]Criterios!$C$5+M4*[1]Criterios!$C$6+N4*[1]Criterios!$C$7,2)</f>
        <v>4</v>
      </c>
      <c r="P4" s="3" t="str">
        <f>IF(O4&gt;=[1]Criterios!$C$10,"Núcleo",IF(O4&gt;=[1]Criterios!$C$11,"Complementario","Referencia"))</f>
        <v>Complementario</v>
      </c>
      <c r="Q4" s="3" t="str">
        <f t="shared" si="0"/>
        <v>Sin meta</v>
      </c>
      <c r="R4" s="7" t="str">
        <f t="shared" si="1"/>
        <v/>
      </c>
      <c r="S4" s="2"/>
      <c r="T4" s="2" t="s">
        <v>36</v>
      </c>
    </row>
    <row r="5" spans="1:20" ht="39.6" x14ac:dyDescent="0.3">
      <c r="A5" s="2" t="s">
        <v>20</v>
      </c>
      <c r="B5" s="2" t="s">
        <v>21</v>
      </c>
      <c r="C5" s="3">
        <v>337</v>
      </c>
      <c r="D5" s="4" t="s">
        <v>37</v>
      </c>
      <c r="E5" s="2" t="s">
        <v>35</v>
      </c>
      <c r="F5" s="2" t="s">
        <v>24</v>
      </c>
      <c r="G5" s="3" t="s">
        <v>25</v>
      </c>
      <c r="H5" s="3" t="s">
        <v>32</v>
      </c>
      <c r="I5" s="3" t="s">
        <v>27</v>
      </c>
      <c r="J5" s="3"/>
      <c r="K5" s="3" t="s">
        <v>38</v>
      </c>
      <c r="L5" s="6">
        <v>4</v>
      </c>
      <c r="M5" s="6">
        <v>4</v>
      </c>
      <c r="N5" s="6">
        <v>4</v>
      </c>
      <c r="O5" s="3">
        <f>ROUND(L5*[1]Criterios!$C$5+M5*[1]Criterios!$C$6+N5*[1]Criterios!$C$7,2)</f>
        <v>4</v>
      </c>
      <c r="P5" s="3" t="str">
        <f>IF(O5&gt;=[1]Criterios!$C$10,"Núcleo",IF(O5&gt;=[1]Criterios!$C$11,"Complementario","Referencia"))</f>
        <v>Complementario</v>
      </c>
      <c r="Q5" s="3" t="str">
        <f t="shared" si="0"/>
        <v>Sin dato</v>
      </c>
      <c r="R5" s="7" t="str">
        <f t="shared" si="1"/>
        <v/>
      </c>
      <c r="S5" s="2"/>
      <c r="T5" s="2" t="s">
        <v>39</v>
      </c>
    </row>
    <row r="6" spans="1:20" ht="39.6" x14ac:dyDescent="0.3">
      <c r="A6" s="2" t="s">
        <v>20</v>
      </c>
      <c r="B6" s="2" t="s">
        <v>21</v>
      </c>
      <c r="C6" s="3">
        <v>277</v>
      </c>
      <c r="D6" s="4" t="s">
        <v>40</v>
      </c>
      <c r="E6" s="2" t="s">
        <v>30</v>
      </c>
      <c r="F6" s="2" t="s">
        <v>31</v>
      </c>
      <c r="G6" s="3" t="s">
        <v>25</v>
      </c>
      <c r="H6" s="3" t="s">
        <v>32</v>
      </c>
      <c r="I6" s="3" t="s">
        <v>41</v>
      </c>
      <c r="J6" s="5">
        <v>70</v>
      </c>
      <c r="K6" s="5">
        <v>68.48</v>
      </c>
      <c r="L6" s="6">
        <v>4</v>
      </c>
      <c r="M6" s="6">
        <v>4</v>
      </c>
      <c r="N6" s="6">
        <v>3</v>
      </c>
      <c r="O6" s="3">
        <f>ROUND(L6*[1]Criterios!$C$5+M6*[1]Criterios!$C$6+N6*[1]Criterios!$C$7,2)</f>
        <v>3.7</v>
      </c>
      <c r="P6" s="3" t="str">
        <f>IF(O6&gt;=[1]Criterios!$C$10,"Núcleo",IF(O6&gt;=[1]Criterios!$C$11,"Complementario","Referencia"))</f>
        <v>Complementario</v>
      </c>
      <c r="Q6" s="3" t="str">
        <f t="shared" si="0"/>
        <v>Cumple</v>
      </c>
      <c r="R6" s="7">
        <f t="shared" si="1"/>
        <v>1</v>
      </c>
      <c r="S6" s="2"/>
      <c r="T6" s="2" t="s">
        <v>42</v>
      </c>
    </row>
    <row r="7" spans="1:20" ht="39.6" x14ac:dyDescent="0.3">
      <c r="A7" s="2" t="s">
        <v>20</v>
      </c>
      <c r="B7" s="2" t="s">
        <v>21</v>
      </c>
      <c r="C7" s="3">
        <v>286</v>
      </c>
      <c r="D7" s="4" t="s">
        <v>43</v>
      </c>
      <c r="E7" s="2" t="s">
        <v>30</v>
      </c>
      <c r="F7" s="2" t="s">
        <v>31</v>
      </c>
      <c r="G7" s="3" t="s">
        <v>25</v>
      </c>
      <c r="H7" s="3" t="s">
        <v>32</v>
      </c>
      <c r="I7" s="3" t="s">
        <v>27</v>
      </c>
      <c r="J7" s="3"/>
      <c r="K7" s="5">
        <v>1135</v>
      </c>
      <c r="L7" s="6">
        <v>4</v>
      </c>
      <c r="M7" s="6">
        <v>4</v>
      </c>
      <c r="N7" s="6">
        <v>3</v>
      </c>
      <c r="O7" s="3">
        <f>ROUND(L7*[1]Criterios!$C$5+M7*[1]Criterios!$C$6+N7*[1]Criterios!$C$7,2)</f>
        <v>3.7</v>
      </c>
      <c r="P7" s="3" t="str">
        <f>IF(O7&gt;=[1]Criterios!$C$10,"Núcleo",IF(O7&gt;=[1]Criterios!$C$11,"Complementario","Referencia"))</f>
        <v>Complementario</v>
      </c>
      <c r="Q7" s="3" t="str">
        <f t="shared" si="0"/>
        <v>Sin meta</v>
      </c>
      <c r="R7" s="7" t="str">
        <f t="shared" si="1"/>
        <v/>
      </c>
      <c r="S7" s="2"/>
      <c r="T7" s="2" t="s">
        <v>44</v>
      </c>
    </row>
    <row r="8" spans="1:20" ht="39.6" x14ac:dyDescent="0.3">
      <c r="A8" s="2" t="s">
        <v>20</v>
      </c>
      <c r="B8" s="2" t="s">
        <v>21</v>
      </c>
      <c r="C8" s="3">
        <v>460</v>
      </c>
      <c r="D8" s="4" t="s">
        <v>45</v>
      </c>
      <c r="E8" s="2" t="s">
        <v>46</v>
      </c>
      <c r="F8" s="2" t="s">
        <v>47</v>
      </c>
      <c r="G8" s="3" t="s">
        <v>4</v>
      </c>
      <c r="H8" s="3" t="s">
        <v>26</v>
      </c>
      <c r="I8" s="3" t="s">
        <v>27</v>
      </c>
      <c r="J8" s="5">
        <v>80</v>
      </c>
      <c r="K8" s="5">
        <v>84.18</v>
      </c>
      <c r="L8" s="6">
        <v>4</v>
      </c>
      <c r="M8" s="6">
        <v>4</v>
      </c>
      <c r="N8" s="6">
        <v>3</v>
      </c>
      <c r="O8" s="3">
        <f>ROUND(L8*[1]Criterios!$C$5+M8*[1]Criterios!$C$6+N8*[1]Criterios!$C$7,2)</f>
        <v>3.7</v>
      </c>
      <c r="P8" s="3" t="str">
        <f>IF(O8&gt;=[1]Criterios!$C$10,"Núcleo",IF(O8&gt;=[1]Criterios!$C$11,"Complementario","Referencia"))</f>
        <v>Complementario</v>
      </c>
      <c r="Q8" s="3" t="str">
        <f t="shared" si="0"/>
        <v>Cumple</v>
      </c>
      <c r="R8" s="7">
        <f t="shared" si="1"/>
        <v>1</v>
      </c>
      <c r="S8" s="2" t="s">
        <v>48</v>
      </c>
      <c r="T8" s="2" t="s">
        <v>49</v>
      </c>
    </row>
    <row r="9" spans="1:20" ht="52.8" x14ac:dyDescent="0.3">
      <c r="A9" s="2" t="s">
        <v>20</v>
      </c>
      <c r="B9" s="2" t="s">
        <v>21</v>
      </c>
      <c r="C9" s="3">
        <v>636</v>
      </c>
      <c r="D9" s="4" t="s">
        <v>50</v>
      </c>
      <c r="E9" s="2" t="s">
        <v>23</v>
      </c>
      <c r="F9" s="2" t="s">
        <v>24</v>
      </c>
      <c r="G9" s="3" t="s">
        <v>25</v>
      </c>
      <c r="H9" s="3" t="s">
        <v>32</v>
      </c>
      <c r="I9" s="3" t="s">
        <v>27</v>
      </c>
      <c r="J9" s="3"/>
      <c r="K9" s="3" t="s">
        <v>38</v>
      </c>
      <c r="L9" s="6">
        <v>4</v>
      </c>
      <c r="M9" s="6">
        <v>4</v>
      </c>
      <c r="N9" s="6">
        <v>3</v>
      </c>
      <c r="O9" s="3">
        <f>ROUND(L9*[1]Criterios!$C$5+M9*[1]Criterios!$C$6+N9*[1]Criterios!$C$7,2)</f>
        <v>3.7</v>
      </c>
      <c r="P9" s="3" t="str">
        <f>IF(O9&gt;=[1]Criterios!$C$10,"Núcleo",IF(O9&gt;=[1]Criterios!$C$11,"Complementario","Referencia"))</f>
        <v>Complementario</v>
      </c>
      <c r="Q9" s="3" t="str">
        <f t="shared" si="0"/>
        <v>Sin dato</v>
      </c>
      <c r="R9" s="7" t="str">
        <f t="shared" si="1"/>
        <v/>
      </c>
      <c r="S9" s="2" t="s">
        <v>51</v>
      </c>
      <c r="T9" s="2" t="s">
        <v>52</v>
      </c>
    </row>
    <row r="10" spans="1:20" ht="39.6" x14ac:dyDescent="0.3">
      <c r="A10" s="2" t="s">
        <v>20</v>
      </c>
      <c r="B10" s="2" t="s">
        <v>53</v>
      </c>
      <c r="C10" s="3">
        <v>325</v>
      </c>
      <c r="D10" s="4" t="s">
        <v>54</v>
      </c>
      <c r="E10" s="2" t="s">
        <v>55</v>
      </c>
      <c r="F10" s="2" t="s">
        <v>24</v>
      </c>
      <c r="G10" s="3" t="s">
        <v>25</v>
      </c>
      <c r="H10" s="3" t="s">
        <v>32</v>
      </c>
      <c r="I10" s="3" t="s">
        <v>27</v>
      </c>
      <c r="J10" s="3"/>
      <c r="K10" s="5">
        <v>100</v>
      </c>
      <c r="L10" s="6">
        <v>4</v>
      </c>
      <c r="M10" s="6">
        <v>4</v>
      </c>
      <c r="N10" s="6">
        <v>3</v>
      </c>
      <c r="O10" s="3">
        <f>ROUND(L10*[1]Criterios!$C$5+M10*[1]Criterios!$C$6+N10*[1]Criterios!$C$7,2)</f>
        <v>3.7</v>
      </c>
      <c r="P10" s="3" t="str">
        <f>IF(O10&gt;=[1]Criterios!$C$10,"Núcleo",IF(O10&gt;=[1]Criterios!$C$11,"Complementario","Referencia"))</f>
        <v>Complementario</v>
      </c>
      <c r="Q10" s="3" t="str">
        <f t="shared" si="0"/>
        <v>Sin meta</v>
      </c>
      <c r="R10" s="7" t="str">
        <f t="shared" si="1"/>
        <v/>
      </c>
      <c r="S10" s="2"/>
      <c r="T10" s="2" t="s">
        <v>56</v>
      </c>
    </row>
    <row r="11" spans="1:20" ht="52.8" x14ac:dyDescent="0.3">
      <c r="A11" s="2" t="s">
        <v>20</v>
      </c>
      <c r="B11" s="2" t="s">
        <v>53</v>
      </c>
      <c r="C11" s="3">
        <v>403</v>
      </c>
      <c r="D11" s="4" t="s">
        <v>57</v>
      </c>
      <c r="E11" s="2" t="s">
        <v>58</v>
      </c>
      <c r="F11" s="2" t="s">
        <v>59</v>
      </c>
      <c r="G11" s="3" t="s">
        <v>4</v>
      </c>
      <c r="H11" s="3" t="s">
        <v>32</v>
      </c>
      <c r="I11" s="3" t="s">
        <v>27</v>
      </c>
      <c r="J11" s="3"/>
      <c r="K11" s="3" t="s">
        <v>38</v>
      </c>
      <c r="L11" s="6">
        <v>4</v>
      </c>
      <c r="M11" s="6">
        <v>3</v>
      </c>
      <c r="N11" s="6">
        <v>3</v>
      </c>
      <c r="O11" s="3">
        <f>ROUND(L11*[1]Criterios!$C$5+M11*[1]Criterios!$C$6+N11*[1]Criterios!$C$7,2)</f>
        <v>3.4</v>
      </c>
      <c r="P11" s="3" t="str">
        <f>IF(O11&gt;=[1]Criterios!$C$10,"Núcleo",IF(O11&gt;=[1]Criterios!$C$11,"Complementario","Referencia"))</f>
        <v>Complementario</v>
      </c>
      <c r="Q11" s="3" t="str">
        <f t="shared" si="0"/>
        <v>Sin dato</v>
      </c>
      <c r="R11" s="7" t="str">
        <f t="shared" si="1"/>
        <v/>
      </c>
      <c r="S11" s="2" t="s">
        <v>51</v>
      </c>
      <c r="T11" s="2" t="s">
        <v>60</v>
      </c>
    </row>
    <row r="12" spans="1:20" ht="39.6" x14ac:dyDescent="0.3">
      <c r="A12" s="2" t="s">
        <v>20</v>
      </c>
      <c r="B12" s="2" t="s">
        <v>61</v>
      </c>
      <c r="C12" s="3">
        <v>361</v>
      </c>
      <c r="D12" s="4" t="s">
        <v>62</v>
      </c>
      <c r="E12" s="2" t="s">
        <v>63</v>
      </c>
      <c r="F12" s="2" t="s">
        <v>64</v>
      </c>
      <c r="G12" s="3" t="s">
        <v>25</v>
      </c>
      <c r="H12" s="3" t="s">
        <v>26</v>
      </c>
      <c r="I12" s="3" t="s">
        <v>27</v>
      </c>
      <c r="J12" s="5">
        <v>4.5999999999999996</v>
      </c>
      <c r="K12" s="5">
        <v>4.78</v>
      </c>
      <c r="L12" s="6">
        <v>5</v>
      </c>
      <c r="M12" s="6">
        <v>5</v>
      </c>
      <c r="N12" s="6">
        <v>4</v>
      </c>
      <c r="O12" s="3">
        <f>ROUND(L12*[1]Criterios!$C$5+M12*[1]Criterios!$C$6+N12*[1]Criterios!$C$7,2)</f>
        <v>4.7</v>
      </c>
      <c r="P12" s="3" t="str">
        <f>IF(O12&gt;=[1]Criterios!$C$10,"Núcleo",IF(O12&gt;=[1]Criterios!$C$11,"Complementario","Referencia"))</f>
        <v>Núcleo</v>
      </c>
      <c r="Q12" s="3" t="str">
        <f t="shared" si="0"/>
        <v>Cumple</v>
      </c>
      <c r="R12" s="7">
        <f t="shared" si="1"/>
        <v>1</v>
      </c>
      <c r="S12" s="2"/>
      <c r="T12" s="2" t="s">
        <v>65</v>
      </c>
    </row>
    <row r="13" spans="1:20" ht="26.4" x14ac:dyDescent="0.3">
      <c r="A13" s="2" t="s">
        <v>20</v>
      </c>
      <c r="B13" s="2" t="s">
        <v>61</v>
      </c>
      <c r="C13" s="3">
        <v>569</v>
      </c>
      <c r="D13" s="4" t="s">
        <v>66</v>
      </c>
      <c r="E13" s="2" t="s">
        <v>63</v>
      </c>
      <c r="F13" s="2" t="s">
        <v>67</v>
      </c>
      <c r="G13" s="3" t="s">
        <v>25</v>
      </c>
      <c r="H13" s="3" t="s">
        <v>32</v>
      </c>
      <c r="I13" s="3" t="s">
        <v>27</v>
      </c>
      <c r="J13" s="5">
        <v>90</v>
      </c>
      <c r="K13" s="5">
        <v>96.5</v>
      </c>
      <c r="L13" s="6">
        <v>5</v>
      </c>
      <c r="M13" s="6">
        <v>4</v>
      </c>
      <c r="N13" s="6">
        <v>5</v>
      </c>
      <c r="O13" s="3">
        <f>ROUND(L13*[1]Criterios!$C$5+M13*[1]Criterios!$C$6+N13*[1]Criterios!$C$7,2)</f>
        <v>4.7</v>
      </c>
      <c r="P13" s="3" t="str">
        <f>IF(O13&gt;=[1]Criterios!$C$10,"Núcleo",IF(O13&gt;=[1]Criterios!$C$11,"Complementario","Referencia"))</f>
        <v>Núcleo</v>
      </c>
      <c r="Q13" s="3" t="str">
        <f t="shared" si="0"/>
        <v>Cumple</v>
      </c>
      <c r="R13" s="7">
        <f t="shared" si="1"/>
        <v>1</v>
      </c>
      <c r="S13" s="2"/>
      <c r="T13" s="2" t="s">
        <v>68</v>
      </c>
    </row>
    <row r="14" spans="1:20" ht="26.4" x14ac:dyDescent="0.3">
      <c r="A14" s="2" t="s">
        <v>20</v>
      </c>
      <c r="B14" s="2" t="s">
        <v>61</v>
      </c>
      <c r="C14" s="3">
        <v>568</v>
      </c>
      <c r="D14" s="4" t="s">
        <v>69</v>
      </c>
      <c r="E14" s="2" t="s">
        <v>63</v>
      </c>
      <c r="F14" s="2" t="s">
        <v>67</v>
      </c>
      <c r="G14" s="3" t="s">
        <v>25</v>
      </c>
      <c r="H14" s="3" t="s">
        <v>32</v>
      </c>
      <c r="I14" s="3" t="s">
        <v>27</v>
      </c>
      <c r="J14" s="5">
        <v>1</v>
      </c>
      <c r="K14" s="5">
        <v>110.85</v>
      </c>
      <c r="L14" s="6">
        <v>5</v>
      </c>
      <c r="M14" s="6">
        <v>4</v>
      </c>
      <c r="N14" s="6">
        <v>4</v>
      </c>
      <c r="O14" s="3">
        <f>ROUND(L14*[1]Criterios!$C$5+M14*[1]Criterios!$C$6+N14*[1]Criterios!$C$7,2)</f>
        <v>4.4000000000000004</v>
      </c>
      <c r="P14" s="3" t="str">
        <f>IF(O14&gt;=[1]Criterios!$C$10,"Núcleo",IF(O14&gt;=[1]Criterios!$C$11,"Complementario","Referencia"))</f>
        <v>Núcleo</v>
      </c>
      <c r="Q14" s="3" t="str">
        <f t="shared" si="0"/>
        <v>Cumple</v>
      </c>
      <c r="R14" s="7">
        <f t="shared" si="1"/>
        <v>1</v>
      </c>
      <c r="S14" s="2"/>
      <c r="T14" s="2" t="s">
        <v>70</v>
      </c>
    </row>
    <row r="15" spans="1:20" ht="39.6" x14ac:dyDescent="0.3">
      <c r="A15" s="2" t="s">
        <v>20</v>
      </c>
      <c r="B15" s="2" t="s">
        <v>61</v>
      </c>
      <c r="C15" s="3">
        <v>572</v>
      </c>
      <c r="D15" s="4" t="s">
        <v>71</v>
      </c>
      <c r="E15" s="2" t="s">
        <v>63</v>
      </c>
      <c r="F15" s="2" t="s">
        <v>64</v>
      </c>
      <c r="G15" s="3" t="s">
        <v>72</v>
      </c>
      <c r="H15" s="3" t="s">
        <v>32</v>
      </c>
      <c r="I15" s="3" t="s">
        <v>27</v>
      </c>
      <c r="J15" s="5">
        <v>85</v>
      </c>
      <c r="K15" s="5">
        <v>97.4</v>
      </c>
      <c r="L15" s="6">
        <v>4</v>
      </c>
      <c r="M15" s="6">
        <v>3</v>
      </c>
      <c r="N15" s="6">
        <v>3</v>
      </c>
      <c r="O15" s="3">
        <f>ROUND(L15*[1]Criterios!$C$5+M15*[1]Criterios!$C$6+N15*[1]Criterios!$C$7,2)</f>
        <v>3.4</v>
      </c>
      <c r="P15" s="3" t="str">
        <f>IF(O15&gt;=[1]Criterios!$C$10,"Núcleo",IF(O15&gt;=[1]Criterios!$C$11,"Complementario","Referencia"))</f>
        <v>Complementario</v>
      </c>
      <c r="Q15" s="3" t="str">
        <f t="shared" si="0"/>
        <v>Cumple</v>
      </c>
      <c r="R15" s="7">
        <f t="shared" si="1"/>
        <v>1</v>
      </c>
      <c r="S15" s="2"/>
      <c r="T15" s="2" t="s">
        <v>73</v>
      </c>
    </row>
    <row r="16" spans="1:20" ht="26.4" x14ac:dyDescent="0.3">
      <c r="A16" s="2" t="s">
        <v>20</v>
      </c>
      <c r="B16" s="2" t="s">
        <v>74</v>
      </c>
      <c r="C16" s="3">
        <v>585</v>
      </c>
      <c r="D16" s="4" t="s">
        <v>75</v>
      </c>
      <c r="E16" s="2" t="s">
        <v>74</v>
      </c>
      <c r="F16" s="2" t="s">
        <v>76</v>
      </c>
      <c r="G16" s="3" t="s">
        <v>25</v>
      </c>
      <c r="H16" s="3" t="s">
        <v>32</v>
      </c>
      <c r="I16" s="3" t="s">
        <v>27</v>
      </c>
      <c r="J16" s="5">
        <v>100</v>
      </c>
      <c r="K16" s="3" t="s">
        <v>38</v>
      </c>
      <c r="L16" s="6">
        <v>5</v>
      </c>
      <c r="M16" s="6">
        <v>5</v>
      </c>
      <c r="N16" s="6">
        <v>5</v>
      </c>
      <c r="O16" s="3">
        <f>ROUND(L16*[1]Criterios!$C$5+M16*[1]Criterios!$C$6+N16*[1]Criterios!$C$7,2)</f>
        <v>5</v>
      </c>
      <c r="P16" s="3" t="str">
        <f>IF(O16&gt;=[1]Criterios!$C$10,"Núcleo",IF(O16&gt;=[1]Criterios!$C$11,"Complementario","Referencia"))</f>
        <v>Núcleo</v>
      </c>
      <c r="Q16" s="3" t="str">
        <f t="shared" si="0"/>
        <v>Sin dato</v>
      </c>
      <c r="R16" s="7" t="str">
        <f t="shared" si="1"/>
        <v/>
      </c>
      <c r="S16" s="2"/>
      <c r="T16" s="2" t="s">
        <v>77</v>
      </c>
    </row>
    <row r="17" spans="1:20" ht="26.4" x14ac:dyDescent="0.3">
      <c r="A17" s="2" t="s">
        <v>20</v>
      </c>
      <c r="B17" s="2" t="s">
        <v>74</v>
      </c>
      <c r="C17" s="3">
        <v>252</v>
      </c>
      <c r="D17" s="4" t="s">
        <v>78</v>
      </c>
      <c r="E17" s="2" t="s">
        <v>74</v>
      </c>
      <c r="F17" s="2" t="s">
        <v>76</v>
      </c>
      <c r="G17" s="3" t="s">
        <v>25</v>
      </c>
      <c r="H17" s="3" t="s">
        <v>32</v>
      </c>
      <c r="I17" s="3" t="s">
        <v>27</v>
      </c>
      <c r="J17" s="5">
        <v>100</v>
      </c>
      <c r="K17" s="5">
        <v>101.68</v>
      </c>
      <c r="L17" s="6">
        <v>5</v>
      </c>
      <c r="M17" s="6">
        <v>4</v>
      </c>
      <c r="N17" s="6">
        <v>5</v>
      </c>
      <c r="O17" s="3">
        <f>ROUND(L17*[1]Criterios!$C$5+M17*[1]Criterios!$C$6+N17*[1]Criterios!$C$7,2)</f>
        <v>4.7</v>
      </c>
      <c r="P17" s="3" t="str">
        <f>IF(O17&gt;=[1]Criterios!$C$10,"Núcleo",IF(O17&gt;=[1]Criterios!$C$11,"Complementario","Referencia"))</f>
        <v>Núcleo</v>
      </c>
      <c r="Q17" s="3" t="str">
        <f t="shared" si="0"/>
        <v>Cumple</v>
      </c>
      <c r="R17" s="7">
        <f t="shared" si="1"/>
        <v>1</v>
      </c>
      <c r="S17" s="2"/>
      <c r="T17" s="2" t="s">
        <v>79</v>
      </c>
    </row>
    <row r="18" spans="1:20" ht="26.4" x14ac:dyDescent="0.3">
      <c r="A18" s="2" t="s">
        <v>20</v>
      </c>
      <c r="B18" s="2" t="s">
        <v>74</v>
      </c>
      <c r="C18" s="3">
        <v>245</v>
      </c>
      <c r="D18" s="4" t="s">
        <v>80</v>
      </c>
      <c r="E18" s="2" t="s">
        <v>74</v>
      </c>
      <c r="F18" s="2" t="s">
        <v>76</v>
      </c>
      <c r="G18" s="3" t="s">
        <v>25</v>
      </c>
      <c r="H18" s="3" t="s">
        <v>32</v>
      </c>
      <c r="I18" s="3" t="s">
        <v>27</v>
      </c>
      <c r="J18" s="5">
        <v>100</v>
      </c>
      <c r="K18" s="5">
        <v>100</v>
      </c>
      <c r="L18" s="6">
        <v>4</v>
      </c>
      <c r="M18" s="6">
        <v>4</v>
      </c>
      <c r="N18" s="6">
        <v>4</v>
      </c>
      <c r="O18" s="3">
        <f>ROUND(L18*[1]Criterios!$C$5+M18*[1]Criterios!$C$6+N18*[1]Criterios!$C$7,2)</f>
        <v>4</v>
      </c>
      <c r="P18" s="3" t="str">
        <f>IF(O18&gt;=[1]Criterios!$C$10,"Núcleo",IF(O18&gt;=[1]Criterios!$C$11,"Complementario","Referencia"))</f>
        <v>Complementario</v>
      </c>
      <c r="Q18" s="3" t="str">
        <f t="shared" si="0"/>
        <v>Cumple</v>
      </c>
      <c r="R18" s="7">
        <f t="shared" si="1"/>
        <v>1</v>
      </c>
      <c r="S18" s="2"/>
      <c r="T18" s="2" t="s">
        <v>81</v>
      </c>
    </row>
    <row r="19" spans="1:20" ht="26.4" x14ac:dyDescent="0.3">
      <c r="A19" s="2" t="s">
        <v>20</v>
      </c>
      <c r="B19" s="2" t="s">
        <v>74</v>
      </c>
      <c r="C19" s="3">
        <v>584</v>
      </c>
      <c r="D19" s="4" t="s">
        <v>82</v>
      </c>
      <c r="E19" s="2" t="s">
        <v>74</v>
      </c>
      <c r="F19" s="2" t="s">
        <v>76</v>
      </c>
      <c r="G19" s="3" t="s">
        <v>25</v>
      </c>
      <c r="H19" s="3" t="s">
        <v>32</v>
      </c>
      <c r="I19" s="3" t="s">
        <v>27</v>
      </c>
      <c r="J19" s="5">
        <v>100</v>
      </c>
      <c r="K19" s="5">
        <v>96.38</v>
      </c>
      <c r="L19" s="6">
        <v>4</v>
      </c>
      <c r="M19" s="6">
        <v>4</v>
      </c>
      <c r="N19" s="6">
        <v>4</v>
      </c>
      <c r="O19" s="3">
        <f>ROUND(L19*[1]Criterios!$C$5+M19*[1]Criterios!$C$6+N19*[1]Criterios!$C$7,2)</f>
        <v>4</v>
      </c>
      <c r="P19" s="3" t="str">
        <f>IF(O19&gt;=[1]Criterios!$C$10,"Núcleo",IF(O19&gt;=[1]Criterios!$C$11,"Complementario","Referencia"))</f>
        <v>Complementario</v>
      </c>
      <c r="Q19" s="3" t="str">
        <f t="shared" si="0"/>
        <v>No cumple</v>
      </c>
      <c r="R19" s="7">
        <f t="shared" si="1"/>
        <v>0.96379999999999999</v>
      </c>
      <c r="S19" s="2"/>
      <c r="T19" s="2" t="s">
        <v>83</v>
      </c>
    </row>
    <row r="20" spans="1:20" ht="26.4" x14ac:dyDescent="0.3">
      <c r="A20" s="2" t="s">
        <v>20</v>
      </c>
      <c r="B20" s="2" t="s">
        <v>74</v>
      </c>
      <c r="C20" s="3">
        <v>389</v>
      </c>
      <c r="D20" s="4" t="s">
        <v>84</v>
      </c>
      <c r="E20" s="2" t="s">
        <v>85</v>
      </c>
      <c r="F20" s="2" t="s">
        <v>86</v>
      </c>
      <c r="G20" s="3" t="s">
        <v>25</v>
      </c>
      <c r="H20" s="3" t="s">
        <v>32</v>
      </c>
      <c r="I20" s="3" t="s">
        <v>27</v>
      </c>
      <c r="J20" s="3"/>
      <c r="K20" s="3" t="s">
        <v>38</v>
      </c>
      <c r="L20" s="6">
        <v>4</v>
      </c>
      <c r="M20" s="6">
        <v>3</v>
      </c>
      <c r="N20" s="6">
        <v>4</v>
      </c>
      <c r="O20" s="3">
        <f>ROUND(L20*[1]Criterios!$C$5+M20*[1]Criterios!$C$6+N20*[1]Criterios!$C$7,2)</f>
        <v>3.7</v>
      </c>
      <c r="P20" s="3" t="str">
        <f>IF(O20&gt;=[1]Criterios!$C$10,"Núcleo",IF(O20&gt;=[1]Criterios!$C$11,"Complementario","Referencia"))</f>
        <v>Complementario</v>
      </c>
      <c r="Q20" s="3" t="str">
        <f t="shared" si="0"/>
        <v>Sin dato</v>
      </c>
      <c r="R20" s="7" t="str">
        <f t="shared" si="1"/>
        <v/>
      </c>
      <c r="S20" s="2"/>
      <c r="T20" s="2" t="s">
        <v>87</v>
      </c>
    </row>
    <row r="21" spans="1:20" ht="26.4" x14ac:dyDescent="0.3">
      <c r="A21" s="2" t="s">
        <v>20</v>
      </c>
      <c r="B21" s="2" t="s">
        <v>74</v>
      </c>
      <c r="C21" s="3">
        <v>581</v>
      </c>
      <c r="D21" s="4" t="s">
        <v>88</v>
      </c>
      <c r="E21" s="2" t="s">
        <v>89</v>
      </c>
      <c r="F21" s="2" t="s">
        <v>90</v>
      </c>
      <c r="G21" s="3" t="s">
        <v>25</v>
      </c>
      <c r="H21" s="3" t="s">
        <v>32</v>
      </c>
      <c r="I21" s="3" t="s">
        <v>27</v>
      </c>
      <c r="J21" s="5">
        <v>100</v>
      </c>
      <c r="K21" s="5">
        <v>126.92</v>
      </c>
      <c r="L21" s="6">
        <v>3</v>
      </c>
      <c r="M21" s="6">
        <v>3</v>
      </c>
      <c r="N21" s="6">
        <v>3</v>
      </c>
      <c r="O21" s="3">
        <f>ROUND(L21*[1]Criterios!$C$5+M21*[1]Criterios!$C$6+N21*[1]Criterios!$C$7,2)</f>
        <v>3</v>
      </c>
      <c r="P21" s="3" t="str">
        <f>IF(O21&gt;=[1]Criterios!$C$10,"Núcleo",IF(O21&gt;=[1]Criterios!$C$11,"Complementario","Referencia"))</f>
        <v>Complementario</v>
      </c>
      <c r="Q21" s="3" t="str">
        <f t="shared" si="0"/>
        <v>Cumple</v>
      </c>
      <c r="R21" s="7">
        <f t="shared" si="1"/>
        <v>1</v>
      </c>
      <c r="S21" s="2"/>
      <c r="T21" s="2" t="s">
        <v>91</v>
      </c>
    </row>
    <row r="22" spans="1:20" ht="26.4" x14ac:dyDescent="0.3">
      <c r="A22" s="2" t="s">
        <v>20</v>
      </c>
      <c r="B22" s="2" t="s">
        <v>92</v>
      </c>
      <c r="C22" s="3">
        <v>476</v>
      </c>
      <c r="D22" s="4" t="s">
        <v>93</v>
      </c>
      <c r="E22" s="2" t="s">
        <v>94</v>
      </c>
      <c r="F22" s="2" t="s">
        <v>95</v>
      </c>
      <c r="G22" s="3" t="s">
        <v>4</v>
      </c>
      <c r="H22" s="3" t="s">
        <v>32</v>
      </c>
      <c r="I22" s="3" t="s">
        <v>27</v>
      </c>
      <c r="J22" s="5">
        <v>100</v>
      </c>
      <c r="K22" s="5">
        <v>100</v>
      </c>
      <c r="L22" s="6">
        <v>5</v>
      </c>
      <c r="M22" s="6">
        <v>4</v>
      </c>
      <c r="N22" s="6">
        <v>3</v>
      </c>
      <c r="O22" s="3">
        <f>ROUND(L22*[1]Criterios!$C$5+M22*[1]Criterios!$C$6+N22*[1]Criterios!$C$7,2)</f>
        <v>4.0999999999999996</v>
      </c>
      <c r="P22" s="3" t="str">
        <f>IF(O22&gt;=[1]Criterios!$C$10,"Núcleo",IF(O22&gt;=[1]Criterios!$C$11,"Complementario","Referencia"))</f>
        <v>Complementario</v>
      </c>
      <c r="Q22" s="3" t="str">
        <f t="shared" si="0"/>
        <v>Cumple</v>
      </c>
      <c r="R22" s="7">
        <f t="shared" si="1"/>
        <v>1</v>
      </c>
      <c r="S22" s="2"/>
      <c r="T22" s="2" t="s">
        <v>96</v>
      </c>
    </row>
    <row r="23" spans="1:20" ht="26.4" x14ac:dyDescent="0.3">
      <c r="A23" s="2" t="s">
        <v>20</v>
      </c>
      <c r="B23" s="2" t="s">
        <v>92</v>
      </c>
      <c r="C23" s="3">
        <v>522</v>
      </c>
      <c r="D23" s="4" t="s">
        <v>97</v>
      </c>
      <c r="E23" s="2" t="s">
        <v>94</v>
      </c>
      <c r="F23" s="2" t="s">
        <v>98</v>
      </c>
      <c r="G23" s="3" t="s">
        <v>4</v>
      </c>
      <c r="H23" s="3" t="s">
        <v>26</v>
      </c>
      <c r="I23" s="3" t="s">
        <v>27</v>
      </c>
      <c r="J23" s="3"/>
      <c r="K23" s="5">
        <v>100</v>
      </c>
      <c r="L23" s="6">
        <v>5</v>
      </c>
      <c r="M23" s="6">
        <v>4</v>
      </c>
      <c r="N23" s="6">
        <v>3</v>
      </c>
      <c r="O23" s="3">
        <f>ROUND(L23*[1]Criterios!$C$5+M23*[1]Criterios!$C$6+N23*[1]Criterios!$C$7,2)</f>
        <v>4.0999999999999996</v>
      </c>
      <c r="P23" s="3" t="str">
        <f>IF(O23&gt;=[1]Criterios!$C$10,"Núcleo",IF(O23&gt;=[1]Criterios!$C$11,"Complementario","Referencia"))</f>
        <v>Complementario</v>
      </c>
      <c r="Q23" s="3" t="str">
        <f t="shared" si="0"/>
        <v>Sin meta</v>
      </c>
      <c r="R23" s="7" t="str">
        <f t="shared" si="1"/>
        <v/>
      </c>
      <c r="S23" s="2"/>
      <c r="T23" s="2" t="s">
        <v>99</v>
      </c>
    </row>
    <row r="24" spans="1:20" ht="39.6" x14ac:dyDescent="0.3">
      <c r="A24" s="2" t="s">
        <v>20</v>
      </c>
      <c r="B24" s="2" t="s">
        <v>100</v>
      </c>
      <c r="C24" s="3">
        <v>597</v>
      </c>
      <c r="D24" s="4" t="s">
        <v>101</v>
      </c>
      <c r="E24" s="2" t="s">
        <v>102</v>
      </c>
      <c r="F24" s="2" t="s">
        <v>103</v>
      </c>
      <c r="G24" s="3" t="s">
        <v>25</v>
      </c>
      <c r="H24" s="3" t="s">
        <v>32</v>
      </c>
      <c r="I24" s="3" t="s">
        <v>27</v>
      </c>
      <c r="J24" s="3"/>
      <c r="K24" s="5">
        <v>83.9</v>
      </c>
      <c r="L24" s="6">
        <v>5</v>
      </c>
      <c r="M24" s="6">
        <v>4</v>
      </c>
      <c r="N24" s="6">
        <v>4</v>
      </c>
      <c r="O24" s="3">
        <f>ROUND(L24*[1]Criterios!$C$5+M24*[1]Criterios!$C$6+N24*[1]Criterios!$C$7,2)</f>
        <v>4.4000000000000004</v>
      </c>
      <c r="P24" s="3" t="str">
        <f>IF(O24&gt;=[1]Criterios!$C$10,"Núcleo",IF(O24&gt;=[1]Criterios!$C$11,"Complementario","Referencia"))</f>
        <v>Núcleo</v>
      </c>
      <c r="Q24" s="3" t="str">
        <f t="shared" si="0"/>
        <v>Sin meta</v>
      </c>
      <c r="R24" s="7" t="str">
        <f t="shared" si="1"/>
        <v/>
      </c>
      <c r="S24" s="2" t="s">
        <v>104</v>
      </c>
      <c r="T24" s="2" t="s">
        <v>105</v>
      </c>
    </row>
    <row r="25" spans="1:20" ht="39.6" x14ac:dyDescent="0.3">
      <c r="A25" s="2" t="s">
        <v>20</v>
      </c>
      <c r="B25" s="2" t="s">
        <v>100</v>
      </c>
      <c r="C25" s="3">
        <v>148</v>
      </c>
      <c r="D25" s="4" t="s">
        <v>106</v>
      </c>
      <c r="E25" s="2" t="s">
        <v>107</v>
      </c>
      <c r="F25" s="2" t="s">
        <v>108</v>
      </c>
      <c r="G25" s="3" t="s">
        <v>25</v>
      </c>
      <c r="H25" s="3" t="s">
        <v>32</v>
      </c>
      <c r="I25" s="3" t="s">
        <v>27</v>
      </c>
      <c r="J25" s="5">
        <v>6</v>
      </c>
      <c r="K25" s="5">
        <v>8.17</v>
      </c>
      <c r="L25" s="6">
        <v>4</v>
      </c>
      <c r="M25" s="6">
        <v>3</v>
      </c>
      <c r="N25" s="6">
        <v>3</v>
      </c>
      <c r="O25" s="3">
        <f>ROUND(L25*[1]Criterios!$C$5+M25*[1]Criterios!$C$6+N25*[1]Criterios!$C$7,2)</f>
        <v>3.4</v>
      </c>
      <c r="P25" s="3" t="str">
        <f>IF(O25&gt;=[1]Criterios!$C$10,"Núcleo",IF(O25&gt;=[1]Criterios!$C$11,"Complementario","Referencia"))</f>
        <v>Complementario</v>
      </c>
      <c r="Q25" s="3" t="str">
        <f t="shared" si="0"/>
        <v>Cumple</v>
      </c>
      <c r="R25" s="7">
        <f t="shared" si="1"/>
        <v>1</v>
      </c>
      <c r="S25" s="2"/>
      <c r="T25" s="2" t="s">
        <v>109</v>
      </c>
    </row>
    <row r="26" spans="1:20" ht="39.6" x14ac:dyDescent="0.3">
      <c r="A26" s="2" t="s">
        <v>20</v>
      </c>
      <c r="B26" s="2" t="s">
        <v>100</v>
      </c>
      <c r="C26" s="3">
        <v>304</v>
      </c>
      <c r="D26" s="4" t="s">
        <v>110</v>
      </c>
      <c r="E26" s="2" t="s">
        <v>111</v>
      </c>
      <c r="F26" s="2" t="s">
        <v>112</v>
      </c>
      <c r="G26" s="3" t="s">
        <v>25</v>
      </c>
      <c r="H26" s="3" t="s">
        <v>32</v>
      </c>
      <c r="I26" s="3" t="s">
        <v>27</v>
      </c>
      <c r="J26" s="5">
        <v>100</v>
      </c>
      <c r="K26" s="5">
        <v>109.94</v>
      </c>
      <c r="L26" s="6">
        <v>3</v>
      </c>
      <c r="M26" s="6">
        <v>3</v>
      </c>
      <c r="N26" s="6">
        <v>3</v>
      </c>
      <c r="O26" s="3">
        <f>ROUND(L26*[1]Criterios!$C$5+M26*[1]Criterios!$C$6+N26*[1]Criterios!$C$7,2)</f>
        <v>3</v>
      </c>
      <c r="P26" s="3" t="str">
        <f>IF(O26&gt;=[1]Criterios!$C$10,"Núcleo",IF(O26&gt;=[1]Criterios!$C$11,"Complementario","Referencia"))</f>
        <v>Complementario</v>
      </c>
      <c r="Q26" s="3" t="str">
        <f t="shared" si="0"/>
        <v>Cumple</v>
      </c>
      <c r="R26" s="7">
        <f t="shared" si="1"/>
        <v>1</v>
      </c>
      <c r="S26" s="2" t="s">
        <v>104</v>
      </c>
      <c r="T26" s="2" t="s">
        <v>113</v>
      </c>
    </row>
    <row r="27" spans="1:20" ht="26.4" x14ac:dyDescent="0.3">
      <c r="A27" s="2" t="s">
        <v>20</v>
      </c>
      <c r="B27" s="2" t="s">
        <v>100</v>
      </c>
      <c r="C27" s="3">
        <v>292</v>
      </c>
      <c r="D27" s="4" t="s">
        <v>114</v>
      </c>
      <c r="E27" s="2" t="s">
        <v>115</v>
      </c>
      <c r="F27" s="2" t="s">
        <v>116</v>
      </c>
      <c r="G27" s="3" t="s">
        <v>4</v>
      </c>
      <c r="H27" s="3" t="s">
        <v>32</v>
      </c>
      <c r="I27" s="3" t="s">
        <v>27</v>
      </c>
      <c r="J27" s="5">
        <v>5</v>
      </c>
      <c r="K27" s="5">
        <v>5.2</v>
      </c>
      <c r="L27" s="6">
        <v>3</v>
      </c>
      <c r="M27" s="6">
        <v>2</v>
      </c>
      <c r="N27" s="6">
        <v>2</v>
      </c>
      <c r="O27" s="3">
        <f>ROUND(L27*[1]Criterios!$C$5+M27*[1]Criterios!$C$6+N27*[1]Criterios!$C$7,2)</f>
        <v>2.4</v>
      </c>
      <c r="P27" s="3" t="str">
        <f>IF(O27&gt;=[1]Criterios!$C$10,"Núcleo",IF(O27&gt;=[1]Criterios!$C$11,"Complementario","Referencia"))</f>
        <v>Referencia</v>
      </c>
      <c r="Q27" s="3" t="str">
        <f t="shared" si="0"/>
        <v>Cumple</v>
      </c>
      <c r="R27" s="7">
        <f t="shared" si="1"/>
        <v>1</v>
      </c>
      <c r="S27" s="2"/>
      <c r="T27" s="2" t="s">
        <v>117</v>
      </c>
    </row>
    <row r="28" spans="1:20" ht="26.4" x14ac:dyDescent="0.3">
      <c r="A28" s="2" t="s">
        <v>20</v>
      </c>
      <c r="B28" s="2" t="s">
        <v>100</v>
      </c>
      <c r="C28" s="3">
        <v>294</v>
      </c>
      <c r="D28" s="4" t="s">
        <v>118</v>
      </c>
      <c r="E28" s="2" t="s">
        <v>115</v>
      </c>
      <c r="F28" s="2" t="s">
        <v>116</v>
      </c>
      <c r="G28" s="3" t="s">
        <v>4</v>
      </c>
      <c r="H28" s="3" t="s">
        <v>32</v>
      </c>
      <c r="I28" s="3" t="s">
        <v>27</v>
      </c>
      <c r="J28" s="5">
        <v>10</v>
      </c>
      <c r="K28" s="5">
        <v>69.39</v>
      </c>
      <c r="L28" s="6">
        <v>3</v>
      </c>
      <c r="M28" s="6">
        <v>2</v>
      </c>
      <c r="N28" s="6">
        <v>2</v>
      </c>
      <c r="O28" s="3">
        <f>ROUND(L28*[1]Criterios!$C$5+M28*[1]Criterios!$C$6+N28*[1]Criterios!$C$7,2)</f>
        <v>2.4</v>
      </c>
      <c r="P28" s="3" t="str">
        <f>IF(O28&gt;=[1]Criterios!$C$10,"Núcleo",IF(O28&gt;=[1]Criterios!$C$11,"Complementario","Referencia"))</f>
        <v>Referencia</v>
      </c>
      <c r="Q28" s="3" t="str">
        <f t="shared" si="0"/>
        <v>Cumple</v>
      </c>
      <c r="R28" s="7">
        <f t="shared" si="1"/>
        <v>1</v>
      </c>
      <c r="S28" s="2"/>
      <c r="T28" s="2" t="s">
        <v>119</v>
      </c>
    </row>
    <row r="29" spans="1:20" ht="26.4" x14ac:dyDescent="0.3">
      <c r="A29" s="2" t="s">
        <v>20</v>
      </c>
      <c r="B29" s="2" t="s">
        <v>120</v>
      </c>
      <c r="C29" s="3">
        <v>542</v>
      </c>
      <c r="D29" s="4" t="s">
        <v>121</v>
      </c>
      <c r="E29" s="2" t="s">
        <v>122</v>
      </c>
      <c r="F29" s="2" t="s">
        <v>123</v>
      </c>
      <c r="G29" s="3" t="s">
        <v>25</v>
      </c>
      <c r="H29" s="3" t="s">
        <v>26</v>
      </c>
      <c r="I29" s="3" t="s">
        <v>27</v>
      </c>
      <c r="J29" s="3"/>
      <c r="K29" s="5">
        <v>81.239999999999995</v>
      </c>
      <c r="L29" s="6">
        <v>4</v>
      </c>
      <c r="M29" s="6">
        <v>5</v>
      </c>
      <c r="N29" s="6">
        <v>5</v>
      </c>
      <c r="O29" s="3">
        <f>ROUND(L29*[1]Criterios!$C$5+M29*[1]Criterios!$C$6+N29*[1]Criterios!$C$7,2)</f>
        <v>4.5999999999999996</v>
      </c>
      <c r="P29" s="3" t="str">
        <f>IF(O29&gt;=[1]Criterios!$C$10,"Núcleo",IF(O29&gt;=[1]Criterios!$C$11,"Complementario","Referencia"))</f>
        <v>Núcleo</v>
      </c>
      <c r="Q29" s="3" t="str">
        <f t="shared" si="0"/>
        <v>Sin meta</v>
      </c>
      <c r="R29" s="7" t="str">
        <f t="shared" si="1"/>
        <v/>
      </c>
      <c r="S29" s="2"/>
      <c r="T29" s="2" t="s">
        <v>124</v>
      </c>
    </row>
    <row r="30" spans="1:20" ht="26.4" x14ac:dyDescent="0.3">
      <c r="A30" s="2" t="s">
        <v>20</v>
      </c>
      <c r="B30" s="2" t="s">
        <v>120</v>
      </c>
      <c r="C30" s="3">
        <v>547</v>
      </c>
      <c r="D30" s="4" t="s">
        <v>125</v>
      </c>
      <c r="E30" s="2" t="s">
        <v>122</v>
      </c>
      <c r="F30" s="2" t="s">
        <v>123</v>
      </c>
      <c r="G30" s="3" t="s">
        <v>72</v>
      </c>
      <c r="H30" s="3" t="s">
        <v>32</v>
      </c>
      <c r="I30" s="3" t="s">
        <v>27</v>
      </c>
      <c r="J30" s="3"/>
      <c r="K30" s="3" t="s">
        <v>38</v>
      </c>
      <c r="L30" s="6">
        <v>4</v>
      </c>
      <c r="M30" s="6">
        <v>3</v>
      </c>
      <c r="N30" s="6">
        <v>3</v>
      </c>
      <c r="O30" s="3">
        <f>ROUND(L30*[1]Criterios!$C$5+M30*[1]Criterios!$C$6+N30*[1]Criterios!$C$7,2)</f>
        <v>3.4</v>
      </c>
      <c r="P30" s="3" t="str">
        <f>IF(O30&gt;=[1]Criterios!$C$10,"Núcleo",IF(O30&gt;=[1]Criterios!$C$11,"Complementario","Referencia"))</f>
        <v>Complementario</v>
      </c>
      <c r="Q30" s="3" t="str">
        <f t="shared" si="0"/>
        <v>Sin dato</v>
      </c>
      <c r="R30" s="7" t="str">
        <f t="shared" si="1"/>
        <v/>
      </c>
      <c r="S30" s="2"/>
      <c r="T30" s="2" t="s">
        <v>126</v>
      </c>
    </row>
    <row r="31" spans="1:20" ht="26.4" x14ac:dyDescent="0.3">
      <c r="A31" s="2" t="s">
        <v>20</v>
      </c>
      <c r="B31" s="2" t="s">
        <v>120</v>
      </c>
      <c r="C31" s="3">
        <v>586</v>
      </c>
      <c r="D31" s="4" t="s">
        <v>127</v>
      </c>
      <c r="E31" s="2" t="s">
        <v>128</v>
      </c>
      <c r="F31" s="2" t="s">
        <v>129</v>
      </c>
      <c r="G31" s="3" t="s">
        <v>25</v>
      </c>
      <c r="H31" s="3" t="s">
        <v>32</v>
      </c>
      <c r="I31" s="3" t="s">
        <v>27</v>
      </c>
      <c r="J31" s="3"/>
      <c r="K31" s="5">
        <v>84.29</v>
      </c>
      <c r="L31" s="6">
        <v>3</v>
      </c>
      <c r="M31" s="6">
        <v>3</v>
      </c>
      <c r="N31" s="6">
        <v>4</v>
      </c>
      <c r="O31" s="3">
        <f>ROUND(L31*[1]Criterios!$C$5+M31*[1]Criterios!$C$6+N31*[1]Criterios!$C$7,2)</f>
        <v>3.3</v>
      </c>
      <c r="P31" s="3" t="str">
        <f>IF(O31&gt;=[1]Criterios!$C$10,"Núcleo",IF(O31&gt;=[1]Criterios!$C$11,"Complementario","Referencia"))</f>
        <v>Complementario</v>
      </c>
      <c r="Q31" s="3" t="str">
        <f t="shared" si="0"/>
        <v>Sin meta</v>
      </c>
      <c r="R31" s="7" t="str">
        <f t="shared" si="1"/>
        <v/>
      </c>
      <c r="S31" s="2"/>
      <c r="T31" s="2" t="s">
        <v>130</v>
      </c>
    </row>
    <row r="32" spans="1:20" ht="26.4" x14ac:dyDescent="0.3">
      <c r="A32" s="2" t="s">
        <v>20</v>
      </c>
      <c r="B32" s="2" t="s">
        <v>120</v>
      </c>
      <c r="C32" s="3">
        <v>358</v>
      </c>
      <c r="D32" s="4" t="s">
        <v>131</v>
      </c>
      <c r="E32" s="2" t="s">
        <v>132</v>
      </c>
      <c r="F32" s="2" t="s">
        <v>133</v>
      </c>
      <c r="G32" s="3" t="s">
        <v>4</v>
      </c>
      <c r="H32" s="3" t="s">
        <v>32</v>
      </c>
      <c r="I32" s="3" t="s">
        <v>27</v>
      </c>
      <c r="J32" s="5">
        <v>100</v>
      </c>
      <c r="K32" s="5">
        <v>100</v>
      </c>
      <c r="L32" s="6">
        <v>3</v>
      </c>
      <c r="M32" s="6">
        <v>3</v>
      </c>
      <c r="N32" s="6">
        <v>3</v>
      </c>
      <c r="O32" s="3">
        <f>ROUND(L32*[1]Criterios!$C$5+M32*[1]Criterios!$C$6+N32*[1]Criterios!$C$7,2)</f>
        <v>3</v>
      </c>
      <c r="P32" s="3" t="str">
        <f>IF(O32&gt;=[1]Criterios!$C$10,"Núcleo",IF(O32&gt;=[1]Criterios!$C$11,"Complementario","Referencia"))</f>
        <v>Complementario</v>
      </c>
      <c r="Q32" s="3" t="str">
        <f t="shared" si="0"/>
        <v>Cumple</v>
      </c>
      <c r="R32" s="7">
        <f t="shared" si="1"/>
        <v>1</v>
      </c>
      <c r="S32" s="2"/>
      <c r="T32" s="2" t="s">
        <v>134</v>
      </c>
    </row>
    <row r="33" spans="1:20" ht="39.6" x14ac:dyDescent="0.3">
      <c r="A33" s="2" t="s">
        <v>20</v>
      </c>
      <c r="B33" s="2" t="s">
        <v>120</v>
      </c>
      <c r="C33" s="3">
        <v>541</v>
      </c>
      <c r="D33" s="4" t="s">
        <v>135</v>
      </c>
      <c r="E33" s="2" t="s">
        <v>122</v>
      </c>
      <c r="F33" s="2" t="s">
        <v>123</v>
      </c>
      <c r="G33" s="3" t="s">
        <v>4</v>
      </c>
      <c r="H33" s="3" t="s">
        <v>26</v>
      </c>
      <c r="I33" s="3" t="s">
        <v>27</v>
      </c>
      <c r="J33" s="5">
        <v>4</v>
      </c>
      <c r="K33" s="5">
        <v>6.99</v>
      </c>
      <c r="L33" s="6">
        <v>3</v>
      </c>
      <c r="M33" s="6">
        <v>3</v>
      </c>
      <c r="N33" s="6">
        <v>3</v>
      </c>
      <c r="O33" s="3">
        <f>ROUND(L33*[1]Criterios!$C$5+M33*[1]Criterios!$C$6+N33*[1]Criterios!$C$7,2)</f>
        <v>3</v>
      </c>
      <c r="P33" s="3" t="str">
        <f>IF(O33&gt;=[1]Criterios!$C$10,"Núcleo",IF(O33&gt;=[1]Criterios!$C$11,"Complementario","Referencia"))</f>
        <v>Complementario</v>
      </c>
      <c r="Q33" s="3" t="str">
        <f t="shared" si="0"/>
        <v>Cumple</v>
      </c>
      <c r="R33" s="7">
        <f t="shared" si="1"/>
        <v>1</v>
      </c>
      <c r="S33" s="2"/>
      <c r="T33" s="2" t="s">
        <v>136</v>
      </c>
    </row>
    <row r="34" spans="1:20" ht="39.6" x14ac:dyDescent="0.3">
      <c r="A34" s="2" t="s">
        <v>51</v>
      </c>
      <c r="B34" s="2" t="s">
        <v>137</v>
      </c>
      <c r="C34" s="3">
        <v>290</v>
      </c>
      <c r="D34" s="4" t="s">
        <v>138</v>
      </c>
      <c r="E34" s="2" t="s">
        <v>139</v>
      </c>
      <c r="F34" s="2" t="s">
        <v>140</v>
      </c>
      <c r="G34" s="3" t="s">
        <v>25</v>
      </c>
      <c r="H34" s="3" t="s">
        <v>141</v>
      </c>
      <c r="I34" s="3" t="s">
        <v>27</v>
      </c>
      <c r="J34" s="5">
        <v>90</v>
      </c>
      <c r="K34" s="3" t="s">
        <v>38</v>
      </c>
      <c r="L34" s="6">
        <v>5</v>
      </c>
      <c r="M34" s="6">
        <v>5</v>
      </c>
      <c r="N34" s="6">
        <v>4</v>
      </c>
      <c r="O34" s="3">
        <f>ROUND(L34*[1]Criterios!$C$5+M34*[1]Criterios!$C$6+N34*[1]Criterios!$C$7,2)</f>
        <v>4.7</v>
      </c>
      <c r="P34" s="3" t="str">
        <f>IF(O34&gt;=[1]Criterios!$C$10,"Núcleo",IF(O34&gt;=[1]Criterios!$C$11,"Complementario","Referencia"))</f>
        <v>Núcleo</v>
      </c>
      <c r="Q34" s="3" t="str">
        <f t="shared" si="0"/>
        <v>Sin dato</v>
      </c>
      <c r="R34" s="7" t="str">
        <f t="shared" si="1"/>
        <v/>
      </c>
      <c r="S34" s="2" t="s">
        <v>142</v>
      </c>
      <c r="T34" s="2" t="s">
        <v>143</v>
      </c>
    </row>
    <row r="35" spans="1:20" ht="26.4" x14ac:dyDescent="0.3">
      <c r="A35" s="2" t="s">
        <v>51</v>
      </c>
      <c r="B35" s="2" t="s">
        <v>137</v>
      </c>
      <c r="C35" s="3">
        <v>485</v>
      </c>
      <c r="D35" s="4" t="s">
        <v>144</v>
      </c>
      <c r="E35" s="2" t="s">
        <v>145</v>
      </c>
      <c r="F35" s="2" t="s">
        <v>140</v>
      </c>
      <c r="G35" s="3" t="s">
        <v>25</v>
      </c>
      <c r="H35" s="3" t="s">
        <v>146</v>
      </c>
      <c r="I35" s="3" t="s">
        <v>27</v>
      </c>
      <c r="J35" s="5">
        <v>80</v>
      </c>
      <c r="K35" s="3" t="s">
        <v>38</v>
      </c>
      <c r="L35" s="6">
        <v>5</v>
      </c>
      <c r="M35" s="6">
        <v>4</v>
      </c>
      <c r="N35" s="6">
        <v>4</v>
      </c>
      <c r="O35" s="3">
        <f>ROUND(L35*[1]Criterios!$C$5+M35*[1]Criterios!$C$6+N35*[1]Criterios!$C$7,2)</f>
        <v>4.4000000000000004</v>
      </c>
      <c r="P35" s="3" t="str">
        <f>IF(O35&gt;=[1]Criterios!$C$10,"Núcleo",IF(O35&gt;=[1]Criterios!$C$11,"Complementario","Referencia"))</f>
        <v>Núcleo</v>
      </c>
      <c r="Q35" s="3" t="str">
        <f t="shared" si="0"/>
        <v>Sin dato</v>
      </c>
      <c r="R35" s="7" t="str">
        <f t="shared" si="1"/>
        <v/>
      </c>
      <c r="S35" s="2"/>
      <c r="T35" s="2" t="s">
        <v>147</v>
      </c>
    </row>
    <row r="36" spans="1:20" ht="26.4" x14ac:dyDescent="0.3">
      <c r="A36" s="2" t="s">
        <v>51</v>
      </c>
      <c r="B36" s="2" t="s">
        <v>137</v>
      </c>
      <c r="C36" s="3">
        <v>488</v>
      </c>
      <c r="D36" s="4" t="s">
        <v>148</v>
      </c>
      <c r="E36" s="2" t="s">
        <v>145</v>
      </c>
      <c r="F36" s="2" t="s">
        <v>140</v>
      </c>
      <c r="G36" s="3" t="s">
        <v>4</v>
      </c>
      <c r="H36" s="3" t="s">
        <v>146</v>
      </c>
      <c r="I36" s="3" t="s">
        <v>27</v>
      </c>
      <c r="J36" s="5">
        <v>85</v>
      </c>
      <c r="K36" s="3" t="s">
        <v>38</v>
      </c>
      <c r="L36" s="6">
        <v>4</v>
      </c>
      <c r="M36" s="6">
        <v>3</v>
      </c>
      <c r="N36" s="6">
        <v>3</v>
      </c>
      <c r="O36" s="3">
        <f>ROUND(L36*[1]Criterios!$C$5+M36*[1]Criterios!$C$6+N36*[1]Criterios!$C$7,2)</f>
        <v>3.4</v>
      </c>
      <c r="P36" s="3" t="str">
        <f>IF(O36&gt;=[1]Criterios!$C$10,"Núcleo",IF(O36&gt;=[1]Criterios!$C$11,"Complementario","Referencia"))</f>
        <v>Complementario</v>
      </c>
      <c r="Q36" s="3" t="str">
        <f t="shared" si="0"/>
        <v>Sin dato</v>
      </c>
      <c r="R36" s="7" t="str">
        <f t="shared" si="1"/>
        <v/>
      </c>
      <c r="S36" s="2"/>
      <c r="T36" s="2" t="s">
        <v>149</v>
      </c>
    </row>
    <row r="37" spans="1:20" ht="26.4" x14ac:dyDescent="0.3">
      <c r="A37" s="2" t="s">
        <v>51</v>
      </c>
      <c r="B37" s="2" t="s">
        <v>137</v>
      </c>
      <c r="C37" s="3">
        <v>122</v>
      </c>
      <c r="D37" s="4" t="s">
        <v>150</v>
      </c>
      <c r="E37" s="2" t="s">
        <v>145</v>
      </c>
      <c r="F37" s="2" t="s">
        <v>140</v>
      </c>
      <c r="G37" s="3" t="s">
        <v>4</v>
      </c>
      <c r="H37" s="3" t="s">
        <v>146</v>
      </c>
      <c r="I37" s="3" t="s">
        <v>27</v>
      </c>
      <c r="J37" s="5">
        <v>80</v>
      </c>
      <c r="K37" s="3" t="s">
        <v>38</v>
      </c>
      <c r="L37" s="6">
        <v>3</v>
      </c>
      <c r="M37" s="6">
        <v>3</v>
      </c>
      <c r="N37" s="6">
        <v>2</v>
      </c>
      <c r="O37" s="3">
        <f>ROUND(L37*[1]Criterios!$C$5+M37*[1]Criterios!$C$6+N37*[1]Criterios!$C$7,2)</f>
        <v>2.7</v>
      </c>
      <c r="P37" s="3" t="str">
        <f>IF(O37&gt;=[1]Criterios!$C$10,"Núcleo",IF(O37&gt;=[1]Criterios!$C$11,"Complementario","Referencia"))</f>
        <v>Referencia</v>
      </c>
      <c r="Q37" s="3" t="str">
        <f t="shared" si="0"/>
        <v>Sin dato</v>
      </c>
      <c r="R37" s="7" t="str">
        <f t="shared" si="1"/>
        <v/>
      </c>
      <c r="S37" s="2"/>
      <c r="T37" s="2" t="s">
        <v>151</v>
      </c>
    </row>
    <row r="38" spans="1:20" ht="26.4" x14ac:dyDescent="0.3">
      <c r="A38" s="2" t="s">
        <v>51</v>
      </c>
      <c r="B38" s="2" t="s">
        <v>152</v>
      </c>
      <c r="C38" s="3">
        <v>510</v>
      </c>
      <c r="D38" s="4" t="s">
        <v>153</v>
      </c>
      <c r="E38" s="2" t="s">
        <v>154</v>
      </c>
      <c r="F38" s="2" t="s">
        <v>155</v>
      </c>
      <c r="G38" s="3" t="s">
        <v>25</v>
      </c>
      <c r="H38" s="3" t="s">
        <v>156</v>
      </c>
      <c r="I38" s="3" t="s">
        <v>27</v>
      </c>
      <c r="J38" s="3"/>
      <c r="K38" s="3" t="s">
        <v>38</v>
      </c>
      <c r="L38" s="6">
        <v>5</v>
      </c>
      <c r="M38" s="6">
        <v>4</v>
      </c>
      <c r="N38" s="6">
        <v>5</v>
      </c>
      <c r="O38" s="3">
        <f>ROUND(L38*[1]Criterios!$C$5+M38*[1]Criterios!$C$6+N38*[1]Criterios!$C$7,2)</f>
        <v>4.7</v>
      </c>
      <c r="P38" s="3" t="str">
        <f>IF(O38&gt;=[1]Criterios!$C$10,"Núcleo",IF(O38&gt;=[1]Criterios!$C$11,"Complementario","Referencia"))</f>
        <v>Núcleo</v>
      </c>
      <c r="Q38" s="3" t="str">
        <f t="shared" si="0"/>
        <v>Sin dato</v>
      </c>
      <c r="R38" s="7" t="str">
        <f t="shared" si="1"/>
        <v/>
      </c>
      <c r="S38" s="2"/>
      <c r="T38" s="2" t="s">
        <v>157</v>
      </c>
    </row>
    <row r="39" spans="1:20" ht="26.4" x14ac:dyDescent="0.3">
      <c r="A39" s="2" t="s">
        <v>51</v>
      </c>
      <c r="B39" s="2" t="s">
        <v>152</v>
      </c>
      <c r="C39" s="3">
        <v>566</v>
      </c>
      <c r="D39" s="4" t="s">
        <v>158</v>
      </c>
      <c r="E39" s="2" t="s">
        <v>154</v>
      </c>
      <c r="F39" s="2" t="s">
        <v>155</v>
      </c>
      <c r="G39" s="3" t="s">
        <v>25</v>
      </c>
      <c r="H39" s="3" t="s">
        <v>26</v>
      </c>
      <c r="I39" s="3" t="s">
        <v>27</v>
      </c>
      <c r="J39" s="5">
        <v>80</v>
      </c>
      <c r="K39" s="3" t="s">
        <v>38</v>
      </c>
      <c r="L39" s="6">
        <v>5</v>
      </c>
      <c r="M39" s="6">
        <v>5</v>
      </c>
      <c r="N39" s="6">
        <v>4</v>
      </c>
      <c r="O39" s="3">
        <f>ROUND(L39*[1]Criterios!$C$5+M39*[1]Criterios!$C$6+N39*[1]Criterios!$C$7,2)</f>
        <v>4.7</v>
      </c>
      <c r="P39" s="3" t="str">
        <f>IF(O39&gt;=[1]Criterios!$C$10,"Núcleo",IF(O39&gt;=[1]Criterios!$C$11,"Complementario","Referencia"))</f>
        <v>Núcleo</v>
      </c>
      <c r="Q39" s="3" t="str">
        <f t="shared" si="0"/>
        <v>Sin dato</v>
      </c>
      <c r="R39" s="7" t="str">
        <f t="shared" si="1"/>
        <v/>
      </c>
      <c r="S39" s="2"/>
      <c r="T39" s="2" t="s">
        <v>159</v>
      </c>
    </row>
    <row r="40" spans="1:20" ht="26.4" x14ac:dyDescent="0.3">
      <c r="A40" s="2" t="s">
        <v>51</v>
      </c>
      <c r="B40" s="2" t="s">
        <v>152</v>
      </c>
      <c r="C40" s="3">
        <v>511</v>
      </c>
      <c r="D40" s="4" t="s">
        <v>160</v>
      </c>
      <c r="E40" s="2" t="s">
        <v>154</v>
      </c>
      <c r="F40" s="2" t="s">
        <v>155</v>
      </c>
      <c r="G40" s="3" t="s">
        <v>25</v>
      </c>
      <c r="H40" s="3" t="s">
        <v>156</v>
      </c>
      <c r="I40" s="3" t="s">
        <v>27</v>
      </c>
      <c r="J40" s="5">
        <v>83</v>
      </c>
      <c r="K40" s="3" t="s">
        <v>38</v>
      </c>
      <c r="L40" s="6">
        <v>5</v>
      </c>
      <c r="M40" s="6">
        <v>4</v>
      </c>
      <c r="N40" s="6">
        <v>4</v>
      </c>
      <c r="O40" s="3">
        <f>ROUND(L40*[1]Criterios!$C$5+M40*[1]Criterios!$C$6+N40*[1]Criterios!$C$7,2)</f>
        <v>4.4000000000000004</v>
      </c>
      <c r="P40" s="3" t="str">
        <f>IF(O40&gt;=[1]Criterios!$C$10,"Núcleo",IF(O40&gt;=[1]Criterios!$C$11,"Complementario","Referencia"))</f>
        <v>Núcleo</v>
      </c>
      <c r="Q40" s="3" t="str">
        <f t="shared" si="0"/>
        <v>Sin dato</v>
      </c>
      <c r="R40" s="7" t="str">
        <f t="shared" si="1"/>
        <v/>
      </c>
      <c r="S40" s="2"/>
      <c r="T40" s="2" t="s">
        <v>161</v>
      </c>
    </row>
    <row r="41" spans="1:20" ht="26.4" x14ac:dyDescent="0.3">
      <c r="A41" s="2" t="s">
        <v>51</v>
      </c>
      <c r="B41" s="2" t="s">
        <v>152</v>
      </c>
      <c r="C41" s="3">
        <v>513</v>
      </c>
      <c r="D41" s="4" t="s">
        <v>162</v>
      </c>
      <c r="E41" s="2" t="s">
        <v>154</v>
      </c>
      <c r="F41" s="2" t="s">
        <v>155</v>
      </c>
      <c r="G41" s="3" t="s">
        <v>4</v>
      </c>
      <c r="H41" s="3" t="s">
        <v>156</v>
      </c>
      <c r="I41" s="3" t="s">
        <v>27</v>
      </c>
      <c r="J41" s="3"/>
      <c r="K41" s="3" t="s">
        <v>38</v>
      </c>
      <c r="L41" s="6">
        <v>4</v>
      </c>
      <c r="M41" s="6">
        <v>3</v>
      </c>
      <c r="N41" s="6">
        <v>3</v>
      </c>
      <c r="O41" s="3">
        <f>ROUND(L41*[1]Criterios!$C$5+M41*[1]Criterios!$C$6+N41*[1]Criterios!$C$7,2)</f>
        <v>3.4</v>
      </c>
      <c r="P41" s="3" t="str">
        <f>IF(O41&gt;=[1]Criterios!$C$10,"Núcleo",IF(O41&gt;=[1]Criterios!$C$11,"Complementario","Referencia"))</f>
        <v>Complementario</v>
      </c>
      <c r="Q41" s="3" t="str">
        <f t="shared" si="0"/>
        <v>Sin dato</v>
      </c>
      <c r="R41" s="7" t="str">
        <f t="shared" si="1"/>
        <v/>
      </c>
      <c r="S41" s="2"/>
      <c r="T41" s="2" t="s">
        <v>163</v>
      </c>
    </row>
    <row r="42" spans="1:20" ht="26.4" x14ac:dyDescent="0.3">
      <c r="A42" s="2" t="s">
        <v>51</v>
      </c>
      <c r="B42" s="2" t="s">
        <v>152</v>
      </c>
      <c r="C42" s="3">
        <v>514</v>
      </c>
      <c r="D42" s="4" t="s">
        <v>164</v>
      </c>
      <c r="E42" s="2" t="s">
        <v>154</v>
      </c>
      <c r="F42" s="2" t="s">
        <v>155</v>
      </c>
      <c r="G42" s="3" t="s">
        <v>4</v>
      </c>
      <c r="H42" s="3" t="s">
        <v>156</v>
      </c>
      <c r="I42" s="3" t="s">
        <v>27</v>
      </c>
      <c r="J42" s="5">
        <v>70</v>
      </c>
      <c r="K42" s="3" t="s">
        <v>38</v>
      </c>
      <c r="L42" s="6">
        <v>4</v>
      </c>
      <c r="M42" s="6">
        <v>3</v>
      </c>
      <c r="N42" s="6">
        <v>3</v>
      </c>
      <c r="O42" s="3">
        <f>ROUND(L42*[1]Criterios!$C$5+M42*[1]Criterios!$C$6+N42*[1]Criterios!$C$7,2)</f>
        <v>3.4</v>
      </c>
      <c r="P42" s="3" t="str">
        <f>IF(O42&gt;=[1]Criterios!$C$10,"Núcleo",IF(O42&gt;=[1]Criterios!$C$11,"Complementario","Referencia"))</f>
        <v>Complementario</v>
      </c>
      <c r="Q42" s="3" t="str">
        <f t="shared" si="0"/>
        <v>Sin dato</v>
      </c>
      <c r="R42" s="7" t="str">
        <f t="shared" si="1"/>
        <v/>
      </c>
      <c r="S42" s="2"/>
      <c r="T42" s="2" t="s">
        <v>165</v>
      </c>
    </row>
    <row r="43" spans="1:20" ht="26.4" x14ac:dyDescent="0.3">
      <c r="A43" s="2" t="s">
        <v>51</v>
      </c>
      <c r="B43" s="2" t="s">
        <v>152</v>
      </c>
      <c r="C43" s="3">
        <v>606</v>
      </c>
      <c r="D43" s="4" t="s">
        <v>166</v>
      </c>
      <c r="E43" s="2" t="s">
        <v>167</v>
      </c>
      <c r="F43" s="2" t="s">
        <v>168</v>
      </c>
      <c r="G43" s="3" t="s">
        <v>25</v>
      </c>
      <c r="H43" s="3" t="s">
        <v>156</v>
      </c>
      <c r="I43" s="3" t="s">
        <v>27</v>
      </c>
      <c r="J43" s="3"/>
      <c r="K43" s="3" t="s">
        <v>38</v>
      </c>
      <c r="L43" s="6">
        <v>3</v>
      </c>
      <c r="M43" s="6">
        <v>3</v>
      </c>
      <c r="N43" s="6">
        <v>3</v>
      </c>
      <c r="O43" s="3">
        <f>ROUND(L43*[1]Criterios!$C$5+M43*[1]Criterios!$C$6+N43*[1]Criterios!$C$7,2)</f>
        <v>3</v>
      </c>
      <c r="P43" s="3" t="str">
        <f>IF(O43&gt;=[1]Criterios!$C$10,"Núcleo",IF(O43&gt;=[1]Criterios!$C$11,"Complementario","Referencia"))</f>
        <v>Complementario</v>
      </c>
      <c r="Q43" s="3" t="str">
        <f t="shared" si="0"/>
        <v>Sin dato</v>
      </c>
      <c r="R43" s="7" t="str">
        <f t="shared" si="1"/>
        <v/>
      </c>
      <c r="S43" s="2"/>
      <c r="T43" s="2" t="s">
        <v>169</v>
      </c>
    </row>
    <row r="44" spans="1:20" ht="39.6" x14ac:dyDescent="0.3">
      <c r="A44" s="2" t="s">
        <v>51</v>
      </c>
      <c r="B44" s="2" t="s">
        <v>170</v>
      </c>
      <c r="C44" s="3">
        <v>657</v>
      </c>
      <c r="D44" s="4" t="s">
        <v>171</v>
      </c>
      <c r="E44" s="2" t="s">
        <v>172</v>
      </c>
      <c r="F44" s="2" t="s">
        <v>173</v>
      </c>
      <c r="G44" s="3" t="s">
        <v>25</v>
      </c>
      <c r="H44" s="3" t="s">
        <v>32</v>
      </c>
      <c r="I44" s="3" t="s">
        <v>27</v>
      </c>
      <c r="J44" s="5">
        <v>70</v>
      </c>
      <c r="K44" s="3" t="s">
        <v>38</v>
      </c>
      <c r="L44" s="6">
        <v>4</v>
      </c>
      <c r="M44" s="6">
        <v>4</v>
      </c>
      <c r="N44" s="6">
        <v>5</v>
      </c>
      <c r="O44" s="3">
        <f>ROUND(L44*[1]Criterios!$C$5+M44*[1]Criterios!$C$6+N44*[1]Criterios!$C$7,2)</f>
        <v>4.3</v>
      </c>
      <c r="P44" s="3" t="str">
        <f>IF(O44&gt;=[1]Criterios!$C$10,"Núcleo",IF(O44&gt;=[1]Criterios!$C$11,"Complementario","Referencia"))</f>
        <v>Núcleo</v>
      </c>
      <c r="Q44" s="3" t="str">
        <f t="shared" si="0"/>
        <v>Sin dato</v>
      </c>
      <c r="R44" s="7" t="str">
        <f t="shared" si="1"/>
        <v/>
      </c>
      <c r="S44" s="2" t="s">
        <v>48</v>
      </c>
      <c r="T44" s="2" t="s">
        <v>174</v>
      </c>
    </row>
    <row r="45" spans="1:20" ht="26.4" x14ac:dyDescent="0.3">
      <c r="A45" s="2" t="s">
        <v>51</v>
      </c>
      <c r="B45" s="2" t="s">
        <v>170</v>
      </c>
      <c r="C45" s="3">
        <v>618</v>
      </c>
      <c r="D45" s="4" t="s">
        <v>175</v>
      </c>
      <c r="E45" s="2" t="s">
        <v>176</v>
      </c>
      <c r="F45" s="2" t="s">
        <v>177</v>
      </c>
      <c r="G45" s="3" t="s">
        <v>25</v>
      </c>
      <c r="H45" s="3" t="s">
        <v>32</v>
      </c>
      <c r="I45" s="3" t="s">
        <v>41</v>
      </c>
      <c r="J45" s="5">
        <v>162</v>
      </c>
      <c r="K45" s="5">
        <v>155</v>
      </c>
      <c r="L45" s="6">
        <v>3</v>
      </c>
      <c r="M45" s="6">
        <v>2</v>
      </c>
      <c r="N45" s="6">
        <v>3</v>
      </c>
      <c r="O45" s="3">
        <f>ROUND(L45*[1]Criterios!$C$5+M45*[1]Criterios!$C$6+N45*[1]Criterios!$C$7,2)</f>
        <v>2.7</v>
      </c>
      <c r="P45" s="3" t="str">
        <f>IF(O45&gt;=[1]Criterios!$C$10,"Núcleo",IF(O45&gt;=[1]Criterios!$C$11,"Complementario","Referencia"))</f>
        <v>Referencia</v>
      </c>
      <c r="Q45" s="3" t="str">
        <f t="shared" si="0"/>
        <v>Cumple</v>
      </c>
      <c r="R45" s="7">
        <f t="shared" si="1"/>
        <v>1</v>
      </c>
      <c r="S45" s="2"/>
      <c r="T45" s="2" t="s">
        <v>178</v>
      </c>
    </row>
    <row r="46" spans="1:20" ht="39.6" x14ac:dyDescent="0.3">
      <c r="A46" s="2" t="s">
        <v>51</v>
      </c>
      <c r="B46" s="2" t="s">
        <v>179</v>
      </c>
      <c r="C46" s="3">
        <v>607</v>
      </c>
      <c r="D46" s="4" t="s">
        <v>180</v>
      </c>
      <c r="E46" s="2" t="s">
        <v>181</v>
      </c>
      <c r="F46" s="2" t="s">
        <v>182</v>
      </c>
      <c r="G46" s="3" t="s">
        <v>25</v>
      </c>
      <c r="H46" s="3" t="s">
        <v>32</v>
      </c>
      <c r="I46" s="3" t="s">
        <v>27</v>
      </c>
      <c r="J46" s="5">
        <v>90</v>
      </c>
      <c r="K46" s="5">
        <v>80</v>
      </c>
      <c r="L46" s="6">
        <v>5</v>
      </c>
      <c r="M46" s="6">
        <v>5</v>
      </c>
      <c r="N46" s="6">
        <v>4</v>
      </c>
      <c r="O46" s="3">
        <f>ROUND(L46*[1]Criterios!$C$5+M46*[1]Criterios!$C$6+N46*[1]Criterios!$C$7,2)</f>
        <v>4.7</v>
      </c>
      <c r="P46" s="3" t="str">
        <f>IF(O46&gt;=[1]Criterios!$C$10,"Núcleo",IF(O46&gt;=[1]Criterios!$C$11,"Complementario","Referencia"))</f>
        <v>Núcleo</v>
      </c>
      <c r="Q46" s="3" t="str">
        <f t="shared" si="0"/>
        <v>No cumple</v>
      </c>
      <c r="R46" s="7">
        <f t="shared" si="1"/>
        <v>0.88888888888888884</v>
      </c>
      <c r="S46" s="2" t="s">
        <v>142</v>
      </c>
      <c r="T46" s="2" t="s">
        <v>183</v>
      </c>
    </row>
    <row r="47" spans="1:20" ht="39.6" x14ac:dyDescent="0.3">
      <c r="A47" s="2" t="s">
        <v>51</v>
      </c>
      <c r="B47" s="2" t="s">
        <v>179</v>
      </c>
      <c r="C47" s="3">
        <v>306</v>
      </c>
      <c r="D47" s="4" t="s">
        <v>184</v>
      </c>
      <c r="E47" s="2" t="s">
        <v>181</v>
      </c>
      <c r="F47" s="2" t="s">
        <v>182</v>
      </c>
      <c r="G47" s="3" t="s">
        <v>25</v>
      </c>
      <c r="H47" s="3" t="s">
        <v>156</v>
      </c>
      <c r="I47" s="3" t="s">
        <v>27</v>
      </c>
      <c r="J47" s="5">
        <v>100</v>
      </c>
      <c r="K47" s="3" t="s">
        <v>38</v>
      </c>
      <c r="L47" s="6">
        <v>4</v>
      </c>
      <c r="M47" s="6">
        <v>4</v>
      </c>
      <c r="N47" s="6">
        <v>4</v>
      </c>
      <c r="O47" s="3">
        <f>ROUND(L47*[1]Criterios!$C$5+M47*[1]Criterios!$C$6+N47*[1]Criterios!$C$7,2)</f>
        <v>4</v>
      </c>
      <c r="P47" s="3" t="str">
        <f>IF(O47&gt;=[1]Criterios!$C$10,"Núcleo",IF(O47&gt;=[1]Criterios!$C$11,"Complementario","Referencia"))</f>
        <v>Complementario</v>
      </c>
      <c r="Q47" s="3" t="str">
        <f t="shared" si="0"/>
        <v>Sin dato</v>
      </c>
      <c r="R47" s="7" t="str">
        <f t="shared" si="1"/>
        <v/>
      </c>
      <c r="S47" s="2"/>
      <c r="T47" s="2" t="s">
        <v>185</v>
      </c>
    </row>
    <row r="48" spans="1:20" ht="26.4" x14ac:dyDescent="0.3">
      <c r="A48" s="2" t="s">
        <v>51</v>
      </c>
      <c r="B48" s="2" t="s">
        <v>179</v>
      </c>
      <c r="C48" s="3">
        <v>518</v>
      </c>
      <c r="D48" s="4" t="s">
        <v>186</v>
      </c>
      <c r="E48" s="2" t="s">
        <v>187</v>
      </c>
      <c r="F48" s="2" t="s">
        <v>188</v>
      </c>
      <c r="G48" s="3" t="s">
        <v>4</v>
      </c>
      <c r="H48" s="3" t="s">
        <v>156</v>
      </c>
      <c r="I48" s="3" t="s">
        <v>27</v>
      </c>
      <c r="J48" s="5">
        <v>100</v>
      </c>
      <c r="K48" s="3" t="s">
        <v>38</v>
      </c>
      <c r="L48" s="6">
        <v>4</v>
      </c>
      <c r="M48" s="6">
        <v>4</v>
      </c>
      <c r="N48" s="6">
        <v>3</v>
      </c>
      <c r="O48" s="3">
        <f>ROUND(L48*[1]Criterios!$C$5+M48*[1]Criterios!$C$6+N48*[1]Criterios!$C$7,2)</f>
        <v>3.7</v>
      </c>
      <c r="P48" s="3" t="str">
        <f>IF(O48&gt;=[1]Criterios!$C$10,"Núcleo",IF(O48&gt;=[1]Criterios!$C$11,"Complementario","Referencia"))</f>
        <v>Complementario</v>
      </c>
      <c r="Q48" s="3" t="str">
        <f t="shared" si="0"/>
        <v>Sin dato</v>
      </c>
      <c r="R48" s="7" t="str">
        <f t="shared" si="1"/>
        <v/>
      </c>
      <c r="S48" s="2"/>
      <c r="T48" s="2" t="s">
        <v>189</v>
      </c>
    </row>
    <row r="49" spans="1:20" ht="26.4" x14ac:dyDescent="0.3">
      <c r="A49" s="2" t="s">
        <v>51</v>
      </c>
      <c r="B49" s="2" t="s">
        <v>179</v>
      </c>
      <c r="C49" s="3">
        <v>638</v>
      </c>
      <c r="D49" s="4" t="s">
        <v>190</v>
      </c>
      <c r="E49" s="2" t="s">
        <v>191</v>
      </c>
      <c r="F49" s="2" t="s">
        <v>192</v>
      </c>
      <c r="G49" s="3" t="s">
        <v>25</v>
      </c>
      <c r="H49" s="3" t="s">
        <v>26</v>
      </c>
      <c r="I49" s="3" t="s">
        <v>27</v>
      </c>
      <c r="J49" s="3"/>
      <c r="K49" s="3" t="s">
        <v>38</v>
      </c>
      <c r="L49" s="6">
        <v>4</v>
      </c>
      <c r="M49" s="6">
        <v>4</v>
      </c>
      <c r="N49" s="6">
        <v>3</v>
      </c>
      <c r="O49" s="3">
        <f>ROUND(L49*[1]Criterios!$C$5+M49*[1]Criterios!$C$6+N49*[1]Criterios!$C$7,2)</f>
        <v>3.7</v>
      </c>
      <c r="P49" s="3" t="str">
        <f>IF(O49&gt;=[1]Criterios!$C$10,"Núcleo",IF(O49&gt;=[1]Criterios!$C$11,"Complementario","Referencia"))</f>
        <v>Complementario</v>
      </c>
      <c r="Q49" s="3" t="str">
        <f t="shared" si="0"/>
        <v>Sin dato</v>
      </c>
      <c r="R49" s="7" t="str">
        <f t="shared" si="1"/>
        <v/>
      </c>
      <c r="S49" s="2"/>
      <c r="T49" s="2" t="s">
        <v>193</v>
      </c>
    </row>
    <row r="50" spans="1:20" ht="26.4" x14ac:dyDescent="0.3">
      <c r="A50" s="2" t="s">
        <v>51</v>
      </c>
      <c r="B50" s="2" t="s">
        <v>179</v>
      </c>
      <c r="C50" s="3">
        <v>608</v>
      </c>
      <c r="D50" s="4" t="s">
        <v>194</v>
      </c>
      <c r="E50" s="2" t="s">
        <v>181</v>
      </c>
      <c r="F50" s="2" t="s">
        <v>182</v>
      </c>
      <c r="G50" s="3" t="s">
        <v>4</v>
      </c>
      <c r="H50" s="3" t="s">
        <v>156</v>
      </c>
      <c r="I50" s="3" t="s">
        <v>27</v>
      </c>
      <c r="J50" s="5">
        <v>90</v>
      </c>
      <c r="K50" s="3" t="s">
        <v>38</v>
      </c>
      <c r="L50" s="6">
        <v>4</v>
      </c>
      <c r="M50" s="6">
        <v>3</v>
      </c>
      <c r="N50" s="6">
        <v>3</v>
      </c>
      <c r="O50" s="3">
        <f>ROUND(L50*[1]Criterios!$C$5+M50*[1]Criterios!$C$6+N50*[1]Criterios!$C$7,2)</f>
        <v>3.4</v>
      </c>
      <c r="P50" s="3" t="str">
        <f>IF(O50&gt;=[1]Criterios!$C$10,"Núcleo",IF(O50&gt;=[1]Criterios!$C$11,"Complementario","Referencia"))</f>
        <v>Complementario</v>
      </c>
      <c r="Q50" s="3" t="str">
        <f t="shared" si="0"/>
        <v>Sin dato</v>
      </c>
      <c r="R50" s="7" t="str">
        <f t="shared" si="1"/>
        <v/>
      </c>
      <c r="S50" s="2"/>
      <c r="T50" s="2" t="s">
        <v>195</v>
      </c>
    </row>
    <row r="51" spans="1:20" ht="26.4" x14ac:dyDescent="0.3">
      <c r="A51" s="2" t="s">
        <v>51</v>
      </c>
      <c r="B51" s="2" t="s">
        <v>179</v>
      </c>
      <c r="C51" s="3">
        <v>251</v>
      </c>
      <c r="D51" s="4" t="s">
        <v>196</v>
      </c>
      <c r="E51" s="2" t="s">
        <v>181</v>
      </c>
      <c r="F51" s="2" t="s">
        <v>182</v>
      </c>
      <c r="G51" s="3" t="s">
        <v>4</v>
      </c>
      <c r="H51" s="3" t="s">
        <v>156</v>
      </c>
      <c r="I51" s="3" t="s">
        <v>27</v>
      </c>
      <c r="J51" s="5">
        <v>100</v>
      </c>
      <c r="K51" s="5">
        <v>57.14</v>
      </c>
      <c r="L51" s="6">
        <v>4</v>
      </c>
      <c r="M51" s="6">
        <v>3</v>
      </c>
      <c r="N51" s="6">
        <v>2</v>
      </c>
      <c r="O51" s="3">
        <f>ROUND(L51*[1]Criterios!$C$5+M51*[1]Criterios!$C$6+N51*[1]Criterios!$C$7,2)</f>
        <v>3.1</v>
      </c>
      <c r="P51" s="3" t="str">
        <f>IF(O51&gt;=[1]Criterios!$C$10,"Núcleo",IF(O51&gt;=[1]Criterios!$C$11,"Complementario","Referencia"))</f>
        <v>Complementario</v>
      </c>
      <c r="Q51" s="3" t="str">
        <f t="shared" si="0"/>
        <v>No cumple</v>
      </c>
      <c r="R51" s="7">
        <f t="shared" si="1"/>
        <v>0.57140000000000002</v>
      </c>
      <c r="S51" s="2"/>
      <c r="T51" s="2" t="s">
        <v>197</v>
      </c>
    </row>
    <row r="52" spans="1:20" ht="39.6" x14ac:dyDescent="0.3">
      <c r="A52" s="2" t="s">
        <v>51</v>
      </c>
      <c r="B52" s="2" t="s">
        <v>198</v>
      </c>
      <c r="C52" s="3">
        <v>275</v>
      </c>
      <c r="D52" s="4" t="s">
        <v>199</v>
      </c>
      <c r="E52" s="2" t="s">
        <v>200</v>
      </c>
      <c r="F52" s="2" t="s">
        <v>64</v>
      </c>
      <c r="G52" s="3" t="s">
        <v>25</v>
      </c>
      <c r="H52" s="3" t="s">
        <v>32</v>
      </c>
      <c r="I52" s="3" t="s">
        <v>27</v>
      </c>
      <c r="J52" s="5">
        <v>85</v>
      </c>
      <c r="K52" s="5">
        <v>94.43</v>
      </c>
      <c r="L52" s="6">
        <v>5</v>
      </c>
      <c r="M52" s="6">
        <v>5</v>
      </c>
      <c r="N52" s="6">
        <v>5</v>
      </c>
      <c r="O52" s="3">
        <f>ROUND(L52*[1]Criterios!$C$5+M52*[1]Criterios!$C$6+N52*[1]Criterios!$C$7,2)</f>
        <v>5</v>
      </c>
      <c r="P52" s="3" t="str">
        <f>IF(O52&gt;=[1]Criterios!$C$10,"Núcleo",IF(O52&gt;=[1]Criterios!$C$11,"Complementario","Referencia"))</f>
        <v>Núcleo</v>
      </c>
      <c r="Q52" s="3" t="str">
        <f t="shared" si="0"/>
        <v>Cumple</v>
      </c>
      <c r="R52" s="7">
        <f t="shared" si="1"/>
        <v>1</v>
      </c>
      <c r="S52" s="2" t="s">
        <v>20</v>
      </c>
      <c r="T52" s="2" t="s">
        <v>201</v>
      </c>
    </row>
    <row r="53" spans="1:20" ht="39.6" x14ac:dyDescent="0.3">
      <c r="A53" s="2" t="s">
        <v>51</v>
      </c>
      <c r="B53" s="2" t="s">
        <v>198</v>
      </c>
      <c r="C53" s="3">
        <v>466</v>
      </c>
      <c r="D53" s="4" t="s">
        <v>202</v>
      </c>
      <c r="E53" s="2" t="s">
        <v>200</v>
      </c>
      <c r="F53" s="2" t="s">
        <v>64</v>
      </c>
      <c r="G53" s="3" t="s">
        <v>25</v>
      </c>
      <c r="H53" s="3" t="s">
        <v>32</v>
      </c>
      <c r="I53" s="3" t="s">
        <v>27</v>
      </c>
      <c r="J53" s="5">
        <v>100</v>
      </c>
      <c r="K53" s="5">
        <v>80.33</v>
      </c>
      <c r="L53" s="6">
        <v>5</v>
      </c>
      <c r="M53" s="6">
        <v>5</v>
      </c>
      <c r="N53" s="6">
        <v>5</v>
      </c>
      <c r="O53" s="3">
        <f>ROUND(L53*[1]Criterios!$C$5+M53*[1]Criterios!$C$6+N53*[1]Criterios!$C$7,2)</f>
        <v>5</v>
      </c>
      <c r="P53" s="3" t="str">
        <f>IF(O53&gt;=[1]Criterios!$C$10,"Núcleo",IF(O53&gt;=[1]Criterios!$C$11,"Complementario","Referencia"))</f>
        <v>Núcleo</v>
      </c>
      <c r="Q53" s="3" t="str">
        <f t="shared" si="0"/>
        <v>No cumple</v>
      </c>
      <c r="R53" s="7">
        <f t="shared" si="1"/>
        <v>0.80330000000000001</v>
      </c>
      <c r="S53" s="2" t="s">
        <v>20</v>
      </c>
      <c r="T53" s="2" t="s">
        <v>203</v>
      </c>
    </row>
    <row r="54" spans="1:20" ht="26.4" x14ac:dyDescent="0.3">
      <c r="A54" s="2" t="s">
        <v>51</v>
      </c>
      <c r="B54" s="2" t="s">
        <v>198</v>
      </c>
      <c r="C54" s="3">
        <v>468</v>
      </c>
      <c r="D54" s="4" t="s">
        <v>204</v>
      </c>
      <c r="E54" s="2" t="s">
        <v>200</v>
      </c>
      <c r="F54" s="2" t="s">
        <v>64</v>
      </c>
      <c r="G54" s="3" t="s">
        <v>25</v>
      </c>
      <c r="H54" s="3" t="s">
        <v>32</v>
      </c>
      <c r="I54" s="3" t="s">
        <v>41</v>
      </c>
      <c r="J54" s="5">
        <v>2.2999999999999998</v>
      </c>
      <c r="K54" s="5">
        <v>2</v>
      </c>
      <c r="L54" s="6">
        <v>5</v>
      </c>
      <c r="M54" s="6">
        <v>4</v>
      </c>
      <c r="N54" s="6">
        <v>4</v>
      </c>
      <c r="O54" s="3">
        <f>ROUND(L54*[1]Criterios!$C$5+M54*[1]Criterios!$C$6+N54*[1]Criterios!$C$7,2)</f>
        <v>4.4000000000000004</v>
      </c>
      <c r="P54" s="3" t="str">
        <f>IF(O54&gt;=[1]Criterios!$C$10,"Núcleo",IF(O54&gt;=[1]Criterios!$C$11,"Complementario","Referencia"))</f>
        <v>Núcleo</v>
      </c>
      <c r="Q54" s="3" t="str">
        <f t="shared" si="0"/>
        <v>Cumple</v>
      </c>
      <c r="R54" s="7">
        <f t="shared" si="1"/>
        <v>1</v>
      </c>
      <c r="S54" s="2"/>
      <c r="T54" s="2" t="s">
        <v>205</v>
      </c>
    </row>
    <row r="55" spans="1:20" ht="26.4" x14ac:dyDescent="0.3">
      <c r="A55" s="2" t="s">
        <v>51</v>
      </c>
      <c r="B55" s="2" t="s">
        <v>198</v>
      </c>
      <c r="C55" s="3">
        <v>193</v>
      </c>
      <c r="D55" s="4" t="s">
        <v>206</v>
      </c>
      <c r="E55" s="2" t="s">
        <v>207</v>
      </c>
      <c r="F55" s="2" t="s">
        <v>208</v>
      </c>
      <c r="G55" s="3" t="s">
        <v>25</v>
      </c>
      <c r="H55" s="3" t="s">
        <v>32</v>
      </c>
      <c r="I55" s="3" t="s">
        <v>27</v>
      </c>
      <c r="J55" s="5">
        <v>95</v>
      </c>
      <c r="K55" s="5">
        <v>95.3</v>
      </c>
      <c r="L55" s="6">
        <v>4</v>
      </c>
      <c r="M55" s="6">
        <v>4</v>
      </c>
      <c r="N55" s="6">
        <v>4</v>
      </c>
      <c r="O55" s="3">
        <f>ROUND(L55*[1]Criterios!$C$5+M55*[1]Criterios!$C$6+N55*[1]Criterios!$C$7,2)</f>
        <v>4</v>
      </c>
      <c r="P55" s="3" t="str">
        <f>IF(O55&gt;=[1]Criterios!$C$10,"Núcleo",IF(O55&gt;=[1]Criterios!$C$11,"Complementario","Referencia"))</f>
        <v>Complementario</v>
      </c>
      <c r="Q55" s="3" t="str">
        <f t="shared" si="0"/>
        <v>Cumple</v>
      </c>
      <c r="R55" s="7">
        <f t="shared" si="1"/>
        <v>1</v>
      </c>
      <c r="S55" s="2"/>
      <c r="T55" s="2" t="s">
        <v>209</v>
      </c>
    </row>
    <row r="56" spans="1:20" ht="26.4" x14ac:dyDescent="0.3">
      <c r="A56" s="2" t="s">
        <v>51</v>
      </c>
      <c r="B56" s="2" t="s">
        <v>198</v>
      </c>
      <c r="C56" s="3">
        <v>263</v>
      </c>
      <c r="D56" s="4" t="s">
        <v>210</v>
      </c>
      <c r="E56" s="2" t="s">
        <v>211</v>
      </c>
      <c r="F56" s="2" t="s">
        <v>212</v>
      </c>
      <c r="G56" s="3" t="s">
        <v>25</v>
      </c>
      <c r="H56" s="3" t="s">
        <v>156</v>
      </c>
      <c r="I56" s="3" t="s">
        <v>27</v>
      </c>
      <c r="J56" s="5">
        <v>100</v>
      </c>
      <c r="K56" s="3" t="s">
        <v>38</v>
      </c>
      <c r="L56" s="6">
        <v>4</v>
      </c>
      <c r="M56" s="6">
        <v>4</v>
      </c>
      <c r="N56" s="6">
        <v>4</v>
      </c>
      <c r="O56" s="3">
        <f>ROUND(L56*[1]Criterios!$C$5+M56*[1]Criterios!$C$6+N56*[1]Criterios!$C$7,2)</f>
        <v>4</v>
      </c>
      <c r="P56" s="3" t="str">
        <f>IF(O56&gt;=[1]Criterios!$C$10,"Núcleo",IF(O56&gt;=[1]Criterios!$C$11,"Complementario","Referencia"))</f>
        <v>Complementario</v>
      </c>
      <c r="Q56" s="3" t="str">
        <f t="shared" si="0"/>
        <v>Sin dato</v>
      </c>
      <c r="R56" s="7" t="str">
        <f t="shared" si="1"/>
        <v/>
      </c>
      <c r="S56" s="2"/>
      <c r="T56" s="2" t="s">
        <v>213</v>
      </c>
    </row>
    <row r="57" spans="1:20" ht="26.4" x14ac:dyDescent="0.3">
      <c r="A57" s="2" t="s">
        <v>51</v>
      </c>
      <c r="B57" s="2" t="s">
        <v>198</v>
      </c>
      <c r="C57" s="3">
        <v>359</v>
      </c>
      <c r="D57" s="4" t="s">
        <v>214</v>
      </c>
      <c r="E57" s="2" t="s">
        <v>200</v>
      </c>
      <c r="F57" s="2" t="s">
        <v>64</v>
      </c>
      <c r="G57" s="3" t="s">
        <v>25</v>
      </c>
      <c r="H57" s="3" t="s">
        <v>32</v>
      </c>
      <c r="I57" s="3" t="s">
        <v>27</v>
      </c>
      <c r="J57" s="5">
        <v>85</v>
      </c>
      <c r="K57" s="5">
        <v>92</v>
      </c>
      <c r="L57" s="6">
        <v>4</v>
      </c>
      <c r="M57" s="6">
        <v>4</v>
      </c>
      <c r="N57" s="6">
        <v>4</v>
      </c>
      <c r="O57" s="3">
        <f>ROUND(L57*[1]Criterios!$C$5+M57*[1]Criterios!$C$6+N57*[1]Criterios!$C$7,2)</f>
        <v>4</v>
      </c>
      <c r="P57" s="3" t="str">
        <f>IF(O57&gt;=[1]Criterios!$C$10,"Núcleo",IF(O57&gt;=[1]Criterios!$C$11,"Complementario","Referencia"))</f>
        <v>Complementario</v>
      </c>
      <c r="Q57" s="3" t="str">
        <f t="shared" si="0"/>
        <v>Cumple</v>
      </c>
      <c r="R57" s="7">
        <f t="shared" si="1"/>
        <v>1</v>
      </c>
      <c r="S57" s="2"/>
      <c r="T57" s="2" t="s">
        <v>215</v>
      </c>
    </row>
    <row r="58" spans="1:20" ht="39.6" x14ac:dyDescent="0.3">
      <c r="A58" s="2" t="s">
        <v>51</v>
      </c>
      <c r="B58" s="2" t="s">
        <v>198</v>
      </c>
      <c r="C58" s="3">
        <v>467</v>
      </c>
      <c r="D58" s="4" t="s">
        <v>216</v>
      </c>
      <c r="E58" s="2" t="s">
        <v>200</v>
      </c>
      <c r="F58" s="2" t="s">
        <v>64</v>
      </c>
      <c r="G58" s="3" t="s">
        <v>25</v>
      </c>
      <c r="H58" s="3" t="s">
        <v>32</v>
      </c>
      <c r="I58" s="3" t="s">
        <v>27</v>
      </c>
      <c r="J58" s="5">
        <v>100</v>
      </c>
      <c r="K58" s="5">
        <v>95.64</v>
      </c>
      <c r="L58" s="6">
        <v>4</v>
      </c>
      <c r="M58" s="6">
        <v>4</v>
      </c>
      <c r="N58" s="6">
        <v>4</v>
      </c>
      <c r="O58" s="3">
        <f>ROUND(L58*[1]Criterios!$C$5+M58*[1]Criterios!$C$6+N58*[1]Criterios!$C$7,2)</f>
        <v>4</v>
      </c>
      <c r="P58" s="3" t="str">
        <f>IF(O58&gt;=[1]Criterios!$C$10,"Núcleo",IF(O58&gt;=[1]Criterios!$C$11,"Complementario","Referencia"))</f>
        <v>Complementario</v>
      </c>
      <c r="Q58" s="3" t="str">
        <f t="shared" si="0"/>
        <v>No cumple</v>
      </c>
      <c r="R58" s="7">
        <f t="shared" si="1"/>
        <v>0.95640000000000003</v>
      </c>
      <c r="S58" s="2" t="s">
        <v>20</v>
      </c>
      <c r="T58" s="2" t="s">
        <v>217</v>
      </c>
    </row>
    <row r="59" spans="1:20" ht="26.4" x14ac:dyDescent="0.3">
      <c r="A59" s="2" t="s">
        <v>51</v>
      </c>
      <c r="B59" s="2" t="s">
        <v>198</v>
      </c>
      <c r="C59" s="3">
        <v>537</v>
      </c>
      <c r="D59" s="4" t="s">
        <v>218</v>
      </c>
      <c r="E59" s="2" t="s">
        <v>207</v>
      </c>
      <c r="F59" s="2" t="s">
        <v>208</v>
      </c>
      <c r="G59" s="3" t="s">
        <v>25</v>
      </c>
      <c r="H59" s="3" t="s">
        <v>32</v>
      </c>
      <c r="I59" s="3" t="s">
        <v>27</v>
      </c>
      <c r="J59" s="5">
        <v>65</v>
      </c>
      <c r="K59" s="5">
        <v>64.7</v>
      </c>
      <c r="L59" s="6">
        <v>4</v>
      </c>
      <c r="M59" s="6">
        <v>3</v>
      </c>
      <c r="N59" s="6">
        <v>4</v>
      </c>
      <c r="O59" s="3">
        <f>ROUND(L59*[1]Criterios!$C$5+M59*[1]Criterios!$C$6+N59*[1]Criterios!$C$7,2)</f>
        <v>3.7</v>
      </c>
      <c r="P59" s="3" t="str">
        <f>IF(O59&gt;=[1]Criterios!$C$10,"Núcleo",IF(O59&gt;=[1]Criterios!$C$11,"Complementario","Referencia"))</f>
        <v>Complementario</v>
      </c>
      <c r="Q59" s="3" t="str">
        <f t="shared" si="0"/>
        <v>No cumple</v>
      </c>
      <c r="R59" s="7">
        <f t="shared" si="1"/>
        <v>0.99538461538461542</v>
      </c>
      <c r="S59" s="2"/>
      <c r="T59" s="2" t="s">
        <v>219</v>
      </c>
    </row>
    <row r="60" spans="1:20" ht="26.4" x14ac:dyDescent="0.3">
      <c r="A60" s="2" t="s">
        <v>51</v>
      </c>
      <c r="B60" s="2" t="s">
        <v>198</v>
      </c>
      <c r="C60" s="3">
        <v>260</v>
      </c>
      <c r="D60" s="4" t="s">
        <v>220</v>
      </c>
      <c r="E60" s="2" t="s">
        <v>89</v>
      </c>
      <c r="F60" s="2" t="s">
        <v>90</v>
      </c>
      <c r="G60" s="3" t="s">
        <v>72</v>
      </c>
      <c r="H60" s="3" t="s">
        <v>32</v>
      </c>
      <c r="I60" s="3" t="s">
        <v>41</v>
      </c>
      <c r="J60" s="5">
        <v>2.1</v>
      </c>
      <c r="K60" s="5">
        <v>1.7</v>
      </c>
      <c r="L60" s="6">
        <v>3</v>
      </c>
      <c r="M60" s="6">
        <v>3</v>
      </c>
      <c r="N60" s="6">
        <v>3</v>
      </c>
      <c r="O60" s="3">
        <f>ROUND(L60*[1]Criterios!$C$5+M60*[1]Criterios!$C$6+N60*[1]Criterios!$C$7,2)</f>
        <v>3</v>
      </c>
      <c r="P60" s="3" t="str">
        <f>IF(O60&gt;=[1]Criterios!$C$10,"Núcleo",IF(O60&gt;=[1]Criterios!$C$11,"Complementario","Referencia"))</f>
        <v>Complementario</v>
      </c>
      <c r="Q60" s="3" t="str">
        <f t="shared" si="0"/>
        <v>Cumple</v>
      </c>
      <c r="R60" s="7">
        <f t="shared" si="1"/>
        <v>1</v>
      </c>
      <c r="S60" s="2"/>
      <c r="T60" s="2" t="s">
        <v>221</v>
      </c>
    </row>
    <row r="61" spans="1:20" ht="26.4" x14ac:dyDescent="0.3">
      <c r="A61" s="2" t="s">
        <v>51</v>
      </c>
      <c r="B61" s="2" t="s">
        <v>198</v>
      </c>
      <c r="C61" s="3">
        <v>549</v>
      </c>
      <c r="D61" s="4" t="s">
        <v>222</v>
      </c>
      <c r="E61" s="2" t="s">
        <v>223</v>
      </c>
      <c r="F61" s="2" t="s">
        <v>224</v>
      </c>
      <c r="G61" s="3" t="s">
        <v>72</v>
      </c>
      <c r="H61" s="3" t="s">
        <v>32</v>
      </c>
      <c r="I61" s="3" t="s">
        <v>41</v>
      </c>
      <c r="J61" s="5">
        <v>2.2999999999999998</v>
      </c>
      <c r="K61" s="5">
        <v>2.1</v>
      </c>
      <c r="L61" s="6">
        <v>3</v>
      </c>
      <c r="M61" s="6">
        <v>3</v>
      </c>
      <c r="N61" s="6">
        <v>3</v>
      </c>
      <c r="O61" s="3">
        <f>ROUND(L61*[1]Criterios!$C$5+M61*[1]Criterios!$C$6+N61*[1]Criterios!$C$7,2)</f>
        <v>3</v>
      </c>
      <c r="P61" s="3" t="str">
        <f>IF(O61&gt;=[1]Criterios!$C$10,"Núcleo",IF(O61&gt;=[1]Criterios!$C$11,"Complementario","Referencia"))</f>
        <v>Complementario</v>
      </c>
      <c r="Q61" s="3" t="str">
        <f t="shared" si="0"/>
        <v>Cumple</v>
      </c>
      <c r="R61" s="7">
        <f t="shared" si="1"/>
        <v>1</v>
      </c>
      <c r="S61" s="2"/>
      <c r="T61" s="2" t="s">
        <v>225</v>
      </c>
    </row>
    <row r="62" spans="1:20" ht="26.4" x14ac:dyDescent="0.3">
      <c r="A62" s="2" t="s">
        <v>226</v>
      </c>
      <c r="B62" s="2" t="s">
        <v>227</v>
      </c>
      <c r="C62" s="3">
        <v>213</v>
      </c>
      <c r="D62" s="4" t="s">
        <v>228</v>
      </c>
      <c r="E62" s="2" t="s">
        <v>229</v>
      </c>
      <c r="F62" s="2" t="s">
        <v>230</v>
      </c>
      <c r="G62" s="3" t="s">
        <v>4</v>
      </c>
      <c r="H62" s="3" t="s">
        <v>156</v>
      </c>
      <c r="I62" s="3" t="s">
        <v>27</v>
      </c>
      <c r="J62" s="5">
        <v>90</v>
      </c>
      <c r="K62" s="3" t="s">
        <v>38</v>
      </c>
      <c r="L62" s="6">
        <v>5</v>
      </c>
      <c r="M62" s="6">
        <v>5</v>
      </c>
      <c r="N62" s="6">
        <v>3</v>
      </c>
      <c r="O62" s="3">
        <f>ROUND(L62*[1]Criterios!$C$5+M62*[1]Criterios!$C$6+N62*[1]Criterios!$C$7,2)</f>
        <v>4.4000000000000004</v>
      </c>
      <c r="P62" s="3" t="str">
        <f>IF(O62&gt;=[1]Criterios!$C$10,"Núcleo",IF(O62&gt;=[1]Criterios!$C$11,"Complementario","Referencia"))</f>
        <v>Núcleo</v>
      </c>
      <c r="Q62" s="3" t="str">
        <f t="shared" si="0"/>
        <v>Sin dato</v>
      </c>
      <c r="R62" s="7" t="str">
        <f t="shared" si="1"/>
        <v/>
      </c>
      <c r="S62" s="2"/>
      <c r="T62" s="2" t="s">
        <v>231</v>
      </c>
    </row>
    <row r="63" spans="1:20" ht="26.4" x14ac:dyDescent="0.3">
      <c r="A63" s="2" t="s">
        <v>226</v>
      </c>
      <c r="B63" s="2" t="s">
        <v>227</v>
      </c>
      <c r="C63" s="3">
        <v>235</v>
      </c>
      <c r="D63" s="4" t="s">
        <v>232</v>
      </c>
      <c r="E63" s="2" t="s">
        <v>229</v>
      </c>
      <c r="F63" s="2" t="s">
        <v>230</v>
      </c>
      <c r="G63" s="3" t="s">
        <v>25</v>
      </c>
      <c r="H63" s="3" t="s">
        <v>26</v>
      </c>
      <c r="I63" s="3" t="s">
        <v>27</v>
      </c>
      <c r="J63" s="5">
        <v>100</v>
      </c>
      <c r="K63" s="3" t="s">
        <v>38</v>
      </c>
      <c r="L63" s="6">
        <v>5</v>
      </c>
      <c r="M63" s="6">
        <v>5</v>
      </c>
      <c r="N63" s="6">
        <v>3</v>
      </c>
      <c r="O63" s="3">
        <f>ROUND(L63*[1]Criterios!$C$5+M63*[1]Criterios!$C$6+N63*[1]Criterios!$C$7,2)</f>
        <v>4.4000000000000004</v>
      </c>
      <c r="P63" s="3" t="str">
        <f>IF(O63&gt;=[1]Criterios!$C$10,"Núcleo",IF(O63&gt;=[1]Criterios!$C$11,"Complementario","Referencia"))</f>
        <v>Núcleo</v>
      </c>
      <c r="Q63" s="3" t="str">
        <f t="shared" si="0"/>
        <v>Sin dato</v>
      </c>
      <c r="R63" s="7" t="str">
        <f t="shared" si="1"/>
        <v/>
      </c>
      <c r="S63" s="2"/>
      <c r="T63" s="2" t="s">
        <v>233</v>
      </c>
    </row>
    <row r="64" spans="1:20" ht="26.4" x14ac:dyDescent="0.3">
      <c r="A64" s="2" t="s">
        <v>226</v>
      </c>
      <c r="B64" s="2" t="s">
        <v>227</v>
      </c>
      <c r="C64" s="3">
        <v>238</v>
      </c>
      <c r="D64" s="4" t="s">
        <v>234</v>
      </c>
      <c r="E64" s="2" t="s">
        <v>229</v>
      </c>
      <c r="F64" s="2" t="s">
        <v>230</v>
      </c>
      <c r="G64" s="3" t="s">
        <v>25</v>
      </c>
      <c r="H64" s="3" t="s">
        <v>156</v>
      </c>
      <c r="I64" s="3" t="s">
        <v>27</v>
      </c>
      <c r="J64" s="5">
        <v>90</v>
      </c>
      <c r="K64" s="3" t="s">
        <v>38</v>
      </c>
      <c r="L64" s="6">
        <v>5</v>
      </c>
      <c r="M64" s="6">
        <v>4</v>
      </c>
      <c r="N64" s="6">
        <v>4</v>
      </c>
      <c r="O64" s="3">
        <f>ROUND(L64*[1]Criterios!$C$5+M64*[1]Criterios!$C$6+N64*[1]Criterios!$C$7,2)</f>
        <v>4.4000000000000004</v>
      </c>
      <c r="P64" s="3" t="str">
        <f>IF(O64&gt;=[1]Criterios!$C$10,"Núcleo",IF(O64&gt;=[1]Criterios!$C$11,"Complementario","Referencia"))</f>
        <v>Núcleo</v>
      </c>
      <c r="Q64" s="3" t="str">
        <f t="shared" si="0"/>
        <v>Sin dato</v>
      </c>
      <c r="R64" s="7" t="str">
        <f t="shared" si="1"/>
        <v/>
      </c>
      <c r="S64" s="2"/>
      <c r="T64" s="2" t="s">
        <v>235</v>
      </c>
    </row>
    <row r="65" spans="1:20" ht="26.4" x14ac:dyDescent="0.3">
      <c r="A65" s="2" t="s">
        <v>226</v>
      </c>
      <c r="B65" s="2" t="s">
        <v>227</v>
      </c>
      <c r="C65" s="3">
        <v>244</v>
      </c>
      <c r="D65" s="4" t="s">
        <v>236</v>
      </c>
      <c r="E65" s="2" t="s">
        <v>229</v>
      </c>
      <c r="F65" s="2" t="s">
        <v>230</v>
      </c>
      <c r="G65" s="3" t="s">
        <v>25</v>
      </c>
      <c r="H65" s="3" t="s">
        <v>26</v>
      </c>
      <c r="I65" s="3" t="s">
        <v>41</v>
      </c>
      <c r="J65" s="5">
        <v>25</v>
      </c>
      <c r="K65" s="5">
        <v>13</v>
      </c>
      <c r="L65" s="6">
        <v>4</v>
      </c>
      <c r="M65" s="6">
        <v>5</v>
      </c>
      <c r="N65" s="6">
        <v>4</v>
      </c>
      <c r="O65" s="3">
        <f>ROUND(L65*[1]Criterios!$C$5+M65*[1]Criterios!$C$6+N65*[1]Criterios!$C$7,2)</f>
        <v>4.3</v>
      </c>
      <c r="P65" s="3" t="str">
        <f>IF(O65&gt;=[1]Criterios!$C$10,"Núcleo",IF(O65&gt;=[1]Criterios!$C$11,"Complementario","Referencia"))</f>
        <v>Núcleo</v>
      </c>
      <c r="Q65" s="3" t="str">
        <f t="shared" si="0"/>
        <v>Cumple</v>
      </c>
      <c r="R65" s="7">
        <f t="shared" si="1"/>
        <v>1</v>
      </c>
      <c r="S65" s="2"/>
      <c r="T65" s="2" t="s">
        <v>237</v>
      </c>
    </row>
    <row r="66" spans="1:20" ht="26.4" x14ac:dyDescent="0.3">
      <c r="A66" s="2" t="s">
        <v>226</v>
      </c>
      <c r="B66" s="2" t="s">
        <v>238</v>
      </c>
      <c r="C66" s="3">
        <v>645</v>
      </c>
      <c r="D66" s="4" t="s">
        <v>239</v>
      </c>
      <c r="E66" s="2" t="s">
        <v>229</v>
      </c>
      <c r="F66" s="2" t="s">
        <v>230</v>
      </c>
      <c r="G66" s="3" t="s">
        <v>25</v>
      </c>
      <c r="H66" s="3" t="s">
        <v>26</v>
      </c>
      <c r="I66" s="3" t="s">
        <v>41</v>
      </c>
      <c r="J66" s="5">
        <v>0.3</v>
      </c>
      <c r="K66" s="5">
        <v>0.12</v>
      </c>
      <c r="L66" s="6">
        <v>5</v>
      </c>
      <c r="M66" s="6">
        <v>5</v>
      </c>
      <c r="N66" s="6">
        <v>5</v>
      </c>
      <c r="O66" s="3">
        <f>ROUND(L66*[1]Criterios!$C$5+M66*[1]Criterios!$C$6+N66*[1]Criterios!$C$7,2)</f>
        <v>5</v>
      </c>
      <c r="P66" s="3" t="str">
        <f>IF(O66&gt;=[1]Criterios!$C$10,"Núcleo",IF(O66&gt;=[1]Criterios!$C$11,"Complementario","Referencia"))</f>
        <v>Núcleo</v>
      </c>
      <c r="Q66" s="3" t="str">
        <f t="shared" ref="Q66:Q125" si="2">IF(NOT(ISNUMBER(K66)),"Sin dato",IF(NOT(ISNUMBER(J66)),"Sin meta",IF(I66="Positivo",IF(K66&gt;=J66,"Cumple","No cumple"),IF(K66&lt;=J66,"Cumple","No cumple"))))</f>
        <v>Cumple</v>
      </c>
      <c r="R66" s="7">
        <f t="shared" ref="R66:R125" si="3">IF(OR(NOT(ISNUMBER(K66)),NOT(ISNUMBER(J66))),"",IF(I66="Positivo",IF(J66=0,1,MIN(1,K66/J66)),IF(K66=0,1,MIN(1,J66/K66))))</f>
        <v>1</v>
      </c>
      <c r="S66" s="2"/>
      <c r="T66" s="2" t="s">
        <v>240</v>
      </c>
    </row>
    <row r="67" spans="1:20" ht="26.4" x14ac:dyDescent="0.3">
      <c r="A67" s="2" t="s">
        <v>226</v>
      </c>
      <c r="B67" s="2" t="s">
        <v>238</v>
      </c>
      <c r="C67" s="3">
        <v>222</v>
      </c>
      <c r="D67" s="4" t="s">
        <v>241</v>
      </c>
      <c r="E67" s="2" t="s">
        <v>229</v>
      </c>
      <c r="F67" s="2" t="s">
        <v>230</v>
      </c>
      <c r="G67" s="3" t="s">
        <v>25</v>
      </c>
      <c r="H67" s="3" t="s">
        <v>26</v>
      </c>
      <c r="I67" s="3" t="s">
        <v>27</v>
      </c>
      <c r="J67" s="5">
        <v>90</v>
      </c>
      <c r="K67" s="5">
        <v>68.75</v>
      </c>
      <c r="L67" s="6">
        <v>5</v>
      </c>
      <c r="M67" s="6">
        <v>5</v>
      </c>
      <c r="N67" s="6">
        <v>4</v>
      </c>
      <c r="O67" s="3">
        <f>ROUND(L67*[1]Criterios!$C$5+M67*[1]Criterios!$C$6+N67*[1]Criterios!$C$7,2)</f>
        <v>4.7</v>
      </c>
      <c r="P67" s="3" t="str">
        <f>IF(O67&gt;=[1]Criterios!$C$10,"Núcleo",IF(O67&gt;=[1]Criterios!$C$11,"Complementario","Referencia"))</f>
        <v>Núcleo</v>
      </c>
      <c r="Q67" s="3" t="str">
        <f t="shared" si="2"/>
        <v>No cumple</v>
      </c>
      <c r="R67" s="7">
        <f t="shared" si="3"/>
        <v>0.76388888888888884</v>
      </c>
      <c r="S67" s="2"/>
      <c r="T67" s="2" t="s">
        <v>242</v>
      </c>
    </row>
    <row r="68" spans="1:20" ht="26.4" x14ac:dyDescent="0.3">
      <c r="A68" s="2" t="s">
        <v>226</v>
      </c>
      <c r="B68" s="2" t="s">
        <v>238</v>
      </c>
      <c r="C68" s="3">
        <v>653</v>
      </c>
      <c r="D68" s="4" t="s">
        <v>243</v>
      </c>
      <c r="E68" s="2" t="s">
        <v>229</v>
      </c>
      <c r="F68" s="2" t="s">
        <v>230</v>
      </c>
      <c r="G68" s="3" t="s">
        <v>25</v>
      </c>
      <c r="H68" s="3" t="s">
        <v>32</v>
      </c>
      <c r="I68" s="3" t="s">
        <v>27</v>
      </c>
      <c r="J68" s="5">
        <v>1</v>
      </c>
      <c r="K68" s="3" t="s">
        <v>38</v>
      </c>
      <c r="L68" s="6">
        <v>5</v>
      </c>
      <c r="M68" s="6">
        <v>5</v>
      </c>
      <c r="N68" s="6">
        <v>4</v>
      </c>
      <c r="O68" s="3">
        <f>ROUND(L68*[1]Criterios!$C$5+M68*[1]Criterios!$C$6+N68*[1]Criterios!$C$7,2)</f>
        <v>4.7</v>
      </c>
      <c r="P68" s="3" t="str">
        <f>IF(O68&gt;=[1]Criterios!$C$10,"Núcleo",IF(O68&gt;=[1]Criterios!$C$11,"Complementario","Referencia"))</f>
        <v>Núcleo</v>
      </c>
      <c r="Q68" s="3" t="str">
        <f t="shared" si="2"/>
        <v>Sin dato</v>
      </c>
      <c r="R68" s="7" t="str">
        <f t="shared" si="3"/>
        <v/>
      </c>
      <c r="S68" s="2"/>
      <c r="T68" s="2" t="s">
        <v>244</v>
      </c>
    </row>
    <row r="69" spans="1:20" ht="26.4" x14ac:dyDescent="0.3">
      <c r="A69" s="2" t="s">
        <v>226</v>
      </c>
      <c r="B69" s="2" t="s">
        <v>238</v>
      </c>
      <c r="C69" s="3">
        <v>628</v>
      </c>
      <c r="D69" s="4" t="s">
        <v>245</v>
      </c>
      <c r="E69" s="2" t="s">
        <v>229</v>
      </c>
      <c r="F69" s="2" t="s">
        <v>230</v>
      </c>
      <c r="G69" s="3" t="s">
        <v>25</v>
      </c>
      <c r="H69" s="3" t="s">
        <v>32</v>
      </c>
      <c r="I69" s="3" t="s">
        <v>27</v>
      </c>
      <c r="J69" s="5">
        <v>1</v>
      </c>
      <c r="K69" s="3" t="s">
        <v>38</v>
      </c>
      <c r="L69" s="6">
        <v>5</v>
      </c>
      <c r="M69" s="6">
        <v>4</v>
      </c>
      <c r="N69" s="6">
        <v>4</v>
      </c>
      <c r="O69" s="3">
        <f>ROUND(L69*[1]Criterios!$C$5+M69*[1]Criterios!$C$6+N69*[1]Criterios!$C$7,2)</f>
        <v>4.4000000000000004</v>
      </c>
      <c r="P69" s="3" t="str">
        <f>IF(O69&gt;=[1]Criterios!$C$10,"Núcleo",IF(O69&gt;=[1]Criterios!$C$11,"Complementario","Referencia"))</f>
        <v>Núcleo</v>
      </c>
      <c r="Q69" s="3" t="str">
        <f t="shared" si="2"/>
        <v>Sin dato</v>
      </c>
      <c r="R69" s="7" t="str">
        <f t="shared" si="3"/>
        <v/>
      </c>
      <c r="S69" s="2"/>
      <c r="T69" s="2" t="s">
        <v>246</v>
      </c>
    </row>
    <row r="70" spans="1:20" ht="66" x14ac:dyDescent="0.3">
      <c r="A70" s="2" t="s">
        <v>226</v>
      </c>
      <c r="B70" s="2" t="s">
        <v>238</v>
      </c>
      <c r="C70" s="3">
        <v>643</v>
      </c>
      <c r="D70" s="4" t="s">
        <v>247</v>
      </c>
      <c r="E70" s="2" t="s">
        <v>229</v>
      </c>
      <c r="F70" s="2" t="s">
        <v>230</v>
      </c>
      <c r="G70" s="3" t="s">
        <v>25</v>
      </c>
      <c r="H70" s="3" t="s">
        <v>32</v>
      </c>
      <c r="I70" s="3" t="s">
        <v>27</v>
      </c>
      <c r="J70" s="5">
        <v>20</v>
      </c>
      <c r="K70" s="3" t="s">
        <v>38</v>
      </c>
      <c r="L70" s="6">
        <v>5</v>
      </c>
      <c r="M70" s="6">
        <v>4</v>
      </c>
      <c r="N70" s="6">
        <v>4</v>
      </c>
      <c r="O70" s="3">
        <f>ROUND(L70*[1]Criterios!$C$5+M70*[1]Criterios!$C$6+N70*[1]Criterios!$C$7,2)</f>
        <v>4.4000000000000004</v>
      </c>
      <c r="P70" s="3" t="str">
        <f>IF(O70&gt;=[1]Criterios!$C$10,"Núcleo",IF(O70&gt;=[1]Criterios!$C$11,"Complementario","Referencia"))</f>
        <v>Núcleo</v>
      </c>
      <c r="Q70" s="3" t="str">
        <f t="shared" si="2"/>
        <v>Sin dato</v>
      </c>
      <c r="R70" s="7" t="str">
        <f t="shared" si="3"/>
        <v/>
      </c>
      <c r="S70" s="2" t="s">
        <v>226</v>
      </c>
      <c r="T70" s="2" t="s">
        <v>248</v>
      </c>
    </row>
    <row r="71" spans="1:20" ht="26.4" x14ac:dyDescent="0.3">
      <c r="A71" s="2" t="s">
        <v>226</v>
      </c>
      <c r="B71" s="2" t="s">
        <v>238</v>
      </c>
      <c r="C71" s="3">
        <v>224</v>
      </c>
      <c r="D71" s="4" t="s">
        <v>249</v>
      </c>
      <c r="E71" s="2" t="s">
        <v>229</v>
      </c>
      <c r="F71" s="2" t="s">
        <v>230</v>
      </c>
      <c r="G71" s="3" t="s">
        <v>25</v>
      </c>
      <c r="H71" s="3" t="s">
        <v>26</v>
      </c>
      <c r="I71" s="3" t="s">
        <v>27</v>
      </c>
      <c r="J71" s="5">
        <v>100</v>
      </c>
      <c r="K71" s="5">
        <v>100</v>
      </c>
      <c r="L71" s="6">
        <v>5</v>
      </c>
      <c r="M71" s="6">
        <v>4</v>
      </c>
      <c r="N71" s="6">
        <v>3</v>
      </c>
      <c r="O71" s="3">
        <f>ROUND(L71*[1]Criterios!$C$5+M71*[1]Criterios!$C$6+N71*[1]Criterios!$C$7,2)</f>
        <v>4.0999999999999996</v>
      </c>
      <c r="P71" s="3" t="str">
        <f>IF(O71&gt;=[1]Criterios!$C$10,"Núcleo",IF(O71&gt;=[1]Criterios!$C$11,"Complementario","Referencia"))</f>
        <v>Complementario</v>
      </c>
      <c r="Q71" s="3" t="str">
        <f t="shared" si="2"/>
        <v>Cumple</v>
      </c>
      <c r="R71" s="7">
        <f t="shared" si="3"/>
        <v>1</v>
      </c>
      <c r="S71" s="2"/>
      <c r="T71" s="2" t="s">
        <v>250</v>
      </c>
    </row>
    <row r="72" spans="1:20" ht="26.4" x14ac:dyDescent="0.3">
      <c r="A72" s="2" t="s">
        <v>226</v>
      </c>
      <c r="B72" s="2" t="s">
        <v>238</v>
      </c>
      <c r="C72" s="3">
        <v>646</v>
      </c>
      <c r="D72" s="4" t="s">
        <v>251</v>
      </c>
      <c r="E72" s="2" t="s">
        <v>229</v>
      </c>
      <c r="F72" s="2" t="s">
        <v>230</v>
      </c>
      <c r="G72" s="3" t="s">
        <v>25</v>
      </c>
      <c r="H72" s="3" t="s">
        <v>26</v>
      </c>
      <c r="I72" s="3" t="s">
        <v>27</v>
      </c>
      <c r="J72" s="5">
        <v>100</v>
      </c>
      <c r="K72" s="3" t="s">
        <v>38</v>
      </c>
      <c r="L72" s="6">
        <v>4</v>
      </c>
      <c r="M72" s="6">
        <v>4</v>
      </c>
      <c r="N72" s="6">
        <v>4</v>
      </c>
      <c r="O72" s="3">
        <f>ROUND(L72*[1]Criterios!$C$5+M72*[1]Criterios!$C$6+N72*[1]Criterios!$C$7,2)</f>
        <v>4</v>
      </c>
      <c r="P72" s="3" t="str">
        <f>IF(O72&gt;=[1]Criterios!$C$10,"Núcleo",IF(O72&gt;=[1]Criterios!$C$11,"Complementario","Referencia"))</f>
        <v>Complementario</v>
      </c>
      <c r="Q72" s="3" t="str">
        <f t="shared" si="2"/>
        <v>Sin dato</v>
      </c>
      <c r="R72" s="7" t="str">
        <f t="shared" si="3"/>
        <v/>
      </c>
      <c r="S72" s="2"/>
      <c r="T72" s="2" t="s">
        <v>252</v>
      </c>
    </row>
    <row r="73" spans="1:20" ht="26.4" x14ac:dyDescent="0.3">
      <c r="A73" s="2" t="s">
        <v>226</v>
      </c>
      <c r="B73" s="2" t="s">
        <v>238</v>
      </c>
      <c r="C73" s="3">
        <v>651</v>
      </c>
      <c r="D73" s="4" t="s">
        <v>253</v>
      </c>
      <c r="E73" s="2" t="s">
        <v>229</v>
      </c>
      <c r="F73" s="2" t="s">
        <v>230</v>
      </c>
      <c r="G73" s="3" t="s">
        <v>25</v>
      </c>
      <c r="H73" s="3" t="s">
        <v>32</v>
      </c>
      <c r="I73" s="3" t="s">
        <v>41</v>
      </c>
      <c r="J73" s="5">
        <v>0.76</v>
      </c>
      <c r="K73" s="5">
        <v>3.68</v>
      </c>
      <c r="L73" s="6">
        <v>4</v>
      </c>
      <c r="M73" s="6">
        <v>4</v>
      </c>
      <c r="N73" s="6">
        <v>3</v>
      </c>
      <c r="O73" s="3">
        <f>ROUND(L73*[1]Criterios!$C$5+M73*[1]Criterios!$C$6+N73*[1]Criterios!$C$7,2)</f>
        <v>3.7</v>
      </c>
      <c r="P73" s="3" t="str">
        <f>IF(O73&gt;=[1]Criterios!$C$10,"Núcleo",IF(O73&gt;=[1]Criterios!$C$11,"Complementario","Referencia"))</f>
        <v>Complementario</v>
      </c>
      <c r="Q73" s="3" t="str">
        <f t="shared" si="2"/>
        <v>No cumple</v>
      </c>
      <c r="R73" s="7">
        <f t="shared" si="3"/>
        <v>0.20652173913043478</v>
      </c>
      <c r="S73" s="2"/>
      <c r="T73" s="2" t="s">
        <v>254</v>
      </c>
    </row>
    <row r="74" spans="1:20" ht="26.4" x14ac:dyDescent="0.3">
      <c r="A74" s="2" t="s">
        <v>226</v>
      </c>
      <c r="B74" s="2" t="s">
        <v>238</v>
      </c>
      <c r="C74" s="3">
        <v>652</v>
      </c>
      <c r="D74" s="4" t="s">
        <v>255</v>
      </c>
      <c r="E74" s="2" t="s">
        <v>229</v>
      </c>
      <c r="F74" s="2" t="s">
        <v>230</v>
      </c>
      <c r="G74" s="3" t="s">
        <v>25</v>
      </c>
      <c r="H74" s="3" t="s">
        <v>32</v>
      </c>
      <c r="I74" s="3" t="s">
        <v>41</v>
      </c>
      <c r="J74" s="5">
        <v>0.05</v>
      </c>
      <c r="K74" s="5">
        <v>0.06</v>
      </c>
      <c r="L74" s="6">
        <v>4</v>
      </c>
      <c r="M74" s="6">
        <v>4</v>
      </c>
      <c r="N74" s="6">
        <v>3</v>
      </c>
      <c r="O74" s="3">
        <f>ROUND(L74*[1]Criterios!$C$5+M74*[1]Criterios!$C$6+N74*[1]Criterios!$C$7,2)</f>
        <v>3.7</v>
      </c>
      <c r="P74" s="3" t="str">
        <f>IF(O74&gt;=[1]Criterios!$C$10,"Núcleo",IF(O74&gt;=[1]Criterios!$C$11,"Complementario","Referencia"))</f>
        <v>Complementario</v>
      </c>
      <c r="Q74" s="3" t="str">
        <f t="shared" si="2"/>
        <v>No cumple</v>
      </c>
      <c r="R74" s="7">
        <f t="shared" si="3"/>
        <v>0.83333333333333337</v>
      </c>
      <c r="S74" s="2"/>
      <c r="T74" s="2" t="s">
        <v>256</v>
      </c>
    </row>
    <row r="75" spans="1:20" ht="26.4" x14ac:dyDescent="0.3">
      <c r="A75" s="2" t="s">
        <v>226</v>
      </c>
      <c r="B75" s="2" t="s">
        <v>238</v>
      </c>
      <c r="C75" s="3">
        <v>223</v>
      </c>
      <c r="D75" s="4" t="s">
        <v>257</v>
      </c>
      <c r="E75" s="2" t="s">
        <v>229</v>
      </c>
      <c r="F75" s="2" t="s">
        <v>230</v>
      </c>
      <c r="G75" s="3" t="s">
        <v>4</v>
      </c>
      <c r="H75" s="3" t="s">
        <v>26</v>
      </c>
      <c r="I75" s="3" t="s">
        <v>27</v>
      </c>
      <c r="J75" s="5">
        <v>100</v>
      </c>
      <c r="K75" s="5">
        <v>91.67</v>
      </c>
      <c r="L75" s="6">
        <v>3</v>
      </c>
      <c r="M75" s="6">
        <v>3</v>
      </c>
      <c r="N75" s="6">
        <v>2</v>
      </c>
      <c r="O75" s="3">
        <f>ROUND(L75*[1]Criterios!$C$5+M75*[1]Criterios!$C$6+N75*[1]Criterios!$C$7,2)</f>
        <v>2.7</v>
      </c>
      <c r="P75" s="3" t="str">
        <f>IF(O75&gt;=[1]Criterios!$C$10,"Núcleo",IF(O75&gt;=[1]Criterios!$C$11,"Complementario","Referencia"))</f>
        <v>Referencia</v>
      </c>
      <c r="Q75" s="3" t="str">
        <f t="shared" si="2"/>
        <v>No cumple</v>
      </c>
      <c r="R75" s="7">
        <f t="shared" si="3"/>
        <v>0.91670000000000007</v>
      </c>
      <c r="S75" s="2"/>
      <c r="T75" s="2" t="s">
        <v>258</v>
      </c>
    </row>
    <row r="76" spans="1:20" ht="39.6" x14ac:dyDescent="0.3">
      <c r="A76" s="2" t="s">
        <v>226</v>
      </c>
      <c r="B76" s="2" t="s">
        <v>259</v>
      </c>
      <c r="C76" s="3">
        <v>225</v>
      </c>
      <c r="D76" s="4" t="s">
        <v>260</v>
      </c>
      <c r="E76" s="2" t="s">
        <v>229</v>
      </c>
      <c r="F76" s="2" t="s">
        <v>230</v>
      </c>
      <c r="G76" s="3" t="s">
        <v>4</v>
      </c>
      <c r="H76" s="3" t="s">
        <v>146</v>
      </c>
      <c r="I76" s="3" t="s">
        <v>27</v>
      </c>
      <c r="J76" s="5">
        <v>1</v>
      </c>
      <c r="K76" s="3" t="s">
        <v>38</v>
      </c>
      <c r="L76" s="6">
        <v>5</v>
      </c>
      <c r="M76" s="6">
        <v>4</v>
      </c>
      <c r="N76" s="6">
        <v>4</v>
      </c>
      <c r="O76" s="3">
        <f>ROUND(L76*[1]Criterios!$C$5+M76*[1]Criterios!$C$6+N76*[1]Criterios!$C$7,2)</f>
        <v>4.4000000000000004</v>
      </c>
      <c r="P76" s="3" t="str">
        <f>IF(O76&gt;=[1]Criterios!$C$10,"Núcleo",IF(O76&gt;=[1]Criterios!$C$11,"Complementario","Referencia"))</f>
        <v>Núcleo</v>
      </c>
      <c r="Q76" s="3" t="str">
        <f t="shared" si="2"/>
        <v>Sin dato</v>
      </c>
      <c r="R76" s="7" t="str">
        <f t="shared" si="3"/>
        <v/>
      </c>
      <c r="S76" s="2"/>
      <c r="T76" s="2" t="s">
        <v>261</v>
      </c>
    </row>
    <row r="77" spans="1:20" ht="26.4" x14ac:dyDescent="0.3">
      <c r="A77" s="2" t="s">
        <v>226</v>
      </c>
      <c r="B77" s="2" t="s">
        <v>262</v>
      </c>
      <c r="C77" s="3">
        <v>629</v>
      </c>
      <c r="D77" s="4" t="s">
        <v>263</v>
      </c>
      <c r="E77" s="2" t="s">
        <v>229</v>
      </c>
      <c r="F77" s="2" t="s">
        <v>230</v>
      </c>
      <c r="G77" s="3" t="s">
        <v>25</v>
      </c>
      <c r="H77" s="3" t="s">
        <v>32</v>
      </c>
      <c r="I77" s="3" t="s">
        <v>27</v>
      </c>
      <c r="J77" s="5">
        <v>1</v>
      </c>
      <c r="K77" s="3" t="s">
        <v>38</v>
      </c>
      <c r="L77" s="6">
        <v>5</v>
      </c>
      <c r="M77" s="6">
        <v>4</v>
      </c>
      <c r="N77" s="6">
        <v>4</v>
      </c>
      <c r="O77" s="3">
        <f>ROUND(L77*[1]Criterios!$C$5+M77*[1]Criterios!$C$6+N77*[1]Criterios!$C$7,2)</f>
        <v>4.4000000000000004</v>
      </c>
      <c r="P77" s="3" t="str">
        <f>IF(O77&gt;=[1]Criterios!$C$10,"Núcleo",IF(O77&gt;=[1]Criterios!$C$11,"Complementario","Referencia"))</f>
        <v>Núcleo</v>
      </c>
      <c r="Q77" s="3" t="str">
        <f t="shared" si="2"/>
        <v>Sin dato</v>
      </c>
      <c r="R77" s="7" t="str">
        <f t="shared" si="3"/>
        <v/>
      </c>
      <c r="S77" s="2"/>
      <c r="T77" s="2" t="s">
        <v>264</v>
      </c>
    </row>
    <row r="78" spans="1:20" ht="26.4" x14ac:dyDescent="0.3">
      <c r="A78" s="2" t="s">
        <v>226</v>
      </c>
      <c r="B78" s="2" t="s">
        <v>262</v>
      </c>
      <c r="C78" s="3">
        <v>644</v>
      </c>
      <c r="D78" s="4" t="s">
        <v>265</v>
      </c>
      <c r="E78" s="2" t="s">
        <v>229</v>
      </c>
      <c r="F78" s="2" t="s">
        <v>230</v>
      </c>
      <c r="G78" s="3" t="s">
        <v>25</v>
      </c>
      <c r="H78" s="3" t="s">
        <v>32</v>
      </c>
      <c r="I78" s="3" t="s">
        <v>27</v>
      </c>
      <c r="J78" s="5">
        <v>1</v>
      </c>
      <c r="K78" s="3" t="s">
        <v>38</v>
      </c>
      <c r="L78" s="6">
        <v>5</v>
      </c>
      <c r="M78" s="6">
        <v>4</v>
      </c>
      <c r="N78" s="6">
        <v>4</v>
      </c>
      <c r="O78" s="3">
        <f>ROUND(L78*[1]Criterios!$C$5+M78*[1]Criterios!$C$6+N78*[1]Criterios!$C$7,2)</f>
        <v>4.4000000000000004</v>
      </c>
      <c r="P78" s="3" t="str">
        <f>IF(O78&gt;=[1]Criterios!$C$10,"Núcleo",IF(O78&gt;=[1]Criterios!$C$11,"Complementario","Referencia"))</f>
        <v>Núcleo</v>
      </c>
      <c r="Q78" s="3" t="str">
        <f t="shared" si="2"/>
        <v>Sin dato</v>
      </c>
      <c r="R78" s="7" t="str">
        <f t="shared" si="3"/>
        <v/>
      </c>
      <c r="S78" s="2"/>
      <c r="T78" s="2" t="s">
        <v>266</v>
      </c>
    </row>
    <row r="79" spans="1:20" ht="26.4" x14ac:dyDescent="0.3">
      <c r="A79" s="2" t="s">
        <v>226</v>
      </c>
      <c r="B79" s="2" t="s">
        <v>262</v>
      </c>
      <c r="C79" s="3">
        <v>649</v>
      </c>
      <c r="D79" s="4" t="s">
        <v>267</v>
      </c>
      <c r="E79" s="2" t="s">
        <v>229</v>
      </c>
      <c r="F79" s="2" t="s">
        <v>230</v>
      </c>
      <c r="G79" s="3" t="s">
        <v>25</v>
      </c>
      <c r="H79" s="3" t="s">
        <v>32</v>
      </c>
      <c r="I79" s="3" t="s">
        <v>27</v>
      </c>
      <c r="J79" s="5">
        <v>0.2</v>
      </c>
      <c r="K79" s="5">
        <v>0.55000000000000004</v>
      </c>
      <c r="L79" s="6">
        <v>4</v>
      </c>
      <c r="M79" s="6">
        <v>4</v>
      </c>
      <c r="N79" s="6">
        <v>3</v>
      </c>
      <c r="O79" s="3">
        <f>ROUND(L79*[1]Criterios!$C$5+M79*[1]Criterios!$C$6+N79*[1]Criterios!$C$7,2)</f>
        <v>3.7</v>
      </c>
      <c r="P79" s="3" t="str">
        <f>IF(O79&gt;=[1]Criterios!$C$10,"Núcleo",IF(O79&gt;=[1]Criterios!$C$11,"Complementario","Referencia"))</f>
        <v>Complementario</v>
      </c>
      <c r="Q79" s="3" t="str">
        <f t="shared" si="2"/>
        <v>Cumple</v>
      </c>
      <c r="R79" s="7">
        <f t="shared" si="3"/>
        <v>1</v>
      </c>
      <c r="S79" s="2"/>
      <c r="T79" s="2" t="s">
        <v>268</v>
      </c>
    </row>
    <row r="80" spans="1:20" ht="26.4" x14ac:dyDescent="0.3">
      <c r="A80" s="2" t="s">
        <v>226</v>
      </c>
      <c r="B80" s="2" t="s">
        <v>262</v>
      </c>
      <c r="C80" s="3">
        <v>650</v>
      </c>
      <c r="D80" s="4" t="s">
        <v>269</v>
      </c>
      <c r="E80" s="2" t="s">
        <v>229</v>
      </c>
      <c r="F80" s="2" t="s">
        <v>230</v>
      </c>
      <c r="G80" s="3" t="s">
        <v>25</v>
      </c>
      <c r="H80" s="3" t="s">
        <v>32</v>
      </c>
      <c r="I80" s="3" t="s">
        <v>27</v>
      </c>
      <c r="J80" s="5">
        <v>0.2</v>
      </c>
      <c r="K80" s="5">
        <v>54.41</v>
      </c>
      <c r="L80" s="6">
        <v>4</v>
      </c>
      <c r="M80" s="6">
        <v>4</v>
      </c>
      <c r="N80" s="6">
        <v>3</v>
      </c>
      <c r="O80" s="3">
        <f>ROUND(L80*[1]Criterios!$C$5+M80*[1]Criterios!$C$6+N80*[1]Criterios!$C$7,2)</f>
        <v>3.7</v>
      </c>
      <c r="P80" s="3" t="str">
        <f>IF(O80&gt;=[1]Criterios!$C$10,"Núcleo",IF(O80&gt;=[1]Criterios!$C$11,"Complementario","Referencia"))</f>
        <v>Complementario</v>
      </c>
      <c r="Q80" s="3" t="str">
        <f t="shared" si="2"/>
        <v>Cumple</v>
      </c>
      <c r="R80" s="7">
        <f t="shared" si="3"/>
        <v>1</v>
      </c>
      <c r="S80" s="2"/>
      <c r="T80" s="2" t="s">
        <v>270</v>
      </c>
    </row>
    <row r="81" spans="1:20" ht="39.6" x14ac:dyDescent="0.3">
      <c r="A81" s="2" t="s">
        <v>226</v>
      </c>
      <c r="B81" s="2" t="s">
        <v>262</v>
      </c>
      <c r="C81" s="3">
        <v>221</v>
      </c>
      <c r="D81" s="4" t="s">
        <v>271</v>
      </c>
      <c r="E81" s="2" t="s">
        <v>229</v>
      </c>
      <c r="F81" s="2" t="s">
        <v>230</v>
      </c>
      <c r="G81" s="3" t="s">
        <v>25</v>
      </c>
      <c r="H81" s="3" t="s">
        <v>26</v>
      </c>
      <c r="I81" s="3" t="s">
        <v>27</v>
      </c>
      <c r="J81" s="5">
        <v>100</v>
      </c>
      <c r="K81" s="5">
        <v>27.5</v>
      </c>
      <c r="L81" s="6">
        <v>3</v>
      </c>
      <c r="M81" s="6">
        <v>4</v>
      </c>
      <c r="N81" s="6">
        <v>4</v>
      </c>
      <c r="O81" s="3">
        <f>ROUND(L81*[1]Criterios!$C$5+M81*[1]Criterios!$C$6+N81*[1]Criterios!$C$7,2)</f>
        <v>3.6</v>
      </c>
      <c r="P81" s="3" t="str">
        <f>IF(O81&gt;=[1]Criterios!$C$10,"Núcleo",IF(O81&gt;=[1]Criterios!$C$11,"Complementario","Referencia"))</f>
        <v>Complementario</v>
      </c>
      <c r="Q81" s="3" t="str">
        <f t="shared" si="2"/>
        <v>No cumple</v>
      </c>
      <c r="R81" s="7">
        <f t="shared" si="3"/>
        <v>0.27500000000000002</v>
      </c>
      <c r="S81" s="2" t="s">
        <v>104</v>
      </c>
      <c r="T81" s="2" t="s">
        <v>272</v>
      </c>
    </row>
    <row r="82" spans="1:20" ht="26.4" x14ac:dyDescent="0.3">
      <c r="A82" s="2" t="s">
        <v>226</v>
      </c>
      <c r="B82" s="2" t="s">
        <v>273</v>
      </c>
      <c r="C82" s="3">
        <v>647</v>
      </c>
      <c r="D82" s="4" t="s">
        <v>274</v>
      </c>
      <c r="E82" s="2" t="s">
        <v>229</v>
      </c>
      <c r="F82" s="2" t="s">
        <v>230</v>
      </c>
      <c r="G82" s="3" t="s">
        <v>25</v>
      </c>
      <c r="H82" s="3" t="s">
        <v>32</v>
      </c>
      <c r="I82" s="3" t="s">
        <v>27</v>
      </c>
      <c r="J82" s="5">
        <v>2.5</v>
      </c>
      <c r="K82" s="3" t="s">
        <v>38</v>
      </c>
      <c r="L82" s="6">
        <v>4</v>
      </c>
      <c r="M82" s="6">
        <v>4</v>
      </c>
      <c r="N82" s="6">
        <v>4</v>
      </c>
      <c r="O82" s="3">
        <f>ROUND(L82*[1]Criterios!$C$5+M82*[1]Criterios!$C$6+N82*[1]Criterios!$C$7,2)</f>
        <v>4</v>
      </c>
      <c r="P82" s="3" t="str">
        <f>IF(O82&gt;=[1]Criterios!$C$10,"Núcleo",IF(O82&gt;=[1]Criterios!$C$11,"Complementario","Referencia"))</f>
        <v>Complementario</v>
      </c>
      <c r="Q82" s="3" t="str">
        <f t="shared" si="2"/>
        <v>Sin dato</v>
      </c>
      <c r="R82" s="7" t="str">
        <f t="shared" si="3"/>
        <v/>
      </c>
      <c r="S82" s="2"/>
      <c r="T82" s="2" t="s">
        <v>275</v>
      </c>
    </row>
    <row r="83" spans="1:20" ht="26.4" x14ac:dyDescent="0.3">
      <c r="A83" s="2" t="s">
        <v>226</v>
      </c>
      <c r="B83" s="2" t="s">
        <v>273</v>
      </c>
      <c r="C83" s="3">
        <v>648</v>
      </c>
      <c r="D83" s="4" t="s">
        <v>276</v>
      </c>
      <c r="E83" s="2" t="s">
        <v>229</v>
      </c>
      <c r="F83" s="2" t="s">
        <v>230</v>
      </c>
      <c r="G83" s="3" t="s">
        <v>25</v>
      </c>
      <c r="H83" s="3" t="s">
        <v>32</v>
      </c>
      <c r="I83" s="3" t="s">
        <v>27</v>
      </c>
      <c r="J83" s="5">
        <v>20</v>
      </c>
      <c r="K83" s="3" t="s">
        <v>38</v>
      </c>
      <c r="L83" s="6">
        <v>3</v>
      </c>
      <c r="M83" s="6">
        <v>3</v>
      </c>
      <c r="N83" s="6">
        <v>3</v>
      </c>
      <c r="O83" s="3">
        <f>ROUND(L83*[1]Criterios!$C$5+M83*[1]Criterios!$C$6+N83*[1]Criterios!$C$7,2)</f>
        <v>3</v>
      </c>
      <c r="P83" s="3" t="str">
        <f>IF(O83&gt;=[1]Criterios!$C$10,"Núcleo",IF(O83&gt;=[1]Criterios!$C$11,"Complementario","Referencia"))</f>
        <v>Complementario</v>
      </c>
      <c r="Q83" s="3" t="str">
        <f t="shared" si="2"/>
        <v>Sin dato</v>
      </c>
      <c r="R83" s="7" t="str">
        <f t="shared" si="3"/>
        <v/>
      </c>
      <c r="S83" s="2"/>
      <c r="T83" s="2" t="s">
        <v>277</v>
      </c>
    </row>
    <row r="84" spans="1:20" ht="26.4" x14ac:dyDescent="0.3">
      <c r="A84" s="2" t="s">
        <v>226</v>
      </c>
      <c r="B84" s="2" t="s">
        <v>273</v>
      </c>
      <c r="C84" s="3">
        <v>232</v>
      </c>
      <c r="D84" s="4" t="s">
        <v>278</v>
      </c>
      <c r="E84" s="2" t="s">
        <v>229</v>
      </c>
      <c r="F84" s="2" t="s">
        <v>230</v>
      </c>
      <c r="G84" s="3" t="s">
        <v>4</v>
      </c>
      <c r="H84" s="3" t="s">
        <v>32</v>
      </c>
      <c r="I84" s="3" t="s">
        <v>27</v>
      </c>
      <c r="J84" s="5">
        <v>90</v>
      </c>
      <c r="K84" s="5">
        <v>100</v>
      </c>
      <c r="L84" s="6">
        <v>3</v>
      </c>
      <c r="M84" s="6">
        <v>3</v>
      </c>
      <c r="N84" s="6">
        <v>2</v>
      </c>
      <c r="O84" s="3">
        <f>ROUND(L84*[1]Criterios!$C$5+M84*[1]Criterios!$C$6+N84*[1]Criterios!$C$7,2)</f>
        <v>2.7</v>
      </c>
      <c r="P84" s="3" t="str">
        <f>IF(O84&gt;=[1]Criterios!$C$10,"Núcleo",IF(O84&gt;=[1]Criterios!$C$11,"Complementario","Referencia"))</f>
        <v>Referencia</v>
      </c>
      <c r="Q84" s="3" t="str">
        <f t="shared" si="2"/>
        <v>Cumple</v>
      </c>
      <c r="R84" s="7">
        <f t="shared" si="3"/>
        <v>1</v>
      </c>
      <c r="S84" s="2"/>
      <c r="T84" s="2" t="s">
        <v>279</v>
      </c>
    </row>
    <row r="85" spans="1:20" ht="39.6" x14ac:dyDescent="0.3">
      <c r="A85" s="2" t="s">
        <v>226</v>
      </c>
      <c r="B85" s="2" t="s">
        <v>273</v>
      </c>
      <c r="C85" s="3">
        <v>655</v>
      </c>
      <c r="D85" s="4" t="s">
        <v>280</v>
      </c>
      <c r="E85" s="2" t="s">
        <v>229</v>
      </c>
      <c r="F85" s="2" t="s">
        <v>230</v>
      </c>
      <c r="G85" s="3" t="s">
        <v>25</v>
      </c>
      <c r="H85" s="3" t="s">
        <v>32</v>
      </c>
      <c r="I85" s="3" t="s">
        <v>27</v>
      </c>
      <c r="J85" s="5">
        <v>4000</v>
      </c>
      <c r="K85" s="3" t="s">
        <v>38</v>
      </c>
      <c r="L85" s="6">
        <v>3</v>
      </c>
      <c r="M85" s="6">
        <v>2</v>
      </c>
      <c r="N85" s="6">
        <v>2</v>
      </c>
      <c r="O85" s="3">
        <f>ROUND(L85*[1]Criterios!$C$5+M85*[1]Criterios!$C$6+N85*[1]Criterios!$C$7,2)</f>
        <v>2.4</v>
      </c>
      <c r="P85" s="3" t="str">
        <f>IF(O85&gt;=[1]Criterios!$C$10,"Núcleo",IF(O85&gt;=[1]Criterios!$C$11,"Complementario","Referencia"))</f>
        <v>Referencia</v>
      </c>
      <c r="Q85" s="3" t="str">
        <f t="shared" si="2"/>
        <v>Sin dato</v>
      </c>
      <c r="R85" s="7" t="str">
        <f t="shared" si="3"/>
        <v/>
      </c>
      <c r="S85" s="2"/>
      <c r="T85" s="2" t="s">
        <v>281</v>
      </c>
    </row>
    <row r="86" spans="1:20" ht="26.4" x14ac:dyDescent="0.3">
      <c r="A86" s="2" t="s">
        <v>104</v>
      </c>
      <c r="B86" s="2" t="s">
        <v>282</v>
      </c>
      <c r="C86" s="3">
        <v>124</v>
      </c>
      <c r="D86" s="4" t="s">
        <v>283</v>
      </c>
      <c r="E86" s="2" t="s">
        <v>284</v>
      </c>
      <c r="F86" s="2" t="s">
        <v>285</v>
      </c>
      <c r="G86" s="3" t="s">
        <v>25</v>
      </c>
      <c r="H86" s="3" t="s">
        <v>146</v>
      </c>
      <c r="I86" s="3" t="s">
        <v>41</v>
      </c>
      <c r="J86" s="5">
        <v>0.2</v>
      </c>
      <c r="K86" s="3" t="s">
        <v>38</v>
      </c>
      <c r="L86" s="6">
        <v>5</v>
      </c>
      <c r="M86" s="6">
        <v>5</v>
      </c>
      <c r="N86" s="6">
        <v>5</v>
      </c>
      <c r="O86" s="3">
        <f>ROUND(L86*[1]Criterios!$C$5+M86*[1]Criterios!$C$6+N86*[1]Criterios!$C$7,2)</f>
        <v>5</v>
      </c>
      <c r="P86" s="3" t="str">
        <f>IF(O86&gt;=[1]Criterios!$C$10,"Núcleo",IF(O86&gt;=[1]Criterios!$C$11,"Complementario","Referencia"))</f>
        <v>Núcleo</v>
      </c>
      <c r="Q86" s="3" t="str">
        <f t="shared" si="2"/>
        <v>Sin dato</v>
      </c>
      <c r="R86" s="7" t="str">
        <f t="shared" si="3"/>
        <v/>
      </c>
      <c r="S86" s="2"/>
      <c r="T86" s="2" t="s">
        <v>286</v>
      </c>
    </row>
    <row r="87" spans="1:20" ht="26.4" x14ac:dyDescent="0.3">
      <c r="A87" s="2" t="s">
        <v>104</v>
      </c>
      <c r="B87" s="2" t="s">
        <v>282</v>
      </c>
      <c r="C87" s="3">
        <v>272</v>
      </c>
      <c r="D87" s="4" t="s">
        <v>287</v>
      </c>
      <c r="E87" s="2" t="s">
        <v>284</v>
      </c>
      <c r="F87" s="2" t="s">
        <v>285</v>
      </c>
      <c r="G87" s="3" t="s">
        <v>25</v>
      </c>
      <c r="H87" s="3" t="s">
        <v>26</v>
      </c>
      <c r="I87" s="3" t="s">
        <v>41</v>
      </c>
      <c r="J87" s="5">
        <v>0</v>
      </c>
      <c r="K87" s="5">
        <v>0</v>
      </c>
      <c r="L87" s="6">
        <v>5</v>
      </c>
      <c r="M87" s="6">
        <v>5</v>
      </c>
      <c r="N87" s="6">
        <v>5</v>
      </c>
      <c r="O87" s="3">
        <f>ROUND(L87*[1]Criterios!$C$5+M87*[1]Criterios!$C$6+N87*[1]Criterios!$C$7,2)</f>
        <v>5</v>
      </c>
      <c r="P87" s="3" t="str">
        <f>IF(O87&gt;=[1]Criterios!$C$10,"Núcleo",IF(O87&gt;=[1]Criterios!$C$11,"Complementario","Referencia"))</f>
        <v>Núcleo</v>
      </c>
      <c r="Q87" s="3" t="str">
        <f t="shared" si="2"/>
        <v>Cumple</v>
      </c>
      <c r="R87" s="7">
        <f t="shared" si="3"/>
        <v>1</v>
      </c>
      <c r="S87" s="2"/>
      <c r="T87" s="2" t="s">
        <v>288</v>
      </c>
    </row>
    <row r="88" spans="1:20" ht="26.4" x14ac:dyDescent="0.3">
      <c r="A88" s="2" t="s">
        <v>104</v>
      </c>
      <c r="B88" s="2" t="s">
        <v>282</v>
      </c>
      <c r="C88" s="3">
        <v>125</v>
      </c>
      <c r="D88" s="4" t="s">
        <v>289</v>
      </c>
      <c r="E88" s="2" t="s">
        <v>284</v>
      </c>
      <c r="F88" s="2" t="s">
        <v>285</v>
      </c>
      <c r="G88" s="3" t="s">
        <v>25</v>
      </c>
      <c r="H88" s="3" t="s">
        <v>146</v>
      </c>
      <c r="I88" s="3" t="s">
        <v>41</v>
      </c>
      <c r="J88" s="5">
        <v>0.7</v>
      </c>
      <c r="K88" s="5">
        <v>0.3</v>
      </c>
      <c r="L88" s="6">
        <v>5</v>
      </c>
      <c r="M88" s="6">
        <v>4</v>
      </c>
      <c r="N88" s="6">
        <v>5</v>
      </c>
      <c r="O88" s="3">
        <f>ROUND(L88*[1]Criterios!$C$5+M88*[1]Criterios!$C$6+N88*[1]Criterios!$C$7,2)</f>
        <v>4.7</v>
      </c>
      <c r="P88" s="3" t="str">
        <f>IF(O88&gt;=[1]Criterios!$C$10,"Núcleo",IF(O88&gt;=[1]Criterios!$C$11,"Complementario","Referencia"))</f>
        <v>Núcleo</v>
      </c>
      <c r="Q88" s="3" t="str">
        <f t="shared" si="2"/>
        <v>Cumple</v>
      </c>
      <c r="R88" s="7">
        <f t="shared" si="3"/>
        <v>1</v>
      </c>
      <c r="S88" s="2"/>
      <c r="T88" s="2" t="s">
        <v>290</v>
      </c>
    </row>
    <row r="89" spans="1:20" ht="26.4" x14ac:dyDescent="0.3">
      <c r="A89" s="2" t="s">
        <v>104</v>
      </c>
      <c r="B89" s="2" t="s">
        <v>282</v>
      </c>
      <c r="C89" s="3">
        <v>104</v>
      </c>
      <c r="D89" s="4" t="s">
        <v>291</v>
      </c>
      <c r="E89" s="2" t="s">
        <v>284</v>
      </c>
      <c r="F89" s="2" t="s">
        <v>285</v>
      </c>
      <c r="G89" s="3" t="s">
        <v>25</v>
      </c>
      <c r="H89" s="3" t="s">
        <v>26</v>
      </c>
      <c r="I89" s="3" t="s">
        <v>41</v>
      </c>
      <c r="J89" s="5">
        <v>1.2</v>
      </c>
      <c r="K89" s="5">
        <v>0.21</v>
      </c>
      <c r="L89" s="6">
        <v>4</v>
      </c>
      <c r="M89" s="6">
        <v>4</v>
      </c>
      <c r="N89" s="6">
        <v>4</v>
      </c>
      <c r="O89" s="3">
        <f>ROUND(L89*[1]Criterios!$C$5+M89*[1]Criterios!$C$6+N89*[1]Criterios!$C$7,2)</f>
        <v>4</v>
      </c>
      <c r="P89" s="3" t="str">
        <f>IF(O89&gt;=[1]Criterios!$C$10,"Núcleo",IF(O89&gt;=[1]Criterios!$C$11,"Complementario","Referencia"))</f>
        <v>Complementario</v>
      </c>
      <c r="Q89" s="3" t="str">
        <f t="shared" si="2"/>
        <v>Cumple</v>
      </c>
      <c r="R89" s="7">
        <f t="shared" si="3"/>
        <v>1</v>
      </c>
      <c r="S89" s="2"/>
      <c r="T89" s="2" t="s">
        <v>292</v>
      </c>
    </row>
    <row r="90" spans="1:20" ht="26.4" x14ac:dyDescent="0.3">
      <c r="A90" s="2" t="s">
        <v>104</v>
      </c>
      <c r="B90" s="2" t="s">
        <v>282</v>
      </c>
      <c r="C90" s="3">
        <v>86</v>
      </c>
      <c r="D90" s="4" t="s">
        <v>293</v>
      </c>
      <c r="E90" s="2" t="s">
        <v>284</v>
      </c>
      <c r="F90" s="2" t="s">
        <v>285</v>
      </c>
      <c r="G90" s="3" t="s">
        <v>4</v>
      </c>
      <c r="H90" s="3" t="s">
        <v>32</v>
      </c>
      <c r="I90" s="3" t="s">
        <v>27</v>
      </c>
      <c r="J90" s="5">
        <v>100</v>
      </c>
      <c r="K90" s="5">
        <v>100</v>
      </c>
      <c r="L90" s="6">
        <v>4</v>
      </c>
      <c r="M90" s="6">
        <v>4</v>
      </c>
      <c r="N90" s="6">
        <v>3</v>
      </c>
      <c r="O90" s="3">
        <f>ROUND(L90*[1]Criterios!$C$5+M90*[1]Criterios!$C$6+N90*[1]Criterios!$C$7,2)</f>
        <v>3.7</v>
      </c>
      <c r="P90" s="3" t="str">
        <f>IF(O90&gt;=[1]Criterios!$C$10,"Núcleo",IF(O90&gt;=[1]Criterios!$C$11,"Complementario","Referencia"))</f>
        <v>Complementario</v>
      </c>
      <c r="Q90" s="3" t="str">
        <f t="shared" si="2"/>
        <v>Cumple</v>
      </c>
      <c r="R90" s="7">
        <f t="shared" si="3"/>
        <v>1</v>
      </c>
      <c r="S90" s="2"/>
      <c r="T90" s="2" t="s">
        <v>294</v>
      </c>
    </row>
    <row r="91" spans="1:20" ht="26.4" x14ac:dyDescent="0.3">
      <c r="A91" s="2" t="s">
        <v>104</v>
      </c>
      <c r="B91" s="2" t="s">
        <v>295</v>
      </c>
      <c r="C91" s="3">
        <v>127</v>
      </c>
      <c r="D91" s="4" t="s">
        <v>296</v>
      </c>
      <c r="E91" s="2" t="s">
        <v>284</v>
      </c>
      <c r="F91" s="2" t="s">
        <v>285</v>
      </c>
      <c r="G91" s="3" t="s">
        <v>25</v>
      </c>
      <c r="H91" s="3" t="s">
        <v>26</v>
      </c>
      <c r="I91" s="3" t="s">
        <v>41</v>
      </c>
      <c r="J91" s="5">
        <v>0</v>
      </c>
      <c r="K91" s="5">
        <v>0</v>
      </c>
      <c r="L91" s="6">
        <v>5</v>
      </c>
      <c r="M91" s="6">
        <v>5</v>
      </c>
      <c r="N91" s="6">
        <v>5</v>
      </c>
      <c r="O91" s="3">
        <f>ROUND(L91*[1]Criterios!$C$5+M91*[1]Criterios!$C$6+N91*[1]Criterios!$C$7,2)</f>
        <v>5</v>
      </c>
      <c r="P91" s="3" t="str">
        <f>IF(O91&gt;=[1]Criterios!$C$10,"Núcleo",IF(O91&gt;=[1]Criterios!$C$11,"Complementario","Referencia"))</f>
        <v>Núcleo</v>
      </c>
      <c r="Q91" s="3" t="str">
        <f t="shared" si="2"/>
        <v>Cumple</v>
      </c>
      <c r="R91" s="7">
        <f t="shared" si="3"/>
        <v>1</v>
      </c>
      <c r="S91" s="2"/>
      <c r="T91" s="2" t="s">
        <v>297</v>
      </c>
    </row>
    <row r="92" spans="1:20" ht="26.4" x14ac:dyDescent="0.3">
      <c r="A92" s="2" t="s">
        <v>104</v>
      </c>
      <c r="B92" s="2" t="s">
        <v>295</v>
      </c>
      <c r="C92" s="3">
        <v>126</v>
      </c>
      <c r="D92" s="4" t="s">
        <v>298</v>
      </c>
      <c r="E92" s="2" t="s">
        <v>284</v>
      </c>
      <c r="F92" s="2" t="s">
        <v>285</v>
      </c>
      <c r="G92" s="3" t="s">
        <v>25</v>
      </c>
      <c r="H92" s="3" t="s">
        <v>26</v>
      </c>
      <c r="I92" s="3" t="s">
        <v>41</v>
      </c>
      <c r="J92" s="5">
        <v>2</v>
      </c>
      <c r="K92" s="5">
        <v>0.16</v>
      </c>
      <c r="L92" s="6">
        <v>5</v>
      </c>
      <c r="M92" s="6">
        <v>4</v>
      </c>
      <c r="N92" s="6">
        <v>4</v>
      </c>
      <c r="O92" s="3">
        <f>ROUND(L92*[1]Criterios!$C$5+M92*[1]Criterios!$C$6+N92*[1]Criterios!$C$7,2)</f>
        <v>4.4000000000000004</v>
      </c>
      <c r="P92" s="3" t="str">
        <f>IF(O92&gt;=[1]Criterios!$C$10,"Núcleo",IF(O92&gt;=[1]Criterios!$C$11,"Complementario","Referencia"))</f>
        <v>Núcleo</v>
      </c>
      <c r="Q92" s="3" t="str">
        <f t="shared" si="2"/>
        <v>Cumple</v>
      </c>
      <c r="R92" s="7">
        <f t="shared" si="3"/>
        <v>1</v>
      </c>
      <c r="S92" s="2"/>
      <c r="T92" s="2" t="s">
        <v>299</v>
      </c>
    </row>
    <row r="93" spans="1:20" ht="26.4" x14ac:dyDescent="0.3">
      <c r="A93" s="2" t="s">
        <v>104</v>
      </c>
      <c r="B93" s="2" t="s">
        <v>295</v>
      </c>
      <c r="C93" s="3">
        <v>128</v>
      </c>
      <c r="D93" s="4" t="s">
        <v>300</v>
      </c>
      <c r="E93" s="2" t="s">
        <v>284</v>
      </c>
      <c r="F93" s="2" t="s">
        <v>285</v>
      </c>
      <c r="G93" s="3" t="s">
        <v>25</v>
      </c>
      <c r="H93" s="3" t="s">
        <v>146</v>
      </c>
      <c r="I93" s="3" t="s">
        <v>41</v>
      </c>
      <c r="J93" s="5">
        <v>1.1000000000000001</v>
      </c>
      <c r="K93" s="3" t="s">
        <v>38</v>
      </c>
      <c r="L93" s="6">
        <v>4</v>
      </c>
      <c r="M93" s="6">
        <v>4</v>
      </c>
      <c r="N93" s="6">
        <v>4</v>
      </c>
      <c r="O93" s="3">
        <f>ROUND(L93*[1]Criterios!$C$5+M93*[1]Criterios!$C$6+N93*[1]Criterios!$C$7,2)</f>
        <v>4</v>
      </c>
      <c r="P93" s="3" t="str">
        <f>IF(O93&gt;=[1]Criterios!$C$10,"Núcleo",IF(O93&gt;=[1]Criterios!$C$11,"Complementario","Referencia"))</f>
        <v>Complementario</v>
      </c>
      <c r="Q93" s="3" t="str">
        <f t="shared" si="2"/>
        <v>Sin dato</v>
      </c>
      <c r="R93" s="7" t="str">
        <f t="shared" si="3"/>
        <v/>
      </c>
      <c r="S93" s="2"/>
      <c r="T93" s="2" t="s">
        <v>301</v>
      </c>
    </row>
    <row r="94" spans="1:20" ht="26.4" x14ac:dyDescent="0.3">
      <c r="A94" s="2" t="s">
        <v>104</v>
      </c>
      <c r="B94" s="2" t="s">
        <v>295</v>
      </c>
      <c r="C94" s="3">
        <v>431</v>
      </c>
      <c r="D94" s="4" t="s">
        <v>302</v>
      </c>
      <c r="E94" s="2" t="s">
        <v>284</v>
      </c>
      <c r="F94" s="2" t="s">
        <v>285</v>
      </c>
      <c r="G94" s="3" t="s">
        <v>4</v>
      </c>
      <c r="H94" s="3" t="s">
        <v>156</v>
      </c>
      <c r="I94" s="3" t="s">
        <v>27</v>
      </c>
      <c r="J94" s="5">
        <v>100</v>
      </c>
      <c r="K94" s="3" t="s">
        <v>38</v>
      </c>
      <c r="L94" s="6">
        <v>4</v>
      </c>
      <c r="M94" s="6">
        <v>3</v>
      </c>
      <c r="N94" s="6">
        <v>4</v>
      </c>
      <c r="O94" s="3">
        <f>ROUND(L94*[1]Criterios!$C$5+M94*[1]Criterios!$C$6+N94*[1]Criterios!$C$7,2)</f>
        <v>3.7</v>
      </c>
      <c r="P94" s="3" t="str">
        <f>IF(O94&gt;=[1]Criterios!$C$10,"Núcleo",IF(O94&gt;=[1]Criterios!$C$11,"Complementario","Referencia"))</f>
        <v>Complementario</v>
      </c>
      <c r="Q94" s="3" t="str">
        <f t="shared" si="2"/>
        <v>Sin dato</v>
      </c>
      <c r="R94" s="7" t="str">
        <f t="shared" si="3"/>
        <v/>
      </c>
      <c r="S94" s="2"/>
      <c r="T94" s="2" t="s">
        <v>303</v>
      </c>
    </row>
    <row r="95" spans="1:20" ht="26.4" x14ac:dyDescent="0.3">
      <c r="A95" s="2" t="s">
        <v>104</v>
      </c>
      <c r="B95" s="2" t="s">
        <v>295</v>
      </c>
      <c r="C95" s="3">
        <v>92</v>
      </c>
      <c r="D95" s="4" t="s">
        <v>304</v>
      </c>
      <c r="E95" s="2" t="s">
        <v>284</v>
      </c>
      <c r="F95" s="2" t="s">
        <v>285</v>
      </c>
      <c r="G95" s="3" t="s">
        <v>4</v>
      </c>
      <c r="H95" s="3" t="s">
        <v>26</v>
      </c>
      <c r="I95" s="3" t="s">
        <v>27</v>
      </c>
      <c r="J95" s="5">
        <v>98</v>
      </c>
      <c r="K95" s="5">
        <v>100</v>
      </c>
      <c r="L95" s="6">
        <v>4</v>
      </c>
      <c r="M95" s="6">
        <v>3</v>
      </c>
      <c r="N95" s="6">
        <v>3</v>
      </c>
      <c r="O95" s="3">
        <f>ROUND(L95*[1]Criterios!$C$5+M95*[1]Criterios!$C$6+N95*[1]Criterios!$C$7,2)</f>
        <v>3.4</v>
      </c>
      <c r="P95" s="3" t="str">
        <f>IF(O95&gt;=[1]Criterios!$C$10,"Núcleo",IF(O95&gt;=[1]Criterios!$C$11,"Complementario","Referencia"))</f>
        <v>Complementario</v>
      </c>
      <c r="Q95" s="3" t="str">
        <f t="shared" si="2"/>
        <v>Cumple</v>
      </c>
      <c r="R95" s="7">
        <f t="shared" si="3"/>
        <v>1</v>
      </c>
      <c r="S95" s="2"/>
      <c r="T95" s="2" t="s">
        <v>305</v>
      </c>
    </row>
    <row r="96" spans="1:20" ht="26.4" x14ac:dyDescent="0.3">
      <c r="A96" s="2" t="s">
        <v>104</v>
      </c>
      <c r="B96" s="2" t="s">
        <v>295</v>
      </c>
      <c r="C96" s="3">
        <v>484</v>
      </c>
      <c r="D96" s="4" t="s">
        <v>306</v>
      </c>
      <c r="E96" s="2" t="s">
        <v>284</v>
      </c>
      <c r="F96" s="2" t="s">
        <v>285</v>
      </c>
      <c r="G96" s="3" t="s">
        <v>4</v>
      </c>
      <c r="H96" s="3" t="s">
        <v>156</v>
      </c>
      <c r="I96" s="3" t="s">
        <v>27</v>
      </c>
      <c r="J96" s="5">
        <v>90</v>
      </c>
      <c r="K96" s="3" t="s">
        <v>38</v>
      </c>
      <c r="L96" s="6">
        <v>4</v>
      </c>
      <c r="M96" s="6">
        <v>3</v>
      </c>
      <c r="N96" s="6">
        <v>3</v>
      </c>
      <c r="O96" s="3">
        <f>ROUND(L96*[1]Criterios!$C$5+M96*[1]Criterios!$C$6+N96*[1]Criterios!$C$7,2)</f>
        <v>3.4</v>
      </c>
      <c r="P96" s="3" t="str">
        <f>IF(O96&gt;=[1]Criterios!$C$10,"Núcleo",IF(O96&gt;=[1]Criterios!$C$11,"Complementario","Referencia"))</f>
        <v>Complementario</v>
      </c>
      <c r="Q96" s="3" t="str">
        <f t="shared" si="2"/>
        <v>Sin dato</v>
      </c>
      <c r="R96" s="7" t="str">
        <f t="shared" si="3"/>
        <v/>
      </c>
      <c r="S96" s="2"/>
      <c r="T96" s="2" t="s">
        <v>307</v>
      </c>
    </row>
    <row r="97" spans="1:20" ht="26.4" x14ac:dyDescent="0.3">
      <c r="A97" s="2" t="s">
        <v>104</v>
      </c>
      <c r="B97" s="2" t="s">
        <v>308</v>
      </c>
      <c r="C97" s="3">
        <v>432</v>
      </c>
      <c r="D97" s="4" t="s">
        <v>309</v>
      </c>
      <c r="E97" s="2" t="s">
        <v>284</v>
      </c>
      <c r="F97" s="2" t="s">
        <v>285</v>
      </c>
      <c r="G97" s="3" t="s">
        <v>4</v>
      </c>
      <c r="H97" s="3" t="s">
        <v>156</v>
      </c>
      <c r="I97" s="3" t="s">
        <v>27</v>
      </c>
      <c r="J97" s="5">
        <v>90</v>
      </c>
      <c r="K97" s="3" t="s">
        <v>38</v>
      </c>
      <c r="L97" s="6">
        <v>5</v>
      </c>
      <c r="M97" s="6">
        <v>4</v>
      </c>
      <c r="N97" s="6">
        <v>4</v>
      </c>
      <c r="O97" s="3">
        <f>ROUND(L97*[1]Criterios!$C$5+M97*[1]Criterios!$C$6+N97*[1]Criterios!$C$7,2)</f>
        <v>4.4000000000000004</v>
      </c>
      <c r="P97" s="3" t="str">
        <f>IF(O97&gt;=[1]Criterios!$C$10,"Núcleo",IF(O97&gt;=[1]Criterios!$C$11,"Complementario","Referencia"))</f>
        <v>Núcleo</v>
      </c>
      <c r="Q97" s="3" t="str">
        <f t="shared" si="2"/>
        <v>Sin dato</v>
      </c>
      <c r="R97" s="7" t="str">
        <f t="shared" si="3"/>
        <v/>
      </c>
      <c r="S97" s="2"/>
      <c r="T97" s="2" t="s">
        <v>310</v>
      </c>
    </row>
    <row r="98" spans="1:20" ht="26.4" x14ac:dyDescent="0.3">
      <c r="A98" s="2" t="s">
        <v>104</v>
      </c>
      <c r="B98" s="2" t="s">
        <v>308</v>
      </c>
      <c r="C98" s="3">
        <v>88</v>
      </c>
      <c r="D98" s="4" t="s">
        <v>311</v>
      </c>
      <c r="E98" s="2" t="s">
        <v>284</v>
      </c>
      <c r="F98" s="2" t="s">
        <v>285</v>
      </c>
      <c r="G98" s="3" t="s">
        <v>4</v>
      </c>
      <c r="H98" s="3" t="s">
        <v>26</v>
      </c>
      <c r="I98" s="3" t="s">
        <v>27</v>
      </c>
      <c r="J98" s="5">
        <v>100</v>
      </c>
      <c r="K98" s="5">
        <v>100</v>
      </c>
      <c r="L98" s="6">
        <v>5</v>
      </c>
      <c r="M98" s="6">
        <v>4</v>
      </c>
      <c r="N98" s="6">
        <v>3</v>
      </c>
      <c r="O98" s="3">
        <f>ROUND(L98*[1]Criterios!$C$5+M98*[1]Criterios!$C$6+N98*[1]Criterios!$C$7,2)</f>
        <v>4.0999999999999996</v>
      </c>
      <c r="P98" s="3" t="str">
        <f>IF(O98&gt;=[1]Criterios!$C$10,"Núcleo",IF(O98&gt;=[1]Criterios!$C$11,"Complementario","Referencia"))</f>
        <v>Complementario</v>
      </c>
      <c r="Q98" s="3" t="str">
        <f t="shared" si="2"/>
        <v>Cumple</v>
      </c>
      <c r="R98" s="7">
        <f t="shared" si="3"/>
        <v>1</v>
      </c>
      <c r="S98" s="2"/>
      <c r="T98" s="2" t="s">
        <v>312</v>
      </c>
    </row>
    <row r="99" spans="1:20" ht="26.4" x14ac:dyDescent="0.3">
      <c r="A99" s="2" t="s">
        <v>104</v>
      </c>
      <c r="B99" s="2" t="s">
        <v>308</v>
      </c>
      <c r="C99" s="3">
        <v>85</v>
      </c>
      <c r="D99" s="4" t="s">
        <v>313</v>
      </c>
      <c r="E99" s="2" t="s">
        <v>284</v>
      </c>
      <c r="F99" s="2" t="s">
        <v>285</v>
      </c>
      <c r="G99" s="3" t="s">
        <v>4</v>
      </c>
      <c r="H99" s="3" t="s">
        <v>26</v>
      </c>
      <c r="I99" s="3" t="s">
        <v>27</v>
      </c>
      <c r="J99" s="5">
        <v>100</v>
      </c>
      <c r="K99" s="5">
        <v>100</v>
      </c>
      <c r="L99" s="6">
        <v>4</v>
      </c>
      <c r="M99" s="6">
        <v>4</v>
      </c>
      <c r="N99" s="6">
        <v>3</v>
      </c>
      <c r="O99" s="3">
        <f>ROUND(L99*[1]Criterios!$C$5+M99*[1]Criterios!$C$6+N99*[1]Criterios!$C$7,2)</f>
        <v>3.7</v>
      </c>
      <c r="P99" s="3" t="str">
        <f>IF(O99&gt;=[1]Criterios!$C$10,"Núcleo",IF(O99&gt;=[1]Criterios!$C$11,"Complementario","Referencia"))</f>
        <v>Complementario</v>
      </c>
      <c r="Q99" s="3" t="str">
        <f t="shared" si="2"/>
        <v>Cumple</v>
      </c>
      <c r="R99" s="7">
        <f t="shared" si="3"/>
        <v>1</v>
      </c>
      <c r="S99" s="2"/>
      <c r="T99" s="2" t="s">
        <v>314</v>
      </c>
    </row>
    <row r="100" spans="1:20" ht="26.4" x14ac:dyDescent="0.3">
      <c r="A100" s="2" t="s">
        <v>104</v>
      </c>
      <c r="B100" s="2" t="s">
        <v>308</v>
      </c>
      <c r="C100" s="3">
        <v>89</v>
      </c>
      <c r="D100" s="4" t="s">
        <v>315</v>
      </c>
      <c r="E100" s="2" t="s">
        <v>284</v>
      </c>
      <c r="F100" s="2" t="s">
        <v>285</v>
      </c>
      <c r="G100" s="3" t="s">
        <v>4</v>
      </c>
      <c r="H100" s="3" t="s">
        <v>26</v>
      </c>
      <c r="I100" s="3" t="s">
        <v>27</v>
      </c>
      <c r="J100" s="5">
        <v>100</v>
      </c>
      <c r="K100" s="5">
        <v>100</v>
      </c>
      <c r="L100" s="6">
        <v>4</v>
      </c>
      <c r="M100" s="6">
        <v>3</v>
      </c>
      <c r="N100" s="6">
        <v>3</v>
      </c>
      <c r="O100" s="3">
        <f>ROUND(L100*[1]Criterios!$C$5+M100*[1]Criterios!$C$6+N100*[1]Criterios!$C$7,2)</f>
        <v>3.4</v>
      </c>
      <c r="P100" s="3" t="str">
        <f>IF(O100&gt;=[1]Criterios!$C$10,"Núcleo",IF(O100&gt;=[1]Criterios!$C$11,"Complementario","Referencia"))</f>
        <v>Complementario</v>
      </c>
      <c r="Q100" s="3" t="str">
        <f t="shared" si="2"/>
        <v>Cumple</v>
      </c>
      <c r="R100" s="7">
        <f t="shared" si="3"/>
        <v>1</v>
      </c>
      <c r="S100" s="2"/>
      <c r="T100" s="2" t="s">
        <v>316</v>
      </c>
    </row>
    <row r="101" spans="1:20" ht="26.4" x14ac:dyDescent="0.3">
      <c r="A101" s="2" t="s">
        <v>104</v>
      </c>
      <c r="B101" s="2" t="s">
        <v>308</v>
      </c>
      <c r="C101" s="3">
        <v>94</v>
      </c>
      <c r="D101" s="4" t="s">
        <v>317</v>
      </c>
      <c r="E101" s="2" t="s">
        <v>284</v>
      </c>
      <c r="F101" s="2" t="s">
        <v>285</v>
      </c>
      <c r="G101" s="3" t="s">
        <v>4</v>
      </c>
      <c r="H101" s="3" t="s">
        <v>26</v>
      </c>
      <c r="I101" s="3" t="s">
        <v>27</v>
      </c>
      <c r="J101" s="5">
        <v>100</v>
      </c>
      <c r="K101" s="5">
        <v>100</v>
      </c>
      <c r="L101" s="6">
        <v>4</v>
      </c>
      <c r="M101" s="6">
        <v>3</v>
      </c>
      <c r="N101" s="6">
        <v>3</v>
      </c>
      <c r="O101" s="3">
        <f>ROUND(L101*[1]Criterios!$C$5+M101*[1]Criterios!$C$6+N101*[1]Criterios!$C$7,2)</f>
        <v>3.4</v>
      </c>
      <c r="P101" s="3" t="str">
        <f>IF(O101&gt;=[1]Criterios!$C$10,"Núcleo",IF(O101&gt;=[1]Criterios!$C$11,"Complementario","Referencia"))</f>
        <v>Complementario</v>
      </c>
      <c r="Q101" s="3" t="str">
        <f t="shared" si="2"/>
        <v>Cumple</v>
      </c>
      <c r="R101" s="7">
        <f t="shared" si="3"/>
        <v>1</v>
      </c>
      <c r="S101" s="2"/>
      <c r="T101" s="2" t="s">
        <v>318</v>
      </c>
    </row>
    <row r="102" spans="1:20" ht="26.4" x14ac:dyDescent="0.3">
      <c r="A102" s="2" t="s">
        <v>104</v>
      </c>
      <c r="B102" s="2" t="s">
        <v>308</v>
      </c>
      <c r="C102" s="3">
        <v>95</v>
      </c>
      <c r="D102" s="4" t="s">
        <v>319</v>
      </c>
      <c r="E102" s="2" t="s">
        <v>284</v>
      </c>
      <c r="F102" s="2" t="s">
        <v>285</v>
      </c>
      <c r="G102" s="3" t="s">
        <v>4</v>
      </c>
      <c r="H102" s="3" t="s">
        <v>32</v>
      </c>
      <c r="I102" s="3" t="s">
        <v>27</v>
      </c>
      <c r="J102" s="5">
        <v>100</v>
      </c>
      <c r="K102" s="5">
        <v>100</v>
      </c>
      <c r="L102" s="6">
        <v>4</v>
      </c>
      <c r="M102" s="6">
        <v>3</v>
      </c>
      <c r="N102" s="6">
        <v>3</v>
      </c>
      <c r="O102" s="3">
        <f>ROUND(L102*[1]Criterios!$C$5+M102*[1]Criterios!$C$6+N102*[1]Criterios!$C$7,2)</f>
        <v>3.4</v>
      </c>
      <c r="P102" s="3" t="str">
        <f>IF(O102&gt;=[1]Criterios!$C$10,"Núcleo",IF(O102&gt;=[1]Criterios!$C$11,"Complementario","Referencia"))</f>
        <v>Complementario</v>
      </c>
      <c r="Q102" s="3" t="str">
        <f t="shared" si="2"/>
        <v>Cumple</v>
      </c>
      <c r="R102" s="7">
        <f t="shared" si="3"/>
        <v>1</v>
      </c>
      <c r="S102" s="2"/>
      <c r="T102" s="2" t="s">
        <v>320</v>
      </c>
    </row>
    <row r="103" spans="1:20" ht="26.4" x14ac:dyDescent="0.3">
      <c r="A103" s="2" t="s">
        <v>104</v>
      </c>
      <c r="B103" s="2" t="s">
        <v>308</v>
      </c>
      <c r="C103" s="3">
        <v>90</v>
      </c>
      <c r="D103" s="4" t="s">
        <v>321</v>
      </c>
      <c r="E103" s="2" t="s">
        <v>284</v>
      </c>
      <c r="F103" s="2" t="s">
        <v>285</v>
      </c>
      <c r="G103" s="3" t="s">
        <v>4</v>
      </c>
      <c r="H103" s="3" t="s">
        <v>26</v>
      </c>
      <c r="I103" s="3" t="s">
        <v>27</v>
      </c>
      <c r="J103" s="5">
        <v>100</v>
      </c>
      <c r="K103" s="5">
        <v>100</v>
      </c>
      <c r="L103" s="6">
        <v>3</v>
      </c>
      <c r="M103" s="6">
        <v>3</v>
      </c>
      <c r="N103" s="6">
        <v>3</v>
      </c>
      <c r="O103" s="3">
        <f>ROUND(L103*[1]Criterios!$C$5+M103*[1]Criterios!$C$6+N103*[1]Criterios!$C$7,2)</f>
        <v>3</v>
      </c>
      <c r="P103" s="3" t="str">
        <f>IF(O103&gt;=[1]Criterios!$C$10,"Núcleo",IF(O103&gt;=[1]Criterios!$C$11,"Complementario","Referencia"))</f>
        <v>Complementario</v>
      </c>
      <c r="Q103" s="3" t="str">
        <f t="shared" si="2"/>
        <v>Cumple</v>
      </c>
      <c r="R103" s="7">
        <f t="shared" si="3"/>
        <v>1</v>
      </c>
      <c r="S103" s="2"/>
      <c r="T103" s="2" t="s">
        <v>322</v>
      </c>
    </row>
    <row r="104" spans="1:20" ht="26.4" x14ac:dyDescent="0.3">
      <c r="A104" s="2" t="s">
        <v>104</v>
      </c>
      <c r="B104" s="2" t="s">
        <v>323</v>
      </c>
      <c r="C104" s="3">
        <v>87</v>
      </c>
      <c r="D104" s="4" t="s">
        <v>324</v>
      </c>
      <c r="E104" s="2" t="s">
        <v>284</v>
      </c>
      <c r="F104" s="2" t="s">
        <v>285</v>
      </c>
      <c r="G104" s="3" t="s">
        <v>25</v>
      </c>
      <c r="H104" s="3" t="s">
        <v>26</v>
      </c>
      <c r="I104" s="3" t="s">
        <v>27</v>
      </c>
      <c r="J104" s="5">
        <v>90</v>
      </c>
      <c r="K104" s="5">
        <v>100</v>
      </c>
      <c r="L104" s="6">
        <v>5</v>
      </c>
      <c r="M104" s="6">
        <v>5</v>
      </c>
      <c r="N104" s="6">
        <v>4</v>
      </c>
      <c r="O104" s="3">
        <f>ROUND(L104*[1]Criterios!$C$5+M104*[1]Criterios!$C$6+N104*[1]Criterios!$C$7,2)</f>
        <v>4.7</v>
      </c>
      <c r="P104" s="3" t="str">
        <f>IF(O104&gt;=[1]Criterios!$C$10,"Núcleo",IF(O104&gt;=[1]Criterios!$C$11,"Complementario","Referencia"))</f>
        <v>Núcleo</v>
      </c>
      <c r="Q104" s="3" t="str">
        <f t="shared" si="2"/>
        <v>Cumple</v>
      </c>
      <c r="R104" s="7">
        <f t="shared" si="3"/>
        <v>1</v>
      </c>
      <c r="S104" s="2"/>
      <c r="T104" s="2" t="s">
        <v>325</v>
      </c>
    </row>
    <row r="105" spans="1:20" ht="26.4" x14ac:dyDescent="0.3">
      <c r="A105" s="2" t="s">
        <v>104</v>
      </c>
      <c r="B105" s="2" t="s">
        <v>323</v>
      </c>
      <c r="C105" s="3">
        <v>100</v>
      </c>
      <c r="D105" s="4" t="s">
        <v>326</v>
      </c>
      <c r="E105" s="2" t="s">
        <v>284</v>
      </c>
      <c r="F105" s="2" t="s">
        <v>285</v>
      </c>
      <c r="G105" s="3" t="s">
        <v>25</v>
      </c>
      <c r="H105" s="3" t="s">
        <v>26</v>
      </c>
      <c r="I105" s="3" t="s">
        <v>27</v>
      </c>
      <c r="J105" s="5">
        <v>100</v>
      </c>
      <c r="K105" s="5">
        <v>100</v>
      </c>
      <c r="L105" s="6">
        <v>5</v>
      </c>
      <c r="M105" s="6">
        <v>5</v>
      </c>
      <c r="N105" s="6">
        <v>3</v>
      </c>
      <c r="O105" s="3">
        <f>ROUND(L105*[1]Criterios!$C$5+M105*[1]Criterios!$C$6+N105*[1]Criterios!$C$7,2)</f>
        <v>4.4000000000000004</v>
      </c>
      <c r="P105" s="3" t="str">
        <f>IF(O105&gt;=[1]Criterios!$C$10,"Núcleo",IF(O105&gt;=[1]Criterios!$C$11,"Complementario","Referencia"))</f>
        <v>Núcleo</v>
      </c>
      <c r="Q105" s="3" t="str">
        <f t="shared" si="2"/>
        <v>Cumple</v>
      </c>
      <c r="R105" s="7">
        <f t="shared" si="3"/>
        <v>1</v>
      </c>
      <c r="S105" s="2"/>
      <c r="T105" s="2" t="s">
        <v>327</v>
      </c>
    </row>
    <row r="106" spans="1:20" ht="26.4" x14ac:dyDescent="0.3">
      <c r="A106" s="2" t="s">
        <v>104</v>
      </c>
      <c r="B106" s="2" t="s">
        <v>323</v>
      </c>
      <c r="C106" s="3">
        <v>84</v>
      </c>
      <c r="D106" s="4" t="s">
        <v>328</v>
      </c>
      <c r="E106" s="2" t="s">
        <v>284</v>
      </c>
      <c r="F106" s="2" t="s">
        <v>285</v>
      </c>
      <c r="G106" s="3" t="s">
        <v>4</v>
      </c>
      <c r="H106" s="3" t="s">
        <v>26</v>
      </c>
      <c r="I106" s="3" t="s">
        <v>27</v>
      </c>
      <c r="J106" s="5">
        <v>100</v>
      </c>
      <c r="K106" s="5">
        <v>100</v>
      </c>
      <c r="L106" s="6">
        <v>4</v>
      </c>
      <c r="M106" s="6">
        <v>4</v>
      </c>
      <c r="N106" s="6">
        <v>3</v>
      </c>
      <c r="O106" s="3">
        <f>ROUND(L106*[1]Criterios!$C$5+M106*[1]Criterios!$C$6+N106*[1]Criterios!$C$7,2)</f>
        <v>3.7</v>
      </c>
      <c r="P106" s="3" t="str">
        <f>IF(O106&gt;=[1]Criterios!$C$10,"Núcleo",IF(O106&gt;=[1]Criterios!$C$11,"Complementario","Referencia"))</f>
        <v>Complementario</v>
      </c>
      <c r="Q106" s="3" t="str">
        <f t="shared" si="2"/>
        <v>Cumple</v>
      </c>
      <c r="R106" s="7">
        <f t="shared" si="3"/>
        <v>1</v>
      </c>
      <c r="S106" s="2"/>
      <c r="T106" s="2" t="s">
        <v>329</v>
      </c>
    </row>
    <row r="107" spans="1:20" ht="26.4" x14ac:dyDescent="0.3">
      <c r="A107" s="2" t="s">
        <v>104</v>
      </c>
      <c r="B107" s="2" t="s">
        <v>330</v>
      </c>
      <c r="C107" s="3">
        <v>202</v>
      </c>
      <c r="D107" s="4" t="s">
        <v>331</v>
      </c>
      <c r="E107" s="2" t="s">
        <v>46</v>
      </c>
      <c r="F107" s="2" t="s">
        <v>332</v>
      </c>
      <c r="G107" s="3" t="s">
        <v>25</v>
      </c>
      <c r="H107" s="3" t="s">
        <v>26</v>
      </c>
      <c r="I107" s="3" t="s">
        <v>27</v>
      </c>
      <c r="J107" s="5">
        <v>68.7</v>
      </c>
      <c r="K107" s="5">
        <v>81</v>
      </c>
      <c r="L107" s="6">
        <v>3</v>
      </c>
      <c r="M107" s="6">
        <v>4</v>
      </c>
      <c r="N107" s="6">
        <v>4</v>
      </c>
      <c r="O107" s="3">
        <f>ROUND(L107*[1]Criterios!$C$5+M107*[1]Criterios!$C$6+N107*[1]Criterios!$C$7,2)</f>
        <v>3.6</v>
      </c>
      <c r="P107" s="3" t="str">
        <f>IF(O107&gt;=[1]Criterios!$C$10,"Núcleo",IF(O107&gt;=[1]Criterios!$C$11,"Complementario","Referencia"))</f>
        <v>Complementario</v>
      </c>
      <c r="Q107" s="3" t="str">
        <f t="shared" si="2"/>
        <v>Cumple</v>
      </c>
      <c r="R107" s="7">
        <f t="shared" si="3"/>
        <v>1</v>
      </c>
      <c r="S107" s="2"/>
      <c r="T107" s="2" t="s">
        <v>333</v>
      </c>
    </row>
    <row r="108" spans="1:20" ht="26.4" x14ac:dyDescent="0.3">
      <c r="A108" s="2" t="s">
        <v>104</v>
      </c>
      <c r="B108" s="2" t="s">
        <v>330</v>
      </c>
      <c r="C108" s="3">
        <v>369</v>
      </c>
      <c r="D108" s="4" t="s">
        <v>334</v>
      </c>
      <c r="E108" s="2" t="s">
        <v>63</v>
      </c>
      <c r="F108" s="2" t="s">
        <v>67</v>
      </c>
      <c r="G108" s="3" t="s">
        <v>4</v>
      </c>
      <c r="H108" s="3" t="s">
        <v>32</v>
      </c>
      <c r="I108" s="3" t="s">
        <v>27</v>
      </c>
      <c r="J108" s="5">
        <v>100</v>
      </c>
      <c r="K108" s="5">
        <v>89.33</v>
      </c>
      <c r="L108" s="6">
        <v>3</v>
      </c>
      <c r="M108" s="6">
        <v>3</v>
      </c>
      <c r="N108" s="6">
        <v>3</v>
      </c>
      <c r="O108" s="3">
        <f>ROUND(L108*[1]Criterios!$C$5+M108*[1]Criterios!$C$6+N108*[1]Criterios!$C$7,2)</f>
        <v>3</v>
      </c>
      <c r="P108" s="3" t="str">
        <f>IF(O108&gt;=[1]Criterios!$C$10,"Núcleo",IF(O108&gt;=[1]Criterios!$C$11,"Complementario","Referencia"))</f>
        <v>Complementario</v>
      </c>
      <c r="Q108" s="3" t="str">
        <f t="shared" si="2"/>
        <v>No cumple</v>
      </c>
      <c r="R108" s="7">
        <f t="shared" si="3"/>
        <v>0.89329999999999998</v>
      </c>
      <c r="S108" s="2"/>
      <c r="T108" s="2" t="s">
        <v>335</v>
      </c>
    </row>
    <row r="109" spans="1:20" ht="26.4" x14ac:dyDescent="0.3">
      <c r="A109" s="2" t="s">
        <v>104</v>
      </c>
      <c r="B109" s="2" t="s">
        <v>330</v>
      </c>
      <c r="C109" s="3">
        <v>599</v>
      </c>
      <c r="D109" s="4" t="s">
        <v>336</v>
      </c>
      <c r="E109" s="2" t="s">
        <v>46</v>
      </c>
      <c r="F109" s="2" t="s">
        <v>337</v>
      </c>
      <c r="G109" s="3" t="s">
        <v>72</v>
      </c>
      <c r="H109" s="3" t="s">
        <v>26</v>
      </c>
      <c r="I109" s="3" t="s">
        <v>27</v>
      </c>
      <c r="J109" s="3"/>
      <c r="K109" s="3" t="s">
        <v>38</v>
      </c>
      <c r="L109" s="6">
        <v>3</v>
      </c>
      <c r="M109" s="6">
        <v>3</v>
      </c>
      <c r="N109" s="6">
        <v>3</v>
      </c>
      <c r="O109" s="3">
        <f>ROUND(L109*[1]Criterios!$C$5+M109*[1]Criterios!$C$6+N109*[1]Criterios!$C$7,2)</f>
        <v>3</v>
      </c>
      <c r="P109" s="3" t="str">
        <f>IF(O109&gt;=[1]Criterios!$C$10,"Núcleo",IF(O109&gt;=[1]Criterios!$C$11,"Complementario","Referencia"))</f>
        <v>Complementario</v>
      </c>
      <c r="Q109" s="3" t="str">
        <f t="shared" si="2"/>
        <v>Sin dato</v>
      </c>
      <c r="R109" s="7" t="str">
        <f t="shared" si="3"/>
        <v/>
      </c>
      <c r="S109" s="2"/>
      <c r="T109" s="2" t="s">
        <v>338</v>
      </c>
    </row>
    <row r="110" spans="1:20" ht="39.6" x14ac:dyDescent="0.3">
      <c r="A110" s="2" t="s">
        <v>104</v>
      </c>
      <c r="B110" s="2" t="s">
        <v>330</v>
      </c>
      <c r="C110" s="3">
        <v>600</v>
      </c>
      <c r="D110" s="4" t="s">
        <v>339</v>
      </c>
      <c r="E110" s="2" t="s">
        <v>46</v>
      </c>
      <c r="F110" s="2" t="s">
        <v>337</v>
      </c>
      <c r="G110" s="3" t="s">
        <v>4</v>
      </c>
      <c r="H110" s="3" t="s">
        <v>26</v>
      </c>
      <c r="I110" s="3" t="s">
        <v>27</v>
      </c>
      <c r="J110" s="3"/>
      <c r="K110" s="3" t="s">
        <v>38</v>
      </c>
      <c r="L110" s="6">
        <v>3</v>
      </c>
      <c r="M110" s="6">
        <v>3</v>
      </c>
      <c r="N110" s="6">
        <v>3</v>
      </c>
      <c r="O110" s="3">
        <f>ROUND(L110*[1]Criterios!$C$5+M110*[1]Criterios!$C$6+N110*[1]Criterios!$C$7,2)</f>
        <v>3</v>
      </c>
      <c r="P110" s="3" t="str">
        <f>IF(O110&gt;=[1]Criterios!$C$10,"Núcleo",IF(O110&gt;=[1]Criterios!$C$11,"Complementario","Referencia"))</f>
        <v>Complementario</v>
      </c>
      <c r="Q110" s="3" t="str">
        <f t="shared" si="2"/>
        <v>Sin dato</v>
      </c>
      <c r="R110" s="7" t="str">
        <f t="shared" si="3"/>
        <v/>
      </c>
      <c r="S110" s="2"/>
      <c r="T110" s="2" t="s">
        <v>340</v>
      </c>
    </row>
    <row r="111" spans="1:20" ht="26.4" x14ac:dyDescent="0.3">
      <c r="A111" s="2" t="s">
        <v>48</v>
      </c>
      <c r="B111" s="2" t="s">
        <v>341</v>
      </c>
      <c r="C111" s="3">
        <v>556</v>
      </c>
      <c r="D111" s="4" t="s">
        <v>342</v>
      </c>
      <c r="E111" s="2" t="s">
        <v>46</v>
      </c>
      <c r="F111" s="2" t="s">
        <v>47</v>
      </c>
      <c r="G111" s="3" t="s">
        <v>4</v>
      </c>
      <c r="H111" s="3" t="s">
        <v>32</v>
      </c>
      <c r="I111" s="3" t="s">
        <v>27</v>
      </c>
      <c r="J111" s="5">
        <v>95</v>
      </c>
      <c r="K111" s="5">
        <v>104.21</v>
      </c>
      <c r="L111" s="6">
        <v>5</v>
      </c>
      <c r="M111" s="6">
        <v>4</v>
      </c>
      <c r="N111" s="6">
        <v>4</v>
      </c>
      <c r="O111" s="3">
        <f>ROUND(L111*[1]Criterios!$C$5+M111*[1]Criterios!$C$6+N111*[1]Criterios!$C$7,2)</f>
        <v>4.4000000000000004</v>
      </c>
      <c r="P111" s="3" t="str">
        <f>IF(O111&gt;=[1]Criterios!$C$10,"Núcleo",IF(O111&gt;=[1]Criterios!$C$11,"Complementario","Referencia"))</f>
        <v>Núcleo</v>
      </c>
      <c r="Q111" s="3" t="str">
        <f t="shared" si="2"/>
        <v>Cumple</v>
      </c>
      <c r="R111" s="7">
        <f t="shared" si="3"/>
        <v>1</v>
      </c>
      <c r="S111" s="2"/>
      <c r="T111" s="2" t="s">
        <v>343</v>
      </c>
    </row>
    <row r="112" spans="1:20" ht="26.4" x14ac:dyDescent="0.3">
      <c r="A112" s="2" t="s">
        <v>48</v>
      </c>
      <c r="B112" s="2" t="s">
        <v>341</v>
      </c>
      <c r="C112" s="3">
        <v>199</v>
      </c>
      <c r="D112" s="4" t="s">
        <v>344</v>
      </c>
      <c r="E112" s="2" t="s">
        <v>46</v>
      </c>
      <c r="F112" s="2" t="s">
        <v>47</v>
      </c>
      <c r="G112" s="3" t="s">
        <v>4</v>
      </c>
      <c r="H112" s="3" t="s">
        <v>32</v>
      </c>
      <c r="I112" s="3" t="s">
        <v>27</v>
      </c>
      <c r="J112" s="5">
        <v>82</v>
      </c>
      <c r="K112" s="5">
        <v>91.44</v>
      </c>
      <c r="L112" s="6">
        <v>4</v>
      </c>
      <c r="M112" s="6">
        <v>3</v>
      </c>
      <c r="N112" s="6">
        <v>3</v>
      </c>
      <c r="O112" s="3">
        <f>ROUND(L112*[1]Criterios!$C$5+M112*[1]Criterios!$C$6+N112*[1]Criterios!$C$7,2)</f>
        <v>3.4</v>
      </c>
      <c r="P112" s="3" t="str">
        <f>IF(O112&gt;=[1]Criterios!$C$10,"Núcleo",IF(O112&gt;=[1]Criterios!$C$11,"Complementario","Referencia"))</f>
        <v>Complementario</v>
      </c>
      <c r="Q112" s="3" t="str">
        <f t="shared" si="2"/>
        <v>Cumple</v>
      </c>
      <c r="R112" s="7">
        <f t="shared" si="3"/>
        <v>1</v>
      </c>
      <c r="S112" s="2"/>
      <c r="T112" s="2" t="s">
        <v>345</v>
      </c>
    </row>
    <row r="113" spans="1:20" ht="26.4" x14ac:dyDescent="0.3">
      <c r="A113" s="2" t="s">
        <v>48</v>
      </c>
      <c r="B113" s="2" t="s">
        <v>341</v>
      </c>
      <c r="C113" s="3">
        <v>344</v>
      </c>
      <c r="D113" s="4" t="s">
        <v>346</v>
      </c>
      <c r="E113" s="2" t="s">
        <v>46</v>
      </c>
      <c r="F113" s="2" t="s">
        <v>347</v>
      </c>
      <c r="G113" s="3" t="s">
        <v>4</v>
      </c>
      <c r="H113" s="3" t="s">
        <v>32</v>
      </c>
      <c r="I113" s="3" t="s">
        <v>27</v>
      </c>
      <c r="J113" s="5">
        <v>95</v>
      </c>
      <c r="K113" s="5">
        <v>99.64</v>
      </c>
      <c r="L113" s="6">
        <v>4</v>
      </c>
      <c r="M113" s="6">
        <v>3</v>
      </c>
      <c r="N113" s="6">
        <v>3</v>
      </c>
      <c r="O113" s="3">
        <f>ROUND(L113*[1]Criterios!$C$5+M113*[1]Criterios!$C$6+N113*[1]Criterios!$C$7,2)</f>
        <v>3.4</v>
      </c>
      <c r="P113" s="3" t="str">
        <f>IF(O113&gt;=[1]Criterios!$C$10,"Núcleo",IF(O113&gt;=[1]Criterios!$C$11,"Complementario","Referencia"))</f>
        <v>Complementario</v>
      </c>
      <c r="Q113" s="3" t="str">
        <f t="shared" si="2"/>
        <v>Cumple</v>
      </c>
      <c r="R113" s="7">
        <f t="shared" si="3"/>
        <v>1</v>
      </c>
      <c r="S113" s="2"/>
      <c r="T113" s="2" t="s">
        <v>348</v>
      </c>
    </row>
    <row r="114" spans="1:20" ht="26.4" x14ac:dyDescent="0.3">
      <c r="A114" s="2" t="s">
        <v>48</v>
      </c>
      <c r="B114" s="2" t="s">
        <v>341</v>
      </c>
      <c r="C114" s="3">
        <v>332</v>
      </c>
      <c r="D114" s="4" t="s">
        <v>349</v>
      </c>
      <c r="E114" s="2" t="s">
        <v>46</v>
      </c>
      <c r="F114" s="2" t="s">
        <v>350</v>
      </c>
      <c r="G114" s="3" t="s">
        <v>25</v>
      </c>
      <c r="H114" s="3" t="s">
        <v>32</v>
      </c>
      <c r="I114" s="3" t="s">
        <v>41</v>
      </c>
      <c r="J114" s="5">
        <v>1.3</v>
      </c>
      <c r="K114" s="5">
        <v>0.98</v>
      </c>
      <c r="L114" s="6">
        <v>3</v>
      </c>
      <c r="M114" s="6">
        <v>4</v>
      </c>
      <c r="N114" s="6">
        <v>3</v>
      </c>
      <c r="O114" s="3">
        <f>ROUND(L114*[1]Criterios!$C$5+M114*[1]Criterios!$C$6+N114*[1]Criterios!$C$7,2)</f>
        <v>3.3</v>
      </c>
      <c r="P114" s="3" t="str">
        <f>IF(O114&gt;=[1]Criterios!$C$10,"Núcleo",IF(O114&gt;=[1]Criterios!$C$11,"Complementario","Referencia"))</f>
        <v>Complementario</v>
      </c>
      <c r="Q114" s="3" t="str">
        <f t="shared" si="2"/>
        <v>Cumple</v>
      </c>
      <c r="R114" s="7">
        <f t="shared" si="3"/>
        <v>1</v>
      </c>
      <c r="S114" s="2"/>
      <c r="T114" s="2" t="s">
        <v>351</v>
      </c>
    </row>
    <row r="115" spans="1:20" ht="26.4" x14ac:dyDescent="0.3">
      <c r="A115" s="2" t="s">
        <v>48</v>
      </c>
      <c r="B115" s="2" t="s">
        <v>352</v>
      </c>
      <c r="C115" s="3">
        <v>206</v>
      </c>
      <c r="D115" s="4" t="s">
        <v>353</v>
      </c>
      <c r="E115" s="2" t="s">
        <v>354</v>
      </c>
      <c r="F115" s="2" t="s">
        <v>355</v>
      </c>
      <c r="G115" s="3" t="s">
        <v>25</v>
      </c>
      <c r="H115" s="3" t="s">
        <v>26</v>
      </c>
      <c r="I115" s="3" t="s">
        <v>27</v>
      </c>
      <c r="J115" s="5">
        <v>1</v>
      </c>
      <c r="K115" s="5">
        <v>2.14</v>
      </c>
      <c r="L115" s="6">
        <v>4</v>
      </c>
      <c r="M115" s="6">
        <v>4</v>
      </c>
      <c r="N115" s="6">
        <v>4</v>
      </c>
      <c r="O115" s="3">
        <f>ROUND(L115*[1]Criterios!$C$5+M115*[1]Criterios!$C$6+N115*[1]Criterios!$C$7,2)</f>
        <v>4</v>
      </c>
      <c r="P115" s="3" t="str">
        <f>IF(O115&gt;=[1]Criterios!$C$10,"Núcleo",IF(O115&gt;=[1]Criterios!$C$11,"Complementario","Referencia"))</f>
        <v>Complementario</v>
      </c>
      <c r="Q115" s="3" t="str">
        <f t="shared" si="2"/>
        <v>Cumple</v>
      </c>
      <c r="R115" s="7">
        <f t="shared" si="3"/>
        <v>1</v>
      </c>
      <c r="S115" s="2"/>
      <c r="T115" s="2" t="s">
        <v>356</v>
      </c>
    </row>
    <row r="116" spans="1:20" ht="26.4" x14ac:dyDescent="0.3">
      <c r="A116" s="2" t="s">
        <v>48</v>
      </c>
      <c r="B116" s="2" t="s">
        <v>352</v>
      </c>
      <c r="C116" s="3">
        <v>377</v>
      </c>
      <c r="D116" s="4" t="s">
        <v>357</v>
      </c>
      <c r="E116" s="2" t="s">
        <v>354</v>
      </c>
      <c r="F116" s="2" t="s">
        <v>355</v>
      </c>
      <c r="G116" s="3" t="s">
        <v>25</v>
      </c>
      <c r="H116" s="3" t="s">
        <v>26</v>
      </c>
      <c r="I116" s="3" t="s">
        <v>27</v>
      </c>
      <c r="J116" s="5">
        <v>100</v>
      </c>
      <c r="K116" s="5">
        <v>107.11</v>
      </c>
      <c r="L116" s="6">
        <v>4</v>
      </c>
      <c r="M116" s="6">
        <v>4</v>
      </c>
      <c r="N116" s="6">
        <v>4</v>
      </c>
      <c r="O116" s="3">
        <f>ROUND(L116*[1]Criterios!$C$5+M116*[1]Criterios!$C$6+N116*[1]Criterios!$C$7,2)</f>
        <v>4</v>
      </c>
      <c r="P116" s="3" t="str">
        <f>IF(O116&gt;=[1]Criterios!$C$10,"Núcleo",IF(O116&gt;=[1]Criterios!$C$11,"Complementario","Referencia"))</f>
        <v>Complementario</v>
      </c>
      <c r="Q116" s="3" t="str">
        <f t="shared" si="2"/>
        <v>Cumple</v>
      </c>
      <c r="R116" s="7">
        <f t="shared" si="3"/>
        <v>1</v>
      </c>
      <c r="S116" s="2"/>
      <c r="T116" s="2" t="s">
        <v>358</v>
      </c>
    </row>
    <row r="117" spans="1:20" ht="26.4" x14ac:dyDescent="0.3">
      <c r="A117" s="2" t="s">
        <v>48</v>
      </c>
      <c r="B117" s="2" t="s">
        <v>352</v>
      </c>
      <c r="C117" s="3">
        <v>207</v>
      </c>
      <c r="D117" s="4" t="s">
        <v>359</v>
      </c>
      <c r="E117" s="2" t="s">
        <v>354</v>
      </c>
      <c r="F117" s="2" t="s">
        <v>355</v>
      </c>
      <c r="G117" s="3" t="s">
        <v>25</v>
      </c>
      <c r="H117" s="3" t="s">
        <v>32</v>
      </c>
      <c r="I117" s="3" t="s">
        <v>41</v>
      </c>
      <c r="J117" s="5">
        <v>100</v>
      </c>
      <c r="K117" s="5">
        <v>111.8</v>
      </c>
      <c r="L117" s="6">
        <v>3</v>
      </c>
      <c r="M117" s="6">
        <v>4</v>
      </c>
      <c r="N117" s="6">
        <v>3</v>
      </c>
      <c r="O117" s="3">
        <f>ROUND(L117*[1]Criterios!$C$5+M117*[1]Criterios!$C$6+N117*[1]Criterios!$C$7,2)</f>
        <v>3.3</v>
      </c>
      <c r="P117" s="3" t="str">
        <f>IF(O117&gt;=[1]Criterios!$C$10,"Núcleo",IF(O117&gt;=[1]Criterios!$C$11,"Complementario","Referencia"))</f>
        <v>Complementario</v>
      </c>
      <c r="Q117" s="3" t="str">
        <f t="shared" si="2"/>
        <v>No cumple</v>
      </c>
      <c r="R117" s="7">
        <f t="shared" si="3"/>
        <v>0.89445438282647582</v>
      </c>
      <c r="S117" s="2"/>
      <c r="T117" s="2" t="s">
        <v>360</v>
      </c>
    </row>
    <row r="118" spans="1:20" ht="26.4" x14ac:dyDescent="0.3">
      <c r="A118" s="2" t="s">
        <v>48</v>
      </c>
      <c r="B118" s="2" t="s">
        <v>352</v>
      </c>
      <c r="C118" s="3">
        <v>605</v>
      </c>
      <c r="D118" s="4" t="s">
        <v>361</v>
      </c>
      <c r="E118" s="2" t="s">
        <v>167</v>
      </c>
      <c r="F118" s="2" t="s">
        <v>168</v>
      </c>
      <c r="G118" s="3" t="s">
        <v>25</v>
      </c>
      <c r="H118" s="3" t="s">
        <v>141</v>
      </c>
      <c r="I118" s="3" t="s">
        <v>27</v>
      </c>
      <c r="J118" s="3"/>
      <c r="K118" s="3" t="s">
        <v>38</v>
      </c>
      <c r="L118" s="6">
        <v>3</v>
      </c>
      <c r="M118" s="6">
        <v>3</v>
      </c>
      <c r="N118" s="6">
        <v>3</v>
      </c>
      <c r="O118" s="3">
        <f>ROUND(L118*[1]Criterios!$C$5+M118*[1]Criterios!$C$6+N118*[1]Criterios!$C$7,2)</f>
        <v>3</v>
      </c>
      <c r="P118" s="3" t="str">
        <f>IF(O118&gt;=[1]Criterios!$C$10,"Núcleo",IF(O118&gt;=[1]Criterios!$C$11,"Complementario","Referencia"))</f>
        <v>Complementario</v>
      </c>
      <c r="Q118" s="3" t="str">
        <f t="shared" si="2"/>
        <v>Sin dato</v>
      </c>
      <c r="R118" s="7" t="str">
        <f t="shared" si="3"/>
        <v/>
      </c>
      <c r="S118" s="2"/>
      <c r="T118" s="2" t="s">
        <v>362</v>
      </c>
    </row>
    <row r="119" spans="1:20" ht="39.6" x14ac:dyDescent="0.3">
      <c r="A119" s="2" t="s">
        <v>48</v>
      </c>
      <c r="B119" s="2" t="s">
        <v>363</v>
      </c>
      <c r="C119" s="3">
        <v>77</v>
      </c>
      <c r="D119" s="4" t="s">
        <v>364</v>
      </c>
      <c r="E119" s="2" t="s">
        <v>172</v>
      </c>
      <c r="F119" s="2" t="s">
        <v>365</v>
      </c>
      <c r="G119" s="3" t="s">
        <v>25</v>
      </c>
      <c r="H119" s="3" t="s">
        <v>146</v>
      </c>
      <c r="I119" s="3" t="s">
        <v>27</v>
      </c>
      <c r="J119" s="5">
        <v>97</v>
      </c>
      <c r="K119" s="3" t="s">
        <v>38</v>
      </c>
      <c r="L119" s="6">
        <v>5</v>
      </c>
      <c r="M119" s="6">
        <v>4</v>
      </c>
      <c r="N119" s="6">
        <v>4</v>
      </c>
      <c r="O119" s="3">
        <f>ROUND(L119*[1]Criterios!$C$5+M119*[1]Criterios!$C$6+N119*[1]Criterios!$C$7,2)</f>
        <v>4.4000000000000004</v>
      </c>
      <c r="P119" s="3" t="str">
        <f>IF(O119&gt;=[1]Criterios!$C$10,"Núcleo",IF(O119&gt;=[1]Criterios!$C$11,"Complementario","Referencia"))</f>
        <v>Núcleo</v>
      </c>
      <c r="Q119" s="3" t="str">
        <f t="shared" si="2"/>
        <v>Sin dato</v>
      </c>
      <c r="R119" s="7" t="str">
        <f t="shared" si="3"/>
        <v/>
      </c>
      <c r="S119" s="2"/>
      <c r="T119" s="2" t="s">
        <v>366</v>
      </c>
    </row>
    <row r="120" spans="1:20" ht="52.8" x14ac:dyDescent="0.3">
      <c r="A120" s="2" t="s">
        <v>48</v>
      </c>
      <c r="B120" s="2" t="s">
        <v>363</v>
      </c>
      <c r="C120" s="3">
        <v>658</v>
      </c>
      <c r="D120" s="4" t="s">
        <v>367</v>
      </c>
      <c r="E120" s="2" t="s">
        <v>172</v>
      </c>
      <c r="F120" s="2" t="s">
        <v>368</v>
      </c>
      <c r="G120" s="3" t="s">
        <v>25</v>
      </c>
      <c r="H120" s="3" t="s">
        <v>26</v>
      </c>
      <c r="I120" s="3" t="s">
        <v>27</v>
      </c>
      <c r="J120" s="3"/>
      <c r="K120" s="3" t="s">
        <v>38</v>
      </c>
      <c r="L120" s="6">
        <v>4</v>
      </c>
      <c r="M120" s="6">
        <v>4</v>
      </c>
      <c r="N120" s="6">
        <v>4</v>
      </c>
      <c r="O120" s="3">
        <f>ROUND(L120*[1]Criterios!$C$5+M120*[1]Criterios!$C$6+N120*[1]Criterios!$C$7,2)</f>
        <v>4</v>
      </c>
      <c r="P120" s="3" t="str">
        <f>IF(O120&gt;=[1]Criterios!$C$10,"Núcleo",IF(O120&gt;=[1]Criterios!$C$11,"Complementario","Referencia"))</f>
        <v>Complementario</v>
      </c>
      <c r="Q120" s="3" t="str">
        <f t="shared" si="2"/>
        <v>Sin dato</v>
      </c>
      <c r="R120" s="7" t="str">
        <f t="shared" si="3"/>
        <v/>
      </c>
      <c r="S120" s="2" t="s">
        <v>51</v>
      </c>
      <c r="T120" s="2" t="s">
        <v>369</v>
      </c>
    </row>
    <row r="121" spans="1:20" ht="39.6" x14ac:dyDescent="0.3">
      <c r="A121" s="2" t="s">
        <v>48</v>
      </c>
      <c r="B121" s="2" t="s">
        <v>363</v>
      </c>
      <c r="C121" s="3">
        <v>515</v>
      </c>
      <c r="D121" s="4" t="s">
        <v>370</v>
      </c>
      <c r="E121" s="2" t="s">
        <v>172</v>
      </c>
      <c r="F121" s="2" t="s">
        <v>371</v>
      </c>
      <c r="G121" s="3" t="s">
        <v>4</v>
      </c>
      <c r="H121" s="3" t="s">
        <v>32</v>
      </c>
      <c r="I121" s="3" t="s">
        <v>27</v>
      </c>
      <c r="J121" s="5">
        <v>80</v>
      </c>
      <c r="K121" s="5">
        <v>80</v>
      </c>
      <c r="L121" s="6">
        <v>4</v>
      </c>
      <c r="M121" s="6">
        <v>4</v>
      </c>
      <c r="N121" s="6">
        <v>3</v>
      </c>
      <c r="O121" s="3">
        <f>ROUND(L121*[1]Criterios!$C$5+M121*[1]Criterios!$C$6+N121*[1]Criterios!$C$7,2)</f>
        <v>3.7</v>
      </c>
      <c r="P121" s="3" t="str">
        <f>IF(O121&gt;=[1]Criterios!$C$10,"Núcleo",IF(O121&gt;=[1]Criterios!$C$11,"Complementario","Referencia"))</f>
        <v>Complementario</v>
      </c>
      <c r="Q121" s="3" t="str">
        <f t="shared" si="2"/>
        <v>Cumple</v>
      </c>
      <c r="R121" s="7">
        <f t="shared" si="3"/>
        <v>1</v>
      </c>
      <c r="S121" s="2"/>
      <c r="T121" s="2" t="s">
        <v>372</v>
      </c>
    </row>
    <row r="122" spans="1:20" ht="26.4" x14ac:dyDescent="0.3">
      <c r="A122" s="2" t="s">
        <v>48</v>
      </c>
      <c r="B122" s="2" t="s">
        <v>373</v>
      </c>
      <c r="C122" s="3">
        <v>529</v>
      </c>
      <c r="D122" s="4" t="s">
        <v>374</v>
      </c>
      <c r="E122" s="2" t="s">
        <v>375</v>
      </c>
      <c r="F122" s="2" t="s">
        <v>376</v>
      </c>
      <c r="G122" s="3" t="s">
        <v>25</v>
      </c>
      <c r="H122" s="3" t="s">
        <v>156</v>
      </c>
      <c r="I122" s="3" t="s">
        <v>27</v>
      </c>
      <c r="J122" s="3"/>
      <c r="K122" s="3" t="s">
        <v>38</v>
      </c>
      <c r="L122" s="6">
        <v>5</v>
      </c>
      <c r="M122" s="6">
        <v>4</v>
      </c>
      <c r="N122" s="6">
        <v>4</v>
      </c>
      <c r="O122" s="3">
        <f>ROUND(L122*[1]Criterios!$C$5+M122*[1]Criterios!$C$6+N122*[1]Criterios!$C$7,2)</f>
        <v>4.4000000000000004</v>
      </c>
      <c r="P122" s="3" t="str">
        <f>IF(O122&gt;=[1]Criterios!$C$10,"Núcleo",IF(O122&gt;=[1]Criterios!$C$11,"Complementario","Referencia"))</f>
        <v>Núcleo</v>
      </c>
      <c r="Q122" s="3" t="str">
        <f t="shared" si="2"/>
        <v>Sin dato</v>
      </c>
      <c r="R122" s="7" t="str">
        <f t="shared" si="3"/>
        <v/>
      </c>
      <c r="S122" s="2"/>
      <c r="T122" s="2" t="s">
        <v>377</v>
      </c>
    </row>
    <row r="123" spans="1:20" ht="26.4" x14ac:dyDescent="0.3">
      <c r="A123" s="2" t="s">
        <v>48</v>
      </c>
      <c r="B123" s="2" t="s">
        <v>373</v>
      </c>
      <c r="C123" s="3">
        <v>197</v>
      </c>
      <c r="D123" s="4" t="s">
        <v>378</v>
      </c>
      <c r="E123" s="2" t="s">
        <v>375</v>
      </c>
      <c r="F123" s="2" t="s">
        <v>376</v>
      </c>
      <c r="G123" s="3" t="s">
        <v>4</v>
      </c>
      <c r="H123" s="3" t="s">
        <v>156</v>
      </c>
      <c r="I123" s="3" t="s">
        <v>27</v>
      </c>
      <c r="J123" s="5">
        <v>97</v>
      </c>
      <c r="K123" s="3" t="s">
        <v>38</v>
      </c>
      <c r="L123" s="6">
        <v>5</v>
      </c>
      <c r="M123" s="6">
        <v>3</v>
      </c>
      <c r="N123" s="6">
        <v>3</v>
      </c>
      <c r="O123" s="3">
        <f>ROUND(L123*[1]Criterios!$C$5+M123*[1]Criterios!$C$6+N123*[1]Criterios!$C$7,2)</f>
        <v>3.8</v>
      </c>
      <c r="P123" s="3" t="str">
        <f>IF(O123&gt;=[1]Criterios!$C$10,"Núcleo",IF(O123&gt;=[1]Criterios!$C$11,"Complementario","Referencia"))</f>
        <v>Complementario</v>
      </c>
      <c r="Q123" s="3" t="str">
        <f t="shared" si="2"/>
        <v>Sin dato</v>
      </c>
      <c r="R123" s="7" t="str">
        <f t="shared" si="3"/>
        <v/>
      </c>
      <c r="S123" s="2"/>
      <c r="T123" s="2" t="s">
        <v>379</v>
      </c>
    </row>
    <row r="124" spans="1:20" ht="26.4" x14ac:dyDescent="0.3">
      <c r="A124" s="2" t="s">
        <v>48</v>
      </c>
      <c r="B124" s="2" t="s">
        <v>373</v>
      </c>
      <c r="C124" s="3">
        <v>68</v>
      </c>
      <c r="D124" s="4" t="s">
        <v>380</v>
      </c>
      <c r="E124" s="2" t="s">
        <v>381</v>
      </c>
      <c r="F124" s="2" t="s">
        <v>382</v>
      </c>
      <c r="G124" s="3" t="s">
        <v>25</v>
      </c>
      <c r="H124" s="3" t="s">
        <v>32</v>
      </c>
      <c r="I124" s="3" t="s">
        <v>27</v>
      </c>
      <c r="J124" s="5">
        <v>85</v>
      </c>
      <c r="K124" s="3" t="s">
        <v>38</v>
      </c>
      <c r="L124" s="6">
        <v>4</v>
      </c>
      <c r="M124" s="6">
        <v>4</v>
      </c>
      <c r="N124" s="6">
        <v>3</v>
      </c>
      <c r="O124" s="3">
        <f>ROUND(L124*[1]Criterios!$C$5+M124*[1]Criterios!$C$6+N124*[1]Criterios!$C$7,2)</f>
        <v>3.7</v>
      </c>
      <c r="P124" s="3" t="str">
        <f>IF(O124&gt;=[1]Criterios!$C$10,"Núcleo",IF(O124&gt;=[1]Criterios!$C$11,"Complementario","Referencia"))</f>
        <v>Complementario</v>
      </c>
      <c r="Q124" s="3" t="str">
        <f t="shared" si="2"/>
        <v>Sin dato</v>
      </c>
      <c r="R124" s="7" t="str">
        <f t="shared" si="3"/>
        <v/>
      </c>
      <c r="S124" s="2"/>
      <c r="T124" s="2" t="s">
        <v>383</v>
      </c>
    </row>
    <row r="125" spans="1:20" ht="26.4" x14ac:dyDescent="0.3">
      <c r="A125" s="2" t="s">
        <v>48</v>
      </c>
      <c r="B125" s="2" t="s">
        <v>373</v>
      </c>
      <c r="C125" s="3">
        <v>301</v>
      </c>
      <c r="D125" s="4" t="s">
        <v>384</v>
      </c>
      <c r="E125" s="2" t="s">
        <v>385</v>
      </c>
      <c r="F125" s="2" t="s">
        <v>386</v>
      </c>
      <c r="G125" s="3" t="s">
        <v>4</v>
      </c>
      <c r="H125" s="3" t="s">
        <v>156</v>
      </c>
      <c r="I125" s="3" t="s">
        <v>27</v>
      </c>
      <c r="J125" s="5">
        <v>100</v>
      </c>
      <c r="K125" s="5">
        <v>100</v>
      </c>
      <c r="L125" s="6">
        <v>3</v>
      </c>
      <c r="M125" s="6">
        <v>3</v>
      </c>
      <c r="N125" s="6">
        <v>3</v>
      </c>
      <c r="O125" s="3">
        <f>ROUND(L125*[1]Criterios!$C$5+M125*[1]Criterios!$C$6+N125*[1]Criterios!$C$7,2)</f>
        <v>3</v>
      </c>
      <c r="P125" s="3" t="str">
        <f>IF(O125&gt;=[1]Criterios!$C$10,"Núcleo",IF(O125&gt;=[1]Criterios!$C$11,"Complementario","Referencia"))</f>
        <v>Complementario</v>
      </c>
      <c r="Q125" s="3" t="str">
        <f t="shared" si="2"/>
        <v>Cumple</v>
      </c>
      <c r="R125" s="7">
        <f t="shared" si="3"/>
        <v>1</v>
      </c>
      <c r="S125" s="2"/>
      <c r="T125" s="2" t="s">
        <v>387</v>
      </c>
    </row>
  </sheetData>
  <autoFilter ref="A1:T125" xr:uid="{00000000-0009-0000-0000-000002000000}"/>
  <conditionalFormatting sqref="P2:P125">
    <cfRule type="cellIs" dxfId="4" priority="1" operator="equal">
      <formula>"Núcleo"</formula>
    </cfRule>
    <cfRule type="cellIs" dxfId="3" priority="2" operator="equal">
      <formula>"Complementario"</formula>
    </cfRule>
    <cfRule type="cellIs" dxfId="2" priority="3" operator="equal">
      <formula>"Referencia"</formula>
    </cfRule>
  </conditionalFormatting>
  <conditionalFormatting sqref="Q2:Q125">
    <cfRule type="cellIs" dxfId="1" priority="4" operator="equal">
      <formula>"Cumple"</formula>
    </cfRule>
    <cfRule type="cellIs" dxfId="0" priority="5" operator="equal">
      <formula>"No cumple"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Indicadores POLISIGS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Licec Ximena Silva Goyeneche</dc:creator>
  <cp:lastModifiedBy>Licec Ximena Silva Goyeneche</cp:lastModifiedBy>
  <dcterms:created xsi:type="dcterms:W3CDTF">2026-10-06T20:50:47Z</dcterms:created>
  <dcterms:modified xsi:type="dcterms:W3CDTF">2026-10-06T20:53:17Z</dcterms:modified>
</cp:coreProperties>
</file>