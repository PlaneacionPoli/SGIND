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GING/data/raw/POLISIGS/"/>
    </mc:Choice>
  </mc:AlternateContent>
  <xr:revisionPtr revIDLastSave="46" documentId="8_{FEA79890-6DF4-49F9-9824-CDFF918E69B0}" xr6:coauthVersionLast="47" xr6:coauthVersionMax="47" xr10:uidLastSave="{87F28EE6-93B9-4E23-9590-A06CC6E5AEDD}"/>
  <bookViews>
    <workbookView xWindow="-108" yWindow="-108" windowWidth="23256" windowHeight="12456" tabRatio="500" xr2:uid="{00000000-000D-0000-FFFF-FFFF00000000}"/>
  </bookViews>
  <sheets>
    <sheet name="Indicadores POLISIGS" sheetId="3" r:id="rId1"/>
    <sheet name="Resumen" sheetId="1" r:id="rId2"/>
    <sheet name="Parámetros" sheetId="2" r:id="rId3"/>
    <sheet name="Obj. 1 – Revisión medias" sheetId="4" r:id="rId4"/>
    <sheet name="Validación Plan CNA" sheetId="5" r:id="rId5"/>
  </sheets>
  <definedNames>
    <definedName name="_xlnm._FilterDatabase" localSheetId="0" hidden="1">'Indicadores POLISIGS'!$A$1:$T$351</definedName>
    <definedName name="_xlnm._FilterDatabase" localSheetId="4" hidden="1">'Validación Plan CNA'!$A$1:$L$71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0" i="3" l="1"/>
  <c r="H68" i="5"/>
  <c r="H67" i="5"/>
  <c r="H66" i="5"/>
  <c r="H65" i="5"/>
  <c r="H63" i="5"/>
  <c r="H60" i="5"/>
  <c r="H59" i="5"/>
  <c r="H58" i="5"/>
  <c r="H55" i="5"/>
  <c r="H51" i="5"/>
  <c r="H50" i="5"/>
  <c r="H48" i="5"/>
  <c r="H47" i="5"/>
  <c r="H46" i="5"/>
  <c r="H44" i="5"/>
  <c r="H43" i="5"/>
  <c r="H42" i="5"/>
  <c r="H41" i="5"/>
  <c r="H40" i="5"/>
  <c r="H39" i="5"/>
  <c r="H33" i="5"/>
  <c r="H32" i="5"/>
  <c r="H31" i="5"/>
  <c r="H30" i="5"/>
  <c r="H25" i="5"/>
  <c r="H24" i="5"/>
  <c r="H23" i="5"/>
  <c r="H17" i="5"/>
  <c r="H15" i="5"/>
  <c r="H14" i="5"/>
  <c r="H13" i="5"/>
  <c r="H12" i="5"/>
  <c r="H9" i="5"/>
  <c r="H7" i="5"/>
  <c r="J351" i="3"/>
  <c r="J350" i="3"/>
  <c r="J349" i="3"/>
  <c r="J348" i="3"/>
  <c r="J347" i="3"/>
  <c r="J346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7" i="3"/>
  <c r="J206" i="3"/>
  <c r="J205" i="3"/>
  <c r="J204" i="3"/>
  <c r="J203" i="3"/>
  <c r="J202" i="3"/>
  <c r="J201" i="3"/>
  <c r="J198" i="3"/>
  <c r="J196" i="3"/>
  <c r="J195" i="3"/>
  <c r="J194" i="3"/>
  <c r="J193" i="3"/>
  <c r="J192" i="3"/>
  <c r="J191" i="3"/>
  <c r="J190" i="3"/>
  <c r="J189" i="3"/>
  <c r="J188" i="3"/>
  <c r="J187" i="3"/>
  <c r="J186" i="3"/>
  <c r="J184" i="3"/>
  <c r="J183" i="3"/>
  <c r="J182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2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4" i="3"/>
  <c r="J103" i="3"/>
  <c r="J102" i="3"/>
  <c r="J101" i="3"/>
  <c r="J97" i="3"/>
  <c r="J96" i="3"/>
  <c r="J95" i="3"/>
  <c r="J94" i="3"/>
  <c r="J93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1" i="3"/>
  <c r="J10" i="3"/>
  <c r="J9" i="3"/>
  <c r="J8" i="3"/>
  <c r="J7" i="3"/>
  <c r="J6" i="3"/>
  <c r="J5" i="3"/>
  <c r="J4" i="3"/>
  <c r="J3" i="3"/>
  <c r="J2" i="3"/>
  <c r="C17" i="1"/>
  <c r="C16" i="1"/>
  <c r="C10" i="1"/>
  <c r="C9" i="1"/>
  <c r="C8" i="1"/>
  <c r="D7" i="1"/>
  <c r="C7" i="1"/>
  <c r="D6" i="1"/>
  <c r="C6" i="1"/>
  <c r="Q343" i="3" l="1"/>
  <c r="P343" i="3"/>
  <c r="Q340" i="3"/>
  <c r="P340" i="3"/>
  <c r="Q307" i="3"/>
  <c r="P307" i="3"/>
  <c r="P251" i="3"/>
  <c r="Q251" i="3"/>
  <c r="Q159" i="3"/>
  <c r="P159" i="3"/>
  <c r="Q106" i="3"/>
  <c r="P106" i="3"/>
  <c r="P84" i="3"/>
  <c r="Q84" i="3"/>
  <c r="Q51" i="3"/>
  <c r="P51" i="3"/>
  <c r="Q30" i="3"/>
  <c r="P30" i="3"/>
  <c r="P351" i="3"/>
  <c r="Q351" i="3"/>
  <c r="P350" i="3"/>
  <c r="Q350" i="3"/>
  <c r="P349" i="3"/>
  <c r="Q349" i="3"/>
  <c r="Q348" i="3"/>
  <c r="P348" i="3"/>
  <c r="Q347" i="3"/>
  <c r="P347" i="3"/>
  <c r="P346" i="3"/>
  <c r="Q346" i="3"/>
  <c r="P345" i="3"/>
  <c r="Q345" i="3"/>
  <c r="P344" i="3"/>
  <c r="Q344" i="3"/>
  <c r="P342" i="3"/>
  <c r="Q342" i="3"/>
  <c r="Q341" i="3"/>
  <c r="P341" i="3"/>
  <c r="P339" i="3"/>
  <c r="Q339" i="3"/>
  <c r="P338" i="3"/>
  <c r="Q338" i="3"/>
  <c r="Q337" i="3"/>
  <c r="P337" i="3"/>
  <c r="Q336" i="3"/>
  <c r="P336" i="3"/>
  <c r="Q335" i="3"/>
  <c r="P335" i="3"/>
  <c r="P334" i="3"/>
  <c r="Q334" i="3"/>
  <c r="Q333" i="3"/>
  <c r="P333" i="3"/>
  <c r="P332" i="3"/>
  <c r="Q332" i="3"/>
  <c r="P331" i="3"/>
  <c r="Q331" i="3"/>
  <c r="P330" i="3"/>
  <c r="Q330" i="3"/>
  <c r="P329" i="3"/>
  <c r="Q329" i="3"/>
  <c r="Q328" i="3"/>
  <c r="P328" i="3"/>
  <c r="Q327" i="3"/>
  <c r="P327" i="3"/>
  <c r="P326" i="3"/>
  <c r="Q326" i="3"/>
  <c r="Q325" i="3"/>
  <c r="P325" i="3"/>
  <c r="Q324" i="3"/>
  <c r="P324" i="3"/>
  <c r="P323" i="3"/>
  <c r="Q323" i="3"/>
  <c r="Q322" i="3"/>
  <c r="P322" i="3"/>
  <c r="Q321" i="3"/>
  <c r="P321" i="3"/>
  <c r="Q320" i="3"/>
  <c r="P320" i="3"/>
  <c r="Q319" i="3"/>
  <c r="P319" i="3"/>
  <c r="Q318" i="3"/>
  <c r="P318" i="3"/>
  <c r="Q317" i="3"/>
  <c r="P317" i="3"/>
  <c r="Q316" i="3"/>
  <c r="P316" i="3"/>
  <c r="P315" i="3"/>
  <c r="Q315" i="3"/>
  <c r="P314" i="3"/>
  <c r="Q314" i="3"/>
  <c r="Q313" i="3"/>
  <c r="P313" i="3"/>
  <c r="P312" i="3"/>
  <c r="Q312" i="3"/>
  <c r="Q311" i="3"/>
  <c r="P311" i="3"/>
  <c r="Q310" i="3"/>
  <c r="P310" i="3"/>
  <c r="P309" i="3"/>
  <c r="Q309" i="3"/>
  <c r="Q308" i="3"/>
  <c r="P308" i="3"/>
  <c r="P306" i="3"/>
  <c r="Q306" i="3"/>
  <c r="P305" i="3"/>
  <c r="Q305" i="3"/>
  <c r="Q304" i="3"/>
  <c r="P304" i="3"/>
  <c r="Q303" i="3"/>
  <c r="P303" i="3"/>
  <c r="P302" i="3"/>
  <c r="Q302" i="3"/>
  <c r="P301" i="3"/>
  <c r="Q301" i="3"/>
  <c r="Q300" i="3"/>
  <c r="P300" i="3"/>
  <c r="Q299" i="3"/>
  <c r="P299" i="3"/>
  <c r="Q298" i="3"/>
  <c r="P298" i="3"/>
  <c r="P297" i="3"/>
  <c r="Q297" i="3"/>
  <c r="Q296" i="3"/>
  <c r="P296" i="3"/>
  <c r="Q295" i="3"/>
  <c r="P295" i="3"/>
  <c r="P294" i="3"/>
  <c r="Q294" i="3"/>
  <c r="P293" i="3"/>
  <c r="Q293" i="3"/>
  <c r="Q292" i="3"/>
  <c r="P292" i="3"/>
  <c r="Q291" i="3"/>
  <c r="P291" i="3"/>
  <c r="P290" i="3"/>
  <c r="Q290" i="3"/>
  <c r="Q289" i="3"/>
  <c r="P289" i="3"/>
  <c r="Q288" i="3"/>
  <c r="P288" i="3"/>
  <c r="P287" i="3"/>
  <c r="Q287" i="3"/>
  <c r="Q286" i="3"/>
  <c r="P286" i="3"/>
  <c r="Q285" i="3"/>
  <c r="P285" i="3"/>
  <c r="P284" i="3"/>
  <c r="Q284" i="3"/>
  <c r="Q283" i="3"/>
  <c r="P283" i="3"/>
  <c r="P282" i="3"/>
  <c r="Q282" i="3"/>
  <c r="P281" i="3"/>
  <c r="Q281" i="3"/>
  <c r="Q280" i="3"/>
  <c r="P280" i="3"/>
  <c r="Q279" i="3"/>
  <c r="P279" i="3"/>
  <c r="Q278" i="3"/>
  <c r="P278" i="3"/>
  <c r="P277" i="3"/>
  <c r="Q277" i="3"/>
  <c r="P276" i="3"/>
  <c r="Q276" i="3"/>
  <c r="Q275" i="3"/>
  <c r="P275" i="3"/>
  <c r="P274" i="3"/>
  <c r="Q274" i="3"/>
  <c r="P273" i="3"/>
  <c r="Q273" i="3"/>
  <c r="Q272" i="3"/>
  <c r="P272" i="3"/>
  <c r="Q271" i="3"/>
  <c r="P271" i="3"/>
  <c r="Q270" i="3"/>
  <c r="P270" i="3"/>
  <c r="Q269" i="3"/>
  <c r="P269" i="3"/>
  <c r="Q268" i="3"/>
  <c r="P268" i="3"/>
  <c r="P267" i="3"/>
  <c r="Q267" i="3"/>
  <c r="Q266" i="3"/>
  <c r="P266" i="3"/>
  <c r="Q265" i="3"/>
  <c r="P265" i="3"/>
  <c r="P264" i="3"/>
  <c r="Q264" i="3"/>
  <c r="P263" i="3"/>
  <c r="Q263" i="3"/>
  <c r="P262" i="3"/>
  <c r="Q262" i="3"/>
  <c r="P261" i="3"/>
  <c r="Q261" i="3"/>
  <c r="P260" i="3"/>
  <c r="Q260" i="3"/>
  <c r="P259" i="3"/>
  <c r="Q259" i="3"/>
  <c r="Q258" i="3"/>
  <c r="P258" i="3"/>
  <c r="Q257" i="3"/>
  <c r="P257" i="3"/>
  <c r="P256" i="3"/>
  <c r="Q256" i="3"/>
  <c r="P255" i="3"/>
  <c r="Q255" i="3"/>
  <c r="P254" i="3"/>
  <c r="Q254" i="3"/>
  <c r="P253" i="3"/>
  <c r="Q253" i="3"/>
  <c r="P252" i="3"/>
  <c r="Q252" i="3"/>
  <c r="P250" i="3"/>
  <c r="Q250" i="3"/>
  <c r="P249" i="3"/>
  <c r="Q249" i="3"/>
  <c r="P248" i="3"/>
  <c r="Q248" i="3"/>
  <c r="P247" i="3"/>
  <c r="Q247" i="3"/>
  <c r="P246" i="3"/>
  <c r="Q246" i="3"/>
  <c r="Q245" i="3"/>
  <c r="P245" i="3"/>
  <c r="P244" i="3"/>
  <c r="Q244" i="3"/>
  <c r="P243" i="3"/>
  <c r="Q243" i="3"/>
  <c r="P242" i="3"/>
  <c r="Q242" i="3"/>
  <c r="Q241" i="3"/>
  <c r="P241" i="3"/>
  <c r="P240" i="3"/>
  <c r="Q240" i="3"/>
  <c r="Q239" i="3"/>
  <c r="P239" i="3"/>
  <c r="P238" i="3"/>
  <c r="Q238" i="3"/>
  <c r="Q237" i="3"/>
  <c r="P237" i="3"/>
  <c r="P236" i="3"/>
  <c r="Q236" i="3"/>
  <c r="P235" i="3"/>
  <c r="Q235" i="3"/>
  <c r="P234" i="3"/>
  <c r="Q234" i="3"/>
  <c r="P233" i="3"/>
  <c r="Q233" i="3"/>
  <c r="P232" i="3"/>
  <c r="Q232" i="3"/>
  <c r="P231" i="3"/>
  <c r="Q231" i="3"/>
  <c r="Q230" i="3"/>
  <c r="P230" i="3"/>
  <c r="Q229" i="3"/>
  <c r="P229" i="3"/>
  <c r="P228" i="3"/>
  <c r="Q228" i="3"/>
  <c r="Q227" i="3"/>
  <c r="P227" i="3"/>
  <c r="P226" i="3"/>
  <c r="Q226" i="3"/>
  <c r="P225" i="3"/>
  <c r="Q225" i="3"/>
  <c r="P224" i="3"/>
  <c r="Q224" i="3"/>
  <c r="P223" i="3"/>
  <c r="Q223" i="3"/>
  <c r="P222" i="3"/>
  <c r="Q222" i="3"/>
  <c r="P221" i="3"/>
  <c r="Q221" i="3"/>
  <c r="Q220" i="3"/>
  <c r="P220" i="3"/>
  <c r="Q219" i="3"/>
  <c r="P219" i="3"/>
  <c r="P218" i="3"/>
  <c r="Q218" i="3"/>
  <c r="Q217" i="3"/>
  <c r="P217" i="3"/>
  <c r="P216" i="3"/>
  <c r="Q216" i="3"/>
  <c r="P215" i="3"/>
  <c r="Q215" i="3"/>
  <c r="Q214" i="3"/>
  <c r="P214" i="3"/>
  <c r="Q213" i="3"/>
  <c r="P213" i="3"/>
  <c r="P212" i="3"/>
  <c r="Q212" i="3"/>
  <c r="Q211" i="3"/>
  <c r="P211" i="3"/>
  <c r="Q210" i="3"/>
  <c r="P210" i="3"/>
  <c r="P209" i="3"/>
  <c r="Q209" i="3"/>
  <c r="Q208" i="3"/>
  <c r="P208" i="3"/>
  <c r="Q207" i="3"/>
  <c r="P207" i="3"/>
  <c r="Q206" i="3"/>
  <c r="P206" i="3"/>
  <c r="P205" i="3"/>
  <c r="Q205" i="3"/>
  <c r="P204" i="3"/>
  <c r="Q204" i="3"/>
  <c r="P203" i="3"/>
  <c r="Q203" i="3"/>
  <c r="P202" i="3"/>
  <c r="Q202" i="3"/>
  <c r="Q201" i="3"/>
  <c r="P201" i="3"/>
  <c r="P200" i="3"/>
  <c r="Q200" i="3"/>
  <c r="Q199" i="3"/>
  <c r="P199" i="3"/>
  <c r="Q198" i="3"/>
  <c r="P198" i="3"/>
  <c r="Q197" i="3"/>
  <c r="P197" i="3"/>
  <c r="P196" i="3"/>
  <c r="Q196" i="3"/>
  <c r="P195" i="3"/>
  <c r="Q195" i="3"/>
  <c r="P194" i="3"/>
  <c r="Q194" i="3"/>
  <c r="Q193" i="3"/>
  <c r="P193" i="3"/>
  <c r="P192" i="3"/>
  <c r="Q192" i="3"/>
  <c r="Q191" i="3"/>
  <c r="P191" i="3"/>
  <c r="Q190" i="3"/>
  <c r="P190" i="3"/>
  <c r="P189" i="3"/>
  <c r="Q189" i="3"/>
  <c r="P188" i="3"/>
  <c r="Q188" i="3"/>
  <c r="P187" i="3"/>
  <c r="Q187" i="3"/>
  <c r="P186" i="3"/>
  <c r="Q186" i="3"/>
  <c r="Q185" i="3"/>
  <c r="P185" i="3"/>
  <c r="Q184" i="3"/>
  <c r="P184" i="3"/>
  <c r="P183" i="3"/>
  <c r="Q183" i="3"/>
  <c r="Q182" i="3"/>
  <c r="P182" i="3"/>
  <c r="Q181" i="3"/>
  <c r="P181" i="3"/>
  <c r="Q180" i="3"/>
  <c r="P180" i="3"/>
  <c r="Q179" i="3"/>
  <c r="P179" i="3"/>
  <c r="Q178" i="3"/>
  <c r="P178" i="3"/>
  <c r="P177" i="3"/>
  <c r="Q177" i="3"/>
  <c r="P176" i="3"/>
  <c r="Q176" i="3"/>
  <c r="P175" i="3"/>
  <c r="Q175" i="3"/>
  <c r="Q174" i="3"/>
  <c r="P174" i="3"/>
  <c r="P173" i="3"/>
  <c r="Q173" i="3"/>
  <c r="Q172" i="3"/>
  <c r="P172" i="3"/>
  <c r="Q171" i="3"/>
  <c r="P171" i="3"/>
  <c r="P170" i="3"/>
  <c r="Q170" i="3"/>
  <c r="P169" i="3"/>
  <c r="Q169" i="3"/>
  <c r="P168" i="3"/>
  <c r="Q168" i="3"/>
  <c r="Q167" i="3"/>
  <c r="P167" i="3"/>
  <c r="Q166" i="3"/>
  <c r="P166" i="3"/>
  <c r="Q165" i="3"/>
  <c r="P165" i="3"/>
  <c r="Q164" i="3"/>
  <c r="P164" i="3"/>
  <c r="P163" i="3"/>
  <c r="Q163" i="3"/>
  <c r="P162" i="3"/>
  <c r="Q162" i="3"/>
  <c r="Q161" i="3"/>
  <c r="P161" i="3"/>
  <c r="Q160" i="3"/>
  <c r="P160" i="3"/>
  <c r="P158" i="3"/>
  <c r="Q158" i="3"/>
  <c r="P157" i="3"/>
  <c r="Q157" i="3"/>
  <c r="P156" i="3"/>
  <c r="Q156" i="3"/>
  <c r="Q155" i="3"/>
  <c r="P155" i="3"/>
  <c r="Q154" i="3"/>
  <c r="P154" i="3"/>
  <c r="P153" i="3"/>
  <c r="Q153" i="3"/>
  <c r="P152" i="3"/>
  <c r="Q152" i="3"/>
  <c r="Q151" i="3"/>
  <c r="P151" i="3"/>
  <c r="Q150" i="3"/>
  <c r="P150" i="3"/>
  <c r="P149" i="3"/>
  <c r="Q149" i="3"/>
  <c r="P148" i="3"/>
  <c r="Q148" i="3"/>
  <c r="P147" i="3"/>
  <c r="Q147" i="3"/>
  <c r="Q146" i="3"/>
  <c r="P146" i="3"/>
  <c r="Q145" i="3"/>
  <c r="P145" i="3"/>
  <c r="Q144" i="3"/>
  <c r="P144" i="3"/>
  <c r="Q143" i="3"/>
  <c r="P143" i="3"/>
  <c r="Q142" i="3"/>
  <c r="P142" i="3"/>
  <c r="Q141" i="3"/>
  <c r="P141" i="3"/>
  <c r="Q140" i="3"/>
  <c r="P140" i="3"/>
  <c r="Q139" i="3"/>
  <c r="P139" i="3"/>
  <c r="Q138" i="3"/>
  <c r="P138" i="3"/>
  <c r="P137" i="3"/>
  <c r="Q137" i="3"/>
  <c r="Q136" i="3"/>
  <c r="P136" i="3"/>
  <c r="Q135" i="3"/>
  <c r="P135" i="3"/>
  <c r="P134" i="3"/>
  <c r="Q134" i="3"/>
  <c r="P133" i="3"/>
  <c r="Q133" i="3"/>
  <c r="P132" i="3"/>
  <c r="Q132" i="3"/>
  <c r="P131" i="3"/>
  <c r="Q131" i="3"/>
  <c r="P130" i="3"/>
  <c r="Q130" i="3"/>
  <c r="Q129" i="3"/>
  <c r="P129" i="3"/>
  <c r="Q128" i="3"/>
  <c r="P128" i="3"/>
  <c r="P127" i="3"/>
  <c r="Q127" i="3"/>
  <c r="P126" i="3"/>
  <c r="Q126" i="3"/>
  <c r="Q125" i="3"/>
  <c r="P125" i="3"/>
  <c r="Q124" i="3"/>
  <c r="P124" i="3"/>
  <c r="P123" i="3"/>
  <c r="Q123" i="3"/>
  <c r="Q122" i="3"/>
  <c r="P122" i="3"/>
  <c r="Q121" i="3"/>
  <c r="P121" i="3"/>
  <c r="Q120" i="3"/>
  <c r="P120" i="3"/>
  <c r="P119" i="3"/>
  <c r="Q119" i="3"/>
  <c r="Q118" i="3"/>
  <c r="P118" i="3"/>
  <c r="Q117" i="3"/>
  <c r="P117" i="3"/>
  <c r="P116" i="3"/>
  <c r="Q116" i="3"/>
  <c r="P115" i="3"/>
  <c r="Q115" i="3"/>
  <c r="Q114" i="3"/>
  <c r="P114" i="3"/>
  <c r="Q113" i="3"/>
  <c r="P113" i="3"/>
  <c r="P112" i="3"/>
  <c r="Q112" i="3"/>
  <c r="P111" i="3"/>
  <c r="Q111" i="3"/>
  <c r="P110" i="3"/>
  <c r="Q110" i="3"/>
  <c r="P109" i="3"/>
  <c r="Q109" i="3"/>
  <c r="Q108" i="3"/>
  <c r="P108" i="3"/>
  <c r="P107" i="3"/>
  <c r="Q107" i="3"/>
  <c r="Q105" i="3"/>
  <c r="P105" i="3"/>
  <c r="P104" i="3"/>
  <c r="Q104" i="3"/>
  <c r="Q103" i="3"/>
  <c r="P103" i="3"/>
  <c r="Q102" i="3"/>
  <c r="P102" i="3"/>
  <c r="P101" i="3"/>
  <c r="Q101" i="3"/>
  <c r="P100" i="3"/>
  <c r="Q100" i="3"/>
  <c r="Q99" i="3"/>
  <c r="P99" i="3"/>
  <c r="Q98" i="3"/>
  <c r="P98" i="3"/>
  <c r="Q97" i="3"/>
  <c r="P97" i="3"/>
  <c r="Q96" i="3"/>
  <c r="P96" i="3"/>
  <c r="P95" i="3"/>
  <c r="Q95" i="3"/>
  <c r="Q94" i="3"/>
  <c r="P94" i="3"/>
  <c r="P93" i="3"/>
  <c r="Q93" i="3"/>
  <c r="P92" i="3"/>
  <c r="Q92" i="3"/>
  <c r="Q91" i="3"/>
  <c r="P91" i="3"/>
  <c r="Q90" i="3"/>
  <c r="P90" i="3"/>
  <c r="P89" i="3"/>
  <c r="Q89" i="3"/>
  <c r="Q88" i="3"/>
  <c r="P88" i="3"/>
  <c r="P87" i="3"/>
  <c r="Q87" i="3"/>
  <c r="Q86" i="3"/>
  <c r="P86" i="3"/>
  <c r="P85" i="3"/>
  <c r="Q85" i="3"/>
  <c r="P83" i="3"/>
  <c r="Q83" i="3"/>
  <c r="Q82" i="3"/>
  <c r="P82" i="3"/>
  <c r="Q81" i="3"/>
  <c r="P81" i="3"/>
  <c r="Q80" i="3"/>
  <c r="P80" i="3"/>
  <c r="Q79" i="3"/>
  <c r="P79" i="3"/>
  <c r="Q78" i="3"/>
  <c r="P78" i="3"/>
  <c r="P77" i="3"/>
  <c r="Q77" i="3"/>
  <c r="P76" i="3"/>
  <c r="Q76" i="3"/>
  <c r="P75" i="3"/>
  <c r="Q75" i="3"/>
  <c r="P74" i="3"/>
  <c r="Q74" i="3"/>
  <c r="Q73" i="3"/>
  <c r="P73" i="3"/>
  <c r="P72" i="3"/>
  <c r="Q72" i="3"/>
  <c r="P71" i="3"/>
  <c r="Q71" i="3"/>
  <c r="P70" i="3"/>
  <c r="Q70" i="3"/>
  <c r="Q69" i="3"/>
  <c r="P69" i="3"/>
  <c r="P68" i="3"/>
  <c r="Q68" i="3"/>
  <c r="P67" i="3"/>
  <c r="Q67" i="3"/>
  <c r="P66" i="3"/>
  <c r="Q66" i="3"/>
  <c r="Q65" i="3"/>
  <c r="P65" i="3"/>
  <c r="P64" i="3"/>
  <c r="Q64" i="3"/>
  <c r="P63" i="3"/>
  <c r="Q63" i="3"/>
  <c r="Q62" i="3"/>
  <c r="P62" i="3"/>
  <c r="Q61" i="3"/>
  <c r="P61" i="3"/>
  <c r="Q60" i="3"/>
  <c r="P60" i="3"/>
  <c r="P59" i="3"/>
  <c r="Q59" i="3"/>
  <c r="P58" i="3"/>
  <c r="Q58" i="3"/>
  <c r="P57" i="3"/>
  <c r="Q57" i="3"/>
  <c r="P56" i="3"/>
  <c r="Q56" i="3"/>
  <c r="Q55" i="3"/>
  <c r="P55" i="3"/>
  <c r="Q54" i="3"/>
  <c r="P54" i="3"/>
  <c r="P53" i="3"/>
  <c r="Q53" i="3"/>
  <c r="Q52" i="3"/>
  <c r="P52" i="3"/>
  <c r="P50" i="3"/>
  <c r="Q50" i="3"/>
  <c r="Q49" i="3"/>
  <c r="P49" i="3"/>
  <c r="Q48" i="3"/>
  <c r="P48" i="3"/>
  <c r="Q47" i="3"/>
  <c r="P47" i="3"/>
  <c r="Q46" i="3"/>
  <c r="P46" i="3"/>
  <c r="P45" i="3"/>
  <c r="Q45" i="3"/>
  <c r="Q44" i="3"/>
  <c r="P44" i="3"/>
  <c r="P43" i="3"/>
  <c r="Q43" i="3"/>
  <c r="Q42" i="3"/>
  <c r="P42" i="3"/>
  <c r="Q41" i="3"/>
  <c r="P41" i="3"/>
  <c r="Q40" i="3"/>
  <c r="P40" i="3"/>
  <c r="Q39" i="3"/>
  <c r="P39" i="3"/>
  <c r="Q38" i="3"/>
  <c r="P38" i="3"/>
  <c r="Q37" i="3"/>
  <c r="P37" i="3"/>
  <c r="P36" i="3"/>
  <c r="Q36" i="3"/>
  <c r="Q35" i="3"/>
  <c r="P35" i="3"/>
  <c r="Q34" i="3"/>
  <c r="P34" i="3"/>
  <c r="Q33" i="3"/>
  <c r="P33" i="3"/>
  <c r="P32" i="3"/>
  <c r="Q32" i="3"/>
  <c r="Q31" i="3"/>
  <c r="P31" i="3"/>
  <c r="P29" i="3"/>
  <c r="Q29" i="3"/>
  <c r="Q28" i="3"/>
  <c r="D5" i="1"/>
  <c r="C5" i="1"/>
  <c r="P28" i="3"/>
  <c r="P27" i="3"/>
  <c r="Q27" i="3"/>
  <c r="Q26" i="3"/>
  <c r="P26" i="3"/>
  <c r="Q25" i="3"/>
  <c r="P25" i="3"/>
  <c r="Q24" i="3"/>
  <c r="P24" i="3"/>
  <c r="P23" i="3"/>
  <c r="Q23" i="3"/>
  <c r="P22" i="3"/>
  <c r="Q22" i="3"/>
  <c r="Q21" i="3"/>
  <c r="P21" i="3"/>
  <c r="P20" i="3"/>
  <c r="Q20" i="3"/>
  <c r="P19" i="3"/>
  <c r="Q19" i="3"/>
  <c r="P18" i="3"/>
  <c r="Q18" i="3"/>
  <c r="P17" i="3"/>
  <c r="Q17" i="3"/>
  <c r="Q16" i="3"/>
  <c r="P16" i="3"/>
  <c r="P15" i="3"/>
  <c r="Q15" i="3"/>
  <c r="Q14" i="3"/>
  <c r="P14" i="3"/>
  <c r="Q13" i="3"/>
  <c r="P13" i="3"/>
  <c r="Q12" i="3"/>
  <c r="P12" i="3"/>
  <c r="Q11" i="3"/>
  <c r="P11" i="3"/>
  <c r="P10" i="3"/>
  <c r="Q10" i="3"/>
  <c r="Q9" i="3"/>
  <c r="P9" i="3"/>
  <c r="Q8" i="3"/>
  <c r="P8" i="3"/>
  <c r="P7" i="3"/>
  <c r="Q7" i="3"/>
  <c r="P6" i="3"/>
  <c r="Q6" i="3"/>
  <c r="P5" i="3"/>
  <c r="Q5" i="3"/>
  <c r="Q4" i="3"/>
  <c r="P4" i="3"/>
  <c r="P3" i="3"/>
  <c r="Q3" i="3"/>
  <c r="Q2" i="3"/>
  <c r="P2" i="3"/>
  <c r="C13" i="1" l="1"/>
  <c r="C15" i="1"/>
  <c r="C14" i="1"/>
  <c r="C12" i="1"/>
</calcChain>
</file>

<file path=xl/sharedStrings.xml><?xml version="1.0" encoding="utf-8"?>
<sst xmlns="http://schemas.openxmlformats.org/spreadsheetml/2006/main" count="3200" uniqueCount="819">
  <si>
    <t>Asociación de indicadores a los objetivos específicos de la Política POLISIGS</t>
  </si>
  <si>
    <t>Versión ajustada. Base: lista institucional (350 indicadores) y Consolidado del Plan de mejoramiento (70 filas). Cifras calculadas con fórmulas.</t>
  </si>
  <si>
    <t>Objetivo</t>
  </si>
  <si>
    <t>Enunciado</t>
  </si>
  <si>
    <t>Indicadores asociados</t>
  </si>
  <si>
    <t>Detalle</t>
  </si>
  <si>
    <t>Criterio de asociación</t>
  </si>
  <si>
    <t>Obj. 1 ODS</t>
  </si>
  <si>
    <t>Aportar al cumplimiento de los ODS mediante procesos que generen valor e impacto en la comunidad, ambientalmente apropiados, socialmente beneficiosos y financieramente viables.</t>
  </si>
  <si>
    <t>Relación ODS directa (relevancia alta) + medias con relevancia ODS destacada (hoja 'Obj. 1 – Revisión medias').</t>
  </si>
  <si>
    <t>Obj. 2 Autoevaluación (Plan CNA)</t>
  </si>
  <si>
    <t>Promover procesos de autoevaluación, autorregulación y mejoramiento de las labores formativas, académicas, docentes, científicas, culturales y de extensión (Plan de mejoramiento CNA).</t>
  </si>
  <si>
    <t>ID Kawak del Plan de mejoramiento (con IDs corregidos: 109→632, 468→359, 535↔536) + indicadores confirmados en la validación (290, 636, 574, 585, 568).</t>
  </si>
  <si>
    <t>Obj. 3 Calidad y experiencia</t>
  </si>
  <si>
    <t>Garantizar el desarrollo de los procesos institucionales con calidad y oportunidad, asegurando la experiencia positiva de la comunidad universitaria.</t>
  </si>
  <si>
    <t>Definidos (359, 290, 468, 466, 467, 77) + ampliación: satisfacción, esfuerzo y recomendación de la comunidad por proceso, oportunidad y calidad del servicio. Excluye clientes y aliados externos.</t>
  </si>
  <si>
    <t>Obj. 4 Ambiente</t>
  </si>
  <si>
    <t>Proteger el medio ambiente aplicando controles de prevención, mitigación, corrección y/o compensación, garantizando el uso sostenible de los recursos naturales y la preservación de la biodiversidad y los ecosistemas.</t>
  </si>
  <si>
    <t>Indicador definido: 238.</t>
  </si>
  <si>
    <t>Obj. 5 Trabajo sano y seguro</t>
  </si>
  <si>
    <t>Promover un entorno de trabajo sano, seguro y armónico mediante la eliminación y reducción de riesgos y peligros y la prevención de riesgos laborales.</t>
  </si>
  <si>
    <t>Indicadores definidos: 124, 125, 127, 126, 202, 599, 484.</t>
  </si>
  <si>
    <t>Obj. 6 Requisitos legales</t>
  </si>
  <si>
    <t>Gestionar el cumplimiento de los requisitos legales aplicables a la ejecución de las actividades institucionales.</t>
  </si>
  <si>
    <t>Indicadores definidos: 262, 100, 235.</t>
  </si>
  <si>
    <t>Cifra</t>
  </si>
  <si>
    <t>Valor</t>
  </si>
  <si>
    <t>Indicadores con al menos un objetivo</t>
  </si>
  <si>
    <t>Indicadores con 2 o más objetivos</t>
  </si>
  <si>
    <t>Indicadores con 3 o más objetivos</t>
  </si>
  <si>
    <t>Indicadores sin objetivo asociado</t>
  </si>
  <si>
    <t>Filas del Plan asociadas a un indicador</t>
  </si>
  <si>
    <t>Filas del Plan omitidas o no confirmadas</t>
  </si>
  <si>
    <t>Parámetros de la asociación</t>
  </si>
  <si>
    <t>Celda amarilla editable.</t>
  </si>
  <si>
    <t>Relevancia ODS mínima para asociar al Objetivo 1</t>
  </si>
  <si>
    <t>Alta</t>
  </si>
  <si>
    <t>Definido: Alta (relación directa). Además se asocian las 'medias con relevancia ODS destacada' marcadas en la matriz (ver hoja 'Obj. 1 – Revisión medias').</t>
  </si>
  <si>
    <t>ID</t>
  </si>
  <si>
    <t>Indicador</t>
  </si>
  <si>
    <t>Proceso</t>
  </si>
  <si>
    <t>Responsable</t>
  </si>
  <si>
    <t>Tipo</t>
  </si>
  <si>
    <t>Frecuencia</t>
  </si>
  <si>
    <t>ODS relacionados (análisis ODS)</t>
  </si>
  <si>
    <t>Relevancia ODS</t>
  </si>
  <si>
    <t>Media con relevancia ODS destacada</t>
  </si>
  <si>
    <t>N° objetivos asociados</t>
  </si>
  <si>
    <t>Objetivos asociados</t>
  </si>
  <si>
    <t>Criterio Obj. 3</t>
  </si>
  <si>
    <t>Asociaciones sugeridas (no oficiales)</t>
  </si>
  <si>
    <t>Observaciones</t>
  </si>
  <si>
    <t>Nivel de Satisfacción Servicios Prestados - Proceso de auditoria interna</t>
  </si>
  <si>
    <t>AUDITORÍA INTERNA</t>
  </si>
  <si>
    <t>Director De Control Interno</t>
  </si>
  <si>
    <t>Efectividad</t>
  </si>
  <si>
    <t>Semestral</t>
  </si>
  <si>
    <t>Sin relación</t>
  </si>
  <si>
    <t>Experiencia por proceso (satisfacción)</t>
  </si>
  <si>
    <t>Cumplimiento programa de auditoría</t>
  </si>
  <si>
    <t>Eficacia</t>
  </si>
  <si>
    <t>Trimestral</t>
  </si>
  <si>
    <t>Cumplimiento de Inspecciones de control</t>
  </si>
  <si>
    <t>Administración de Servicios Generales</t>
  </si>
  <si>
    <t>Director De Servicios Administrativos</t>
  </si>
  <si>
    <t>No concluyente</t>
  </si>
  <si>
    <t>Cumplimiento plan de trabajo - Bogotá</t>
  </si>
  <si>
    <t>Nivel de Satisfacción Servicios Prestados - Administración De Servicios Generales</t>
  </si>
  <si>
    <t>Número de programas con condiciones iniciales elaboradas y analizadas institucionalmente</t>
  </si>
  <si>
    <t>Autoevaluación de programas académicos</t>
  </si>
  <si>
    <t>Director Aseguramiento De La Calidad</t>
  </si>
  <si>
    <t>Eficiencia</t>
  </si>
  <si>
    <t>ODS 4 – Educación de calidad</t>
  </si>
  <si>
    <t>Baja</t>
  </si>
  <si>
    <t>Número de informes de autoevaluación con fines de acreditación en alta calidad radicados- Metrica</t>
  </si>
  <si>
    <t>Metrica</t>
  </si>
  <si>
    <t>Anual</t>
  </si>
  <si>
    <t>Número de programas con obtención de acreditación por primera vez- Metrica</t>
  </si>
  <si>
    <t>Media</t>
  </si>
  <si>
    <t>Número de programas con renovación de acreditación en alta calidad - Metrica</t>
  </si>
  <si>
    <t>Número de programas con condiciones iniciales aprobadas (indicador externo)- Metrica</t>
  </si>
  <si>
    <t>Programas acreditables acreditados Sede Bogotá</t>
  </si>
  <si>
    <t>Autoevaluación institucional</t>
  </si>
  <si>
    <t>Sí</t>
  </si>
  <si>
    <t>Elevado al Obj. 1: Única medida de cobertura de calidad reconocida de la oferta (meta 4.3); es el indicador de alta calidad de referencia en acreditación.</t>
  </si>
  <si>
    <t>Índice de Apropiación del Sistema Interno de Aseguramiento de la Calidad (SIAC)</t>
  </si>
  <si>
    <t>Indice de impacto Psicosocial de las actividades de bienestar</t>
  </si>
  <si>
    <t>BIENESTAR INSTITUCIONAL</t>
  </si>
  <si>
    <t>Director De Bienestar Universitario</t>
  </si>
  <si>
    <t>ODS 3 – Salud y bienestar</t>
  </si>
  <si>
    <t>Elevado al Obj. 1: Único indicador que mide un resultado de bienestar (meta 3.4); el ODS 3 no tiene ningún indicador de relación directa.</t>
  </si>
  <si>
    <t>Nivel de Satisfacción Servicios Prestados - Recursos digitales</t>
  </si>
  <si>
    <t>Biblioteca Institucional</t>
  </si>
  <si>
    <t>Carmen Mercedes Romero Bracho</t>
  </si>
  <si>
    <t>Materiales bibliográficos en formato físico con estado de perdida</t>
  </si>
  <si>
    <t>Director Sistema Nacional De Bibliotecas</t>
  </si>
  <si>
    <t>Nivel de satisfacción Biblioteca Presencial</t>
  </si>
  <si>
    <t>CES Recursos digitales</t>
  </si>
  <si>
    <t>Experiencia por proceso (esfuerzo / recomendación)</t>
  </si>
  <si>
    <t>Número Impactados Talleres de formación</t>
  </si>
  <si>
    <t>Centro de Medios Audiovisuales</t>
  </si>
  <si>
    <t>Director Centro Medios Audiovisuales</t>
  </si>
  <si>
    <t>Nivel de Satisfacción Servicios Prestados - Centro de Medios Audiovisuales</t>
  </si>
  <si>
    <t>Seguimiento a eventos internos y externos institucionales</t>
  </si>
  <si>
    <t>Comunicaciones Externas</t>
  </si>
  <si>
    <t>Director De Relaciones Publicas Y Protoc</t>
  </si>
  <si>
    <t>Índice de Reputación Institucional en Medios Antioquia</t>
  </si>
  <si>
    <t>Director De Comun. Externas Sed Medellin</t>
  </si>
  <si>
    <t>Índice de Calidad del Posicionamiento Mediático (ICPM)</t>
  </si>
  <si>
    <t>Jefe De Prensa</t>
  </si>
  <si>
    <t>Valor Equivalente Publicitario Ponderado por Sentimiento (VEPS)</t>
  </si>
  <si>
    <t>Índice de Reputación Institucional en Medios</t>
  </si>
  <si>
    <t>Indice de satisfacción de eventos institucionales</t>
  </si>
  <si>
    <t>Nivel de satisfacción proceso de comunicaciones externas</t>
  </si>
  <si>
    <t>Gerente De Talento Humano Y Comunicacion</t>
  </si>
  <si>
    <t>Impacto de campañas de Mailing</t>
  </si>
  <si>
    <t>Comunicaciones Internas</t>
  </si>
  <si>
    <t>Director De Comunicaciones Interna</t>
  </si>
  <si>
    <t>Apertura de enlaces en mensajes de texto</t>
  </si>
  <si>
    <t>Número de visitas a la página web - Metrica</t>
  </si>
  <si>
    <t>Indice de Alcance, interacción y engagement de comunicaciones internas</t>
  </si>
  <si>
    <t>Director De Comunicaciones Internas</t>
  </si>
  <si>
    <t>Nivel de Satisfacción Servicios Prestados - Comunicaciones Internas</t>
  </si>
  <si>
    <t>Reemplaza al ID 109 (no existente) en el Plan de mejoramiento.</t>
  </si>
  <si>
    <t>Número de anticipos y legalizaciones pendientes de legalización  45 días</t>
  </si>
  <si>
    <t>Contabilidad</t>
  </si>
  <si>
    <t>Jefe De Cuentas Por Pagar Y Activos Fijo</t>
  </si>
  <si>
    <t>Indice de cuentas por pagar</t>
  </si>
  <si>
    <t>Nivel de partidas conciliatorias bancarias pendientes</t>
  </si>
  <si>
    <t>Analista De Contabilidad</t>
  </si>
  <si>
    <t>Índice de facturas generadas con inconsistencias</t>
  </si>
  <si>
    <t>Calidad del servicio o producto</t>
  </si>
  <si>
    <t>Nivel de Satisfacción Servicios Prestados - Contabilidad</t>
  </si>
  <si>
    <t>Director De Contabilidad</t>
  </si>
  <si>
    <t>Número de programas con renovación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</si>
  <si>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</si>
  <si>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</si>
  <si>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 - Metrica</t>
  </si>
  <si>
    <t>Programas nuevos radicados por facultad</t>
  </si>
  <si>
    <t>Número de renovaciones de registro calificado radicadas al MEN</t>
  </si>
  <si>
    <t>Director De Aseguramiento De La Calidad</t>
  </si>
  <si>
    <t>Participación en Actividades deportivas</t>
  </si>
  <si>
    <t>Cultura y Deporte</t>
  </si>
  <si>
    <t>Jefe De Cultura Y Deportes</t>
  </si>
  <si>
    <t>Participación en actividades culturales</t>
  </si>
  <si>
    <t>Nivel de Satisfacción Servicios Prestados -Cultura y Deporte</t>
  </si>
  <si>
    <t>Nombre en el Plan ('satisfacción comunidad virtual con bienestar') difiere del de la lista (Cultura y Deporte). Pendiente de verificar.</t>
  </si>
  <si>
    <t>Nivel de Satisfacción Servicios Prestados - Datos y analítica</t>
  </si>
  <si>
    <t>DATOS Y ANALÍTICA</t>
  </si>
  <si>
    <t>Director De Datos Y Analitica</t>
  </si>
  <si>
    <t>CES Novus</t>
  </si>
  <si>
    <t>Jefe De Analitica Academica</t>
  </si>
  <si>
    <t>Cumplimiento en el cargue de información al SNIES</t>
  </si>
  <si>
    <t>ODS 17 – Alianzas para lograr los objetivos; ODS 16 – Paz, justicia e instituciones sólidas</t>
  </si>
  <si>
    <t>Oportunidad del servicio o proceso</t>
  </si>
  <si>
    <t>Obj. 6</t>
  </si>
  <si>
    <t>Índice de Gobierno de datos</t>
  </si>
  <si>
    <t>Jefe De Ingenieria De Datos</t>
  </si>
  <si>
    <t>Índice de madurez analítica</t>
  </si>
  <si>
    <t>NPS Datos y analitica</t>
  </si>
  <si>
    <t>Índice de Disponibilidad de Equipos (IDE)</t>
  </si>
  <si>
    <t>Director Centro De Medios Audiovisuales</t>
  </si>
  <si>
    <t>Índice de Rotación de Alta Demanda (IRAD)</t>
  </si>
  <si>
    <t>Subprocesos Con indicadores definidos</t>
  </si>
  <si>
    <t>Desempeño Institucional</t>
  </si>
  <si>
    <t>Especialista De Medicion Y Mejora</t>
  </si>
  <si>
    <t>Índice de cumplimiento del Plan de Desarrollo Institucional por línea estratégica</t>
  </si>
  <si>
    <t>Nivel de Satisfacción Servicios Prestados - Desempeño Institucional</t>
  </si>
  <si>
    <t>Tasa de indicadores PDI con cumplimiento de meta en el período de seguimiento</t>
  </si>
  <si>
    <t>Índice de oportunidad en el reporte de indicadores</t>
  </si>
  <si>
    <t>Gestión de casos del Estudio de Grabación Virtual</t>
  </si>
  <si>
    <t>Diseño de Contenido Virtual</t>
  </si>
  <si>
    <t>Coordinador De Estudio De Grabacion Virt</t>
  </si>
  <si>
    <t>Número de cursos diseñados</t>
  </si>
  <si>
    <t>Gerente De Educacion Virtual</t>
  </si>
  <si>
    <t>Nivel de Satisfacción Servicios Prestados - Diseño y contenido virtual</t>
  </si>
  <si>
    <t>Coordinador De Gestion De Contenidos</t>
  </si>
  <si>
    <t>Índice de Efectividad del Acompañamiento al Autor</t>
  </si>
  <si>
    <t>Bimestral</t>
  </si>
  <si>
    <t>Porcentaje de cumplimiento en la entrega de modulos</t>
  </si>
  <si>
    <t>Porcentaje de modulos entregados sin no conformidades</t>
  </si>
  <si>
    <t>Tiempo Promedio de Producción de Materiales Educativos con IA Generativa</t>
  </si>
  <si>
    <t>Satisfacción Institucional por grupos de interés principales (CSAT)</t>
  </si>
  <si>
    <t>EXPERIENCIA INSTITUCIONAL</t>
  </si>
  <si>
    <t>Director De Experiencia E Inclusion</t>
  </si>
  <si>
    <t>Experiencia institucional</t>
  </si>
  <si>
    <t>Satisfacción Institucional CSAT</t>
  </si>
  <si>
    <t>Reemplaza al 468 en el Plan de mejoramiento (fila 'CSAT Estudiantes').</t>
  </si>
  <si>
    <t>NPS Estudiantes</t>
  </si>
  <si>
    <t>NPS Graduados</t>
  </si>
  <si>
    <t>CES General</t>
  </si>
  <si>
    <t>Ya no se asocia al Plan: el ID se corrigió a 359.</t>
  </si>
  <si>
    <t>Nivel de Satisfacción Servicios Prestados</t>
  </si>
  <si>
    <t>Editorial y Publicaciones</t>
  </si>
  <si>
    <t>Director Editorial</t>
  </si>
  <si>
    <t>Informe anual de índice H - Metrica</t>
  </si>
  <si>
    <t>ODS 9 – Industria, innovación e infraestructura</t>
  </si>
  <si>
    <t>Publicaciones editadas por la editorial</t>
  </si>
  <si>
    <t>Tasa de interacción por usuario</t>
  </si>
  <si>
    <t>Tasa de Eficiencia Editorial (TEE)</t>
  </si>
  <si>
    <t>Participación en actividades de desarrollo de Cultura y Formación Emprendedora</t>
  </si>
  <si>
    <t>Emprendimiento</t>
  </si>
  <si>
    <t>Wilinton Javier Ortiz Amador</t>
  </si>
  <si>
    <t>ODS 4 – Educación de calidad; ODS 8 – Trabajo decente y crecimiento económico</t>
  </si>
  <si>
    <t>Sesiones de Acompañamiento a emprendedores en creación de empresas</t>
  </si>
  <si>
    <t>ODS 8 – Trabajo decente y crecimiento económico</t>
  </si>
  <si>
    <t>Nivel de satisfacción con las actividades de formación</t>
  </si>
  <si>
    <t>Evaluación del desempeño de los mentores</t>
  </si>
  <si>
    <t>Tasa de Sostenibilidad de Emprendimientos</t>
  </si>
  <si>
    <t>ODS 8 – Trabajo decente y crecimiento económico; ODS 9 – Industria, innovación e infraestructura</t>
  </si>
  <si>
    <t>Nivel de Satisfacción de servicios prestados - Estudios Internos</t>
  </si>
  <si>
    <t>Estudios Internos</t>
  </si>
  <si>
    <t>Director De Estudios Internos</t>
  </si>
  <si>
    <t>Tiempo Promedio de Ciclo de un Estudio por actividad- Metrica</t>
  </si>
  <si>
    <t>Nivel de Cumplimiento de Tamaños Muestrales por Grupo de Interés</t>
  </si>
  <si>
    <t>Semilleros de Investigación, Innovación y Creación</t>
  </si>
  <si>
    <t>Formación para la investigación, creación e innovación</t>
  </si>
  <si>
    <t>Lider En Iniciacion Cientifica</t>
  </si>
  <si>
    <t>ODS 4 – Educación de calidad; ODS 9 – Industria, innovación e infraestructura</t>
  </si>
  <si>
    <t>Estudiantes vinculados a investigación</t>
  </si>
  <si>
    <t>Nivel de Satisfacción Servicios Prestados -Formación para la investigación, creación e innovación</t>
  </si>
  <si>
    <t>Director De Investig, Innovac Y Creacion</t>
  </si>
  <si>
    <t>Cumplimiento del Plan Anual del Sistema de Gestión Ambiental</t>
  </si>
  <si>
    <t>GESTIÓN AMBIENTAL</t>
  </si>
  <si>
    <t>Lider Sistema De Gestion Ambiental</t>
  </si>
  <si>
    <t>ODS 12 – Producción y consumo responsables</t>
  </si>
  <si>
    <t>Obj. 4</t>
  </si>
  <si>
    <t>Disminución de la Generación de Residuos per Cápita</t>
  </si>
  <si>
    <t>ODS 12 – Producción y consumo responsables; ODS 11 – Ciudades y comunidades sostenibles</t>
  </si>
  <si>
    <t>Aprovechamiento de Residuos</t>
  </si>
  <si>
    <t>Mensual</t>
  </si>
  <si>
    <t>Disminución del Consumo de Energía Eléctrica per Cápita</t>
  </si>
  <si>
    <t>ODS 7 – Energía asequible y no contaminante; ODS 13 – Acción por el clima</t>
  </si>
  <si>
    <t>Disminución del Consumo de Agua per Cápita</t>
  </si>
  <si>
    <t>ODS 6 – Agua limpia y saneamiento; ODS 12 – Producción y consumo responsables</t>
  </si>
  <si>
    <t>Riesgo de la Calidad del Agua Potable</t>
  </si>
  <si>
    <t>ODS 6 – Agua limpia y saneamiento; ODS 3 – Salud y bienestar</t>
  </si>
  <si>
    <t>Calidad de las Aguas Residuales Domesticas</t>
  </si>
  <si>
    <t>ODS 6 – Agua limpia y saneamiento</t>
  </si>
  <si>
    <t>Obj. 4 y 6</t>
  </si>
  <si>
    <t>Registro de Publicidad Exterior Visual</t>
  </si>
  <si>
    <t>Cumplimiento Nivel de Emisión de Ruido</t>
  </si>
  <si>
    <t>ODS 11 – Ciudades y comunidades sostenibles; ODS 3 – Salud y bienestar</t>
  </si>
  <si>
    <t>Acciones para el Cuidado y Mantenimiento de las Especies de Flora y el Suelo de las Áreas Naturales</t>
  </si>
  <si>
    <t>ODS 15 – Vida de ecosistemas terrestres; ODS 11 – Ciudades y comunidades sostenibles</t>
  </si>
  <si>
    <t>Generación de Gases de Efecto Invernadero</t>
  </si>
  <si>
    <t>ODS 13 – Acción por el clima</t>
  </si>
  <si>
    <t>Generación de  Gases de Efecto Invernadero per Cápita</t>
  </si>
  <si>
    <t>Compensación de Gases de Efecto Invernadero</t>
  </si>
  <si>
    <t>Asistencia Eventos de Formación en Materia Ambiental</t>
  </si>
  <si>
    <t>ODS 4 – Educación de calidad; ODS 12 – Producción y consumo responsables; ODS 13 – Acción por el clima</t>
  </si>
  <si>
    <t>Ejecución de las Comunicaciones en Materia Ambiental</t>
  </si>
  <si>
    <t>ODS 12 – Producción y consumo responsables; ODS 13 – Acción por el clima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</si>
  <si>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</si>
  <si>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</si>
  <si>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</si>
  <si>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Cumplimiento de la Protección del Medio Ambiente</t>
  </si>
  <si>
    <t>ODS 12 – Producción y consumo responsables; ODS 15 – Vida de ecosistemas terrestres</t>
  </si>
  <si>
    <t>Elevado al Obj. 1: Integra prevención, mitigación y compensación con preservación de biodiversidad y ecosistemas (ODS 12 y 15); es el indicador del objetivo ambiental de la política.</t>
  </si>
  <si>
    <t>GreenMetric - Nacional</t>
  </si>
  <si>
    <t>ODS 13 – Acción por el clima; ODS 12 – Producción y consumo responsables; ODS 7 – Energía asequible y no contaminante; ODS 6 – Agua limpia y saneamiento; ODS 11 – Ciudades y comunidades sostenibles; ODS 4 – Educación de calidad</t>
  </si>
  <si>
    <t>Elevado al Obj. 1: Referente externo de sostenibilidad del campus que agrega seis ODS (4, 6, 7, 11, 12, 13); comparable con otras IES.</t>
  </si>
  <si>
    <t>Consumo de Agua per Cápita Semestral</t>
  </si>
  <si>
    <t>Consumo de Energía Eléctrica per Cápita Semestral</t>
  </si>
  <si>
    <t>Generación de Residuos Sólidos per Cápita Semestral</t>
  </si>
  <si>
    <t>Generación de Residuos Peligrosos per Cápita Semestral</t>
  </si>
  <si>
    <t>ODS 12 – Producción y consumo responsables; ODS 3 – Salud y bienestar</t>
  </si>
  <si>
    <t>Disminución de la Generación de Residuos Peligrosos per Cápita</t>
  </si>
  <si>
    <t>Nivel de Satisfacción Servicios Prestados - Gestión Ambiental</t>
  </si>
  <si>
    <t>Participación en Eventos de Formación Ambiental de la Comunidad Institucional</t>
  </si>
  <si>
    <t>Participación en Eventos de Formación Ambiental de Grupos de Interés Externos</t>
  </si>
  <si>
    <t>Evaluación de desempeño a proveedores críticos</t>
  </si>
  <si>
    <t>GESTIÓN DE ABASTECIMIENTO</t>
  </si>
  <si>
    <t>Director De Compras Y Abastecimiento</t>
  </si>
  <si>
    <t>Oportunidad de Respuesta Solicitudes de Compra No Licitadas</t>
  </si>
  <si>
    <t>Eficiencia en la reducción de costos en la gestión del abastecimiento</t>
  </si>
  <si>
    <t>Disponibilidad de servicios tecnológicos</t>
  </si>
  <si>
    <t>GESTIÓN DE LA TECNOLOGÍA E INNOVACIÓN DIGITAL</t>
  </si>
  <si>
    <t>Director De Operaciones It</t>
  </si>
  <si>
    <t>Disponibilidad del servicio</t>
  </si>
  <si>
    <t>Porcentaje de procesos de control implementados</t>
  </si>
  <si>
    <t>Director De Gobierno Digital</t>
  </si>
  <si>
    <t>Porcentaje de colaboradores formados en ciberseguridad</t>
  </si>
  <si>
    <t>Nivel de Satisfacción Servicios Prestados - Gerencia de tecnología e innovación</t>
  </si>
  <si>
    <t>Gerente De Tecnologia E Innovacion Dig.</t>
  </si>
  <si>
    <t>Índice de Cumplimiento del Sprint (ICS)</t>
  </si>
  <si>
    <t>Director De Desarrollo E Innovacion Dig.</t>
  </si>
  <si>
    <t>Índice de Autogestión Implementado (IAI)</t>
  </si>
  <si>
    <t>Índice de madurez tecnológica</t>
  </si>
  <si>
    <t>Nivel de Satisfacción Servicios Prestados - Riesgos</t>
  </si>
  <si>
    <t>GESTIÓN DE RIESGOS</t>
  </si>
  <si>
    <t>Profesional De Riesgos</t>
  </si>
  <si>
    <t>Frecuencia de incidentes de riesgos</t>
  </si>
  <si>
    <t>Eficacia, Metrica</t>
  </si>
  <si>
    <t>Eficacia de controles</t>
  </si>
  <si>
    <t>Nivel de cumplimiento del plan de seguimiento a controles</t>
  </si>
  <si>
    <t>Respuesta ante nuevas necesidades de control</t>
  </si>
  <si>
    <t>Índice de Madurez de la Gestión de Riesgos (RM Maturity Index)</t>
  </si>
  <si>
    <t>Funcionamiento del COPASST</t>
  </si>
  <si>
    <t>GESTIÓN DE SEGURIDAD Y SALUD EN EL TRABAJO</t>
  </si>
  <si>
    <t>Jefe De Seguridad Y Salud En El Trabajo</t>
  </si>
  <si>
    <t>Plan de Emergencias</t>
  </si>
  <si>
    <t>ODS 8 – Trabajo decente y crecimiento económico; ODS 11 – Ciudades y comunidades sostenibles</t>
  </si>
  <si>
    <t>Reporte e investigación</t>
  </si>
  <si>
    <t>Autoevaluación</t>
  </si>
  <si>
    <t>Obj. 5 y 6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</si>
  <si>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</si>
  <si>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</si>
  <si>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</si>
  <si>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</si>
  <si>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</si>
  <si>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ODS 8 – Trabajo decente y crecimiento económico; ODS 3 – Salud y bienestar</t>
  </si>
  <si>
    <t>Cobertura Elementos de Protección Personal</t>
  </si>
  <si>
    <t>Inspecciones de seguridad</t>
  </si>
  <si>
    <t>Cumplimiento de requisitos legales SST</t>
  </si>
  <si>
    <t>Tasa de accidentalidad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</si>
  <si>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</si>
  <si>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</si>
  <si>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</si>
  <si>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</si>
  <si>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</si>
  <si>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Obj. 5</t>
  </si>
  <si>
    <t>Proporción de accidentes de trabajo mortales</t>
  </si>
  <si>
    <t>Gestión y seguimiento de casos de salud que impactan a los colaboradores</t>
  </si>
  <si>
    <t>Intervención a la gestión del riesgo de los colaboradores</t>
  </si>
  <si>
    <t>Cumplimiento del Programa de la Cultura del Autocuidado</t>
  </si>
  <si>
    <t>Nivel de Satisfacción Servicios Prestados - SST</t>
  </si>
  <si>
    <t>Reducción de número de sentencias condenatorias en contra del Poli</t>
  </si>
  <si>
    <t>GESTIÓN JURÍDICA Y NORMATIVA</t>
  </si>
  <si>
    <t>Jefe De Pqrs Y Litigios</t>
  </si>
  <si>
    <t>Oportunidad de respuesta de PQRS</t>
  </si>
  <si>
    <t>ODS 16 – Paz, justicia e instituciones sólidas</t>
  </si>
  <si>
    <t>Obj. 6 (PQRS, tutelas y requerimientos de entes externos)</t>
  </si>
  <si>
    <t>Eficiencia Emisión De Conceptos Jurídicos y normativos aplicables</t>
  </si>
  <si>
    <t>Director Juridico</t>
  </si>
  <si>
    <t>Tasa de oportunidad en la elaboración y firma de contratos</t>
  </si>
  <si>
    <t>Nivel de Satisfacción Servicios Prestados - Gestión Jurídica Y Normativa</t>
  </si>
  <si>
    <t>Secretaria General</t>
  </si>
  <si>
    <t>Oportunidad en la radicación de facturas</t>
  </si>
  <si>
    <t>Coordinador De Gestion Documental</t>
  </si>
  <si>
    <t>Tiempo respuesta selección y contratación de colaboradores de planta</t>
  </si>
  <si>
    <t>GESTIÓN Y DESARROLLO DEL TALENTO HUMANO</t>
  </si>
  <si>
    <t>Director De Gestion De Talento</t>
  </si>
  <si>
    <t>Efectividad en las contrataciones</t>
  </si>
  <si>
    <t>Ejecución presupuestal de la nómina acumulada</t>
  </si>
  <si>
    <t>Director De Admon Laboral Y Compensacion</t>
  </si>
  <si>
    <t>Satisfacción actividades plan de bienestar</t>
  </si>
  <si>
    <t>Director De Bienestar Y Relac. Laborales</t>
  </si>
  <si>
    <t>Nivel de cumplimiento de eficacia las capacitaciones</t>
  </si>
  <si>
    <t>Director De Formacion Y Desarrollo</t>
  </si>
  <si>
    <t>Nivel de efectividad de las capacitaciones</t>
  </si>
  <si>
    <t>Great Place to Work</t>
  </si>
  <si>
    <t>Elevado al Obj. 1: Única medición integral de condiciones de trabajo decente (meta 8.5); los demás indicadores ODS 8 se concentran en accidentalidad.</t>
  </si>
  <si>
    <t>Índice de rotación</t>
  </si>
  <si>
    <t>Resultado de la evaluación 360 (evaluación por competencias)</t>
  </si>
  <si>
    <t>Cumplimiento del plan de Inducción institucional</t>
  </si>
  <si>
    <t>% de profesores (Contrato Indefinido- Fijo) impactados plan de desarrollo docente</t>
  </si>
  <si>
    <t>Cumplimiento Plan de formación Institucional</t>
  </si>
  <si>
    <t>Satisfacción Front de servicios de Talento Humano</t>
  </si>
  <si>
    <t>eNPS (indice de recomendación de colaboradores)</t>
  </si>
  <si>
    <t>% de profesores impactados en actividades de Bienestar (Indefinido- Fijo Anualizado)</t>
  </si>
  <si>
    <t>ODS 3 – Salud y bienestar; ODS 8 – Trabajo decente y crecimiento económico</t>
  </si>
  <si>
    <t>Porcentaje de Colaboradores con movilidad interna</t>
  </si>
  <si>
    <t>Indice de retención del talento estratégico</t>
  </si>
  <si>
    <t>Relación Estudiante-Docente Tiempo completo</t>
  </si>
  <si>
    <t>Gestión Docente</t>
  </si>
  <si>
    <t>Secretario Academico Y De Docencia</t>
  </si>
  <si>
    <t>Relación estudiante docente TCE (Tiempo Completo Equivalente)</t>
  </si>
  <si>
    <t>Docentes contratados - Metrica</t>
  </si>
  <si>
    <t>Docentes evaluados</t>
  </si>
  <si>
    <t>Resultados de evaluación de desempeño docente 360°</t>
  </si>
  <si>
    <t>Total docentes por nivel de estudios - Metrica</t>
  </si>
  <si>
    <t>No asociado al Plan: se asoció el 574.</t>
  </si>
  <si>
    <t>Número docentes escalafonados presentados en convocatoria</t>
  </si>
  <si>
    <t>Relación Estudiante-Docente Tiempo completo  Equivalente (Población AAC/Institucional - Bogotá Virtual)</t>
  </si>
  <si>
    <t>Total docentes por nivel de estudios (Población AAC/Institucional - Bogotá Virtual) - Metrica</t>
  </si>
  <si>
    <t>Asociado al Plan (profesores con maestría y doctorado).</t>
  </si>
  <si>
    <t>Nivel de satisfacción Gestión docente</t>
  </si>
  <si>
    <t>Cobertura de socialización del reglamento docente a profesores nuevos</t>
  </si>
  <si>
    <t>Eficiencia Presupuestal Nómina Docente</t>
  </si>
  <si>
    <t>Cumplimiento cronograma Mantenimiento de Equipos</t>
  </si>
  <si>
    <t>Gestión Infraestructura Física</t>
  </si>
  <si>
    <t>Director De Infraestructura</t>
  </si>
  <si>
    <t>Oportunidad en la solución de solicitudes de infraestructura</t>
  </si>
  <si>
    <t>Nivel de Satisfacción Servicios Prestados - Infraestructura</t>
  </si>
  <si>
    <t>% de Participación de graduados en actividades de empleabilidad y relacionamiento</t>
  </si>
  <si>
    <t>Gestión de Graduados</t>
  </si>
  <si>
    <t>Director De Graduados Y Proyeccion Emp.</t>
  </si>
  <si>
    <t>ODS 8 – Trabajo decente y crecimiento económico; ODS 4 – Educación de calidad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</si>
  <si>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</si>
  <si>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</si>
  <si>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</si>
  <si>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Portafolio de Proyectos - Metrica</t>
  </si>
  <si>
    <t>Gestión de Proyectos</t>
  </si>
  <si>
    <t>Lider Pmo ? Agile</t>
  </si>
  <si>
    <t>Cumplimiento de Gestión De Proyectos Cerrados</t>
  </si>
  <si>
    <t>Cumplimiento de gestión de proyectos fase inicio</t>
  </si>
  <si>
    <t>Nivel de Satisfacción Servicios Prestados - Gestión de proyectos</t>
  </si>
  <si>
    <t>Oportunidad en tiempos de fase inicio</t>
  </si>
  <si>
    <t>Cumplimiento a cronograma de proyectos 2026</t>
  </si>
  <si>
    <t>Oportunidad en tiempo de fase de cierre</t>
  </si>
  <si>
    <t>Seguimiento a ejecución presupuestal de los proyectos (Metrica)</t>
  </si>
  <si>
    <t>Índice de riesgos materializados en proyectos (Metrica)</t>
  </si>
  <si>
    <t>Permanencia por escuela</t>
  </si>
  <si>
    <t>Gestión de Unidades Académicas</t>
  </si>
  <si>
    <t>Vicerrector Academico</t>
  </si>
  <si>
    <t>Nivel de Satisfacción Servicios Prestados -Gestión de Unidades Académicas</t>
  </si>
  <si>
    <t>Eficacia del Plan documental Institucional</t>
  </si>
  <si>
    <t>Gestión de calidad</t>
  </si>
  <si>
    <t>Director Del Sistema Integrado</t>
  </si>
  <si>
    <t>ANS documentos operativos</t>
  </si>
  <si>
    <t>Analista De Arquitectura Y Mejora Proces</t>
  </si>
  <si>
    <t>Oportunidad en el cierre de acciones</t>
  </si>
  <si>
    <t>Oportunidad en el cierre de actividades de los planes de mejora</t>
  </si>
  <si>
    <t>Nivel de Satisfacción del sistema de gestión de calidad</t>
  </si>
  <si>
    <t>Ahorro institucional con base en la monetización de los servicios</t>
  </si>
  <si>
    <t>Gestión de campañas integradas de marketing</t>
  </si>
  <si>
    <t>Director Agencia Trompo</t>
  </si>
  <si>
    <t>Tasa de incremento en la resolución de solicitudes</t>
  </si>
  <si>
    <t>Satisfacción con las campañas integradas de marketing y contenidos directivos</t>
  </si>
  <si>
    <t>Índice de Inclusión</t>
  </si>
  <si>
    <t>Gestión de la Responsabilidad Social</t>
  </si>
  <si>
    <t>ODS 4 – Educación de calidad; ODS 10 – Reducción de las desigualdades</t>
  </si>
  <si>
    <t>Participación de POLI- voluntariados (Estudiantes- Colaboradores)</t>
  </si>
  <si>
    <t>Director Bienestar Univer Y Huella Granc</t>
  </si>
  <si>
    <t>Recaudación de fondos</t>
  </si>
  <si>
    <t>ODS 17 – Alianzas para lograr los objetivos</t>
  </si>
  <si>
    <t>Nivel de Satisfacción Servicios Prestados -Gestión de la Responsabilidad Social</t>
  </si>
  <si>
    <t>Tasa de crecimiento de estudiantes beneficiarios de becas</t>
  </si>
  <si>
    <t>Asociado al Plan (% de becarios). La fórmula actual mide crecimiento, no proporción.</t>
  </si>
  <si>
    <t>Tasa de Permanencia de Beneficiarios del Programa de Becas</t>
  </si>
  <si>
    <t>Índice de Satisfacción de benefactores con la Gestión de Responsabilidad Social</t>
  </si>
  <si>
    <t>Nivel Satisfacción con la Oficina de inclusión</t>
  </si>
  <si>
    <t>Satisfacción con la estrategia de acompañamiento del proceso de inclusión</t>
  </si>
  <si>
    <t>Programas con planes de estudios definidos</t>
  </si>
  <si>
    <t>Gestión, Evaluación e Innovación Curricular</t>
  </si>
  <si>
    <t>Director De Curriculo</t>
  </si>
  <si>
    <t>Programas con resultados de aprendizaje definidos</t>
  </si>
  <si>
    <t>Solicitudes de documentación completadas</t>
  </si>
  <si>
    <t>Nivel de Satisfacción Servicios Prestados -Gestión, evaluación e innovación curricular</t>
  </si>
  <si>
    <t>Director De Curriculo Presencial Y Virtu</t>
  </si>
  <si>
    <t>Asignaturas o modulos con mecanismos de evaluación implementados</t>
  </si>
  <si>
    <t>Total estudiantes nuevos</t>
  </si>
  <si>
    <t>Inscripción, admisión y matrícula de estudiantes nuevos</t>
  </si>
  <si>
    <t>Gerente De Matriculas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</si>
  <si>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</si>
  <si>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</si>
  <si>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</si>
  <si>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</si>
  <si>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Nivel de Satisfacción Servicios Prestados -Inscripción, admisión y matrícula de estudiantes nuevos</t>
  </si>
  <si>
    <t>Proyectos de investigación e innovación- Metrica</t>
  </si>
  <si>
    <t>Investigación, desarrollo tecnológico, innovación y creación</t>
  </si>
  <si>
    <t>Profesor Tiempo Completo Auxiliar - Coor. Fomento Investigaci</t>
  </si>
  <si>
    <t>Productos de investigación</t>
  </si>
  <si>
    <t>Docentes vinculados a investigación</t>
  </si>
  <si>
    <t>Grupos de investigación categorizados</t>
  </si>
  <si>
    <t>Nivel de Satisfacción Servicios Prestados- Investigación, desarrollo tecnológico, innovación y creación</t>
  </si>
  <si>
    <t>% de grupos de investigación clasificados en A1, A y B</t>
  </si>
  <si>
    <t>Director De Investigacion</t>
  </si>
  <si>
    <t>Producción de nuevos MI-Books</t>
  </si>
  <si>
    <t>LEI</t>
  </si>
  <si>
    <t>Coor. De Innovacion Y Desarrollo Virtual</t>
  </si>
  <si>
    <t>Informe anual de consulta de MI-Books</t>
  </si>
  <si>
    <t>Número de estudiantes que ha realizado la simulación (Metrica)</t>
  </si>
  <si>
    <t>Coordinador De Innovacion Y Soluciones</t>
  </si>
  <si>
    <t>Nivel de Satisfacción Servicios Prestados - LEI</t>
  </si>
  <si>
    <t>Director Crea</t>
  </si>
  <si>
    <t>Producción de ambientes inmersivos LEI</t>
  </si>
  <si>
    <t>Nivel de Satisfacción Servicios Prestados - Ludoteca</t>
  </si>
  <si>
    <t>Coordinador De Ludoteca</t>
  </si>
  <si>
    <t>Tasa de Conversión de Sesiones de Planeación de Juego con Docentes en Sesiones Ejecutadas con Estudiantes</t>
  </si>
  <si>
    <t>Consulta de Experiencias de Aprendizaje CREA</t>
  </si>
  <si>
    <t>Producción de nuevas Experiencias de Aprendizaje</t>
  </si>
  <si>
    <t>Total conversión</t>
  </si>
  <si>
    <t>Mercadeo de programas académicos</t>
  </si>
  <si>
    <t>Director De Marca Y Desarrollo De Canale</t>
  </si>
  <si>
    <t>Brand equity</t>
  </si>
  <si>
    <t>Gerente De Mercadeo</t>
  </si>
  <si>
    <t>Conocimiento espontáneo</t>
  </si>
  <si>
    <t>Nivel de Satisfacción Servicios Prestados - Mercadeo de programas académicos</t>
  </si>
  <si>
    <t>Total Leads por canales de captación</t>
  </si>
  <si>
    <t>Ingresos totales de educación para la vida</t>
  </si>
  <si>
    <t>Mercadeo y venta de educación para la vida</t>
  </si>
  <si>
    <t>Cumplimiento Ingresos Meta comercial Educación para toda la vida por linea</t>
  </si>
  <si>
    <t>Nivel de Satisfacción Servicios Prestados -Mercadeo y venta de educación para la vida</t>
  </si>
  <si>
    <t>Director B2B Y B2C</t>
  </si>
  <si>
    <t>CES Proceso de Matricula estudiantes B2C</t>
  </si>
  <si>
    <t>NPS Clientes Corporativos</t>
  </si>
  <si>
    <t>Aseguramiento de matricula académica presencial</t>
  </si>
  <si>
    <t>Operaciones Académicas</t>
  </si>
  <si>
    <t>Lider Programacion Academica</t>
  </si>
  <si>
    <t>Normalización de cobros pecuniarios</t>
  </si>
  <si>
    <t>Jefe Procesos Financieros S.I.S Y Ux</t>
  </si>
  <si>
    <t>Disponibilidad de catálogo de asignaturas pregrado y posgrado presencial</t>
  </si>
  <si>
    <t>Jefe Funcional Procesos Academicos S.I.S</t>
  </si>
  <si>
    <t>Disponibilidad de catálogo de asignaturas pregrado y posgrado virtual</t>
  </si>
  <si>
    <t>Aseguramiento de matricula académica virtual</t>
  </si>
  <si>
    <t>CES Inscripción de asignaturas</t>
  </si>
  <si>
    <t>Oportunidad en la parametrización de aulas master</t>
  </si>
  <si>
    <t>Lider Ambientes De Aprendizaje</t>
  </si>
  <si>
    <t>Indice de optimización de la programación académica</t>
  </si>
  <si>
    <t>Nivel de Cumplimiento en la actualización de información normativa de programas académicos</t>
  </si>
  <si>
    <t>Satisfacción de los estudiantes de Educación para toda la vida</t>
  </si>
  <si>
    <t>Operación de nuevos negocios y CI</t>
  </si>
  <si>
    <t>Director De Operac. Nuevos Negocios Y Ci</t>
  </si>
  <si>
    <t>Satisfacción de los clientes corporativos Educación para toda la vida</t>
  </si>
  <si>
    <t>Tasa de Ejecución Presupuestal del Proceso</t>
  </si>
  <si>
    <t>Índice de Conformidad Normativa Contractual - B2B</t>
  </si>
  <si>
    <t>Índice de Conformidad Normativa Contractual B2G</t>
  </si>
  <si>
    <t>Índice de Conformidad Normativa Contractual Convenios</t>
  </si>
  <si>
    <t>Tasa de Permanencia Intersemestral</t>
  </si>
  <si>
    <t>Permanencia</t>
  </si>
  <si>
    <t>Director De Permanencia</t>
  </si>
  <si>
    <t>Tasa de Permanencia Intersemestral de Estudiantes Ingresantes</t>
  </si>
  <si>
    <t>Nivel de Satisfacción Servicios Prestados -Permanencia</t>
  </si>
  <si>
    <t>Tasa de Permanencia por modalidad y nivel</t>
  </si>
  <si>
    <t>Tasa de deserción estudiantil</t>
  </si>
  <si>
    <t>Asociado al Plan (deserción SPADIES). Verificar que fuente y método coincidan con el Plan.</t>
  </si>
  <si>
    <t>Cumplimiento de planes anuales por líneas</t>
  </si>
  <si>
    <t>Planeación Estratégica</t>
  </si>
  <si>
    <t>Especialista De Planeacion Estrategica</t>
  </si>
  <si>
    <t>Cumplimiento Plan Anual por escuela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</si>
  <si>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</si>
  <si>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</si>
  <si>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</si>
  <si>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</si>
  <si>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</si>
  <si>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Gerencia de estrategia</t>
  </si>
  <si>
    <t>Cumplimiento Plan Anual Áreas sede Medellín</t>
  </si>
  <si>
    <t>Cumplimiento plan anual Secretaria académica y de extensión</t>
  </si>
  <si>
    <t>Cumplimiento plan anual Gerencia de Talento Humano</t>
  </si>
  <si>
    <t>Nivel de Satisfacción Servicios Prestados - Planeación Estratégica</t>
  </si>
  <si>
    <t>Participación de Grupos de Interés en la construcción del nuevo plan de desarrollo (PDI)</t>
  </si>
  <si>
    <t>Elevado al Obj. 1: Único indicador con relación sustentada a gobernanza participativa (meta 16.7); el ODS 16 no tiene indicadores directos.</t>
  </si>
  <si>
    <t>Participación de la comunidad en la jornada de Balance Institucional</t>
  </si>
  <si>
    <t>Número de Visitas al Informe de Sostenibilidad por Año</t>
  </si>
  <si>
    <t>Participación en el despliegue del PDI 2026-2030</t>
  </si>
  <si>
    <t>Tasa de cancelación de retos estratégicos</t>
  </si>
  <si>
    <t>Cumplimiento de Ingresos</t>
  </si>
  <si>
    <t>Planeación Financiera</t>
  </si>
  <si>
    <t>Director De Planeacion Financiera Y Teso</t>
  </si>
  <si>
    <t>Caja</t>
  </si>
  <si>
    <t>Utilidad Neta</t>
  </si>
  <si>
    <t>Inversión en CAPEX de la utilidad anterior</t>
  </si>
  <si>
    <t>Nivel de Cumplimiento Opex</t>
  </si>
  <si>
    <t>Cumplimiento EBITDA</t>
  </si>
  <si>
    <t>CAPEX</t>
  </si>
  <si>
    <t>Cumplimiento ingresos por matriculas</t>
  </si>
  <si>
    <t>Nivel de Satisfacción Servicios Prestados - Planeación Financiera</t>
  </si>
  <si>
    <t>Cierre eficaz de las oportunidades de mejora</t>
  </si>
  <si>
    <t>Planificación POLISIGS</t>
  </si>
  <si>
    <t>Mejoramiento continuo de procesos</t>
  </si>
  <si>
    <t>Cumplimiento Politica Polisigs</t>
  </si>
  <si>
    <t>Nivel de acompañamiento a estudiantes en práctica</t>
  </si>
  <si>
    <t>Prácticas</t>
  </si>
  <si>
    <t>Jefe De Practicas</t>
  </si>
  <si>
    <t>Nivel de Satisfacción Servicios Prestados - Prácticas</t>
  </si>
  <si>
    <t>Satisfacción del proceso de grados presencial</t>
  </si>
  <si>
    <t>Registro y Control</t>
  </si>
  <si>
    <t>Director Nac Admisiones, Registro Y Cont</t>
  </si>
  <si>
    <t>CES Proceso de grados</t>
  </si>
  <si>
    <t>Satisfacción del proceso de grados virtual</t>
  </si>
  <si>
    <t>CES emisión de certificados</t>
  </si>
  <si>
    <t>Número de dias promedio de homologaciones externa - Metrica</t>
  </si>
  <si>
    <t>CES- Costumer Effort Score del proceso de Rematrícula</t>
  </si>
  <si>
    <t>Rematrícula</t>
  </si>
  <si>
    <t>Director De Rematriculas</t>
  </si>
  <si>
    <t>Cumplimiento total estudiantes antiguos</t>
  </si>
  <si>
    <t>Cumplimiento Meta de estudiantes de Reintegros</t>
  </si>
  <si>
    <t>Porcentaje de Cumplimiento del Acuerdo de Nivel de Servicio (ANS)</t>
  </si>
  <si>
    <t>Servicio</t>
  </si>
  <si>
    <t>Director De Servicio</t>
  </si>
  <si>
    <t>CES- Costumer Effort Score del proceso de Saber Pro</t>
  </si>
  <si>
    <t>Gerente De Servicio Y Permanencia</t>
  </si>
  <si>
    <t>FCR- Resolución en primer contacto</t>
  </si>
  <si>
    <t>Nivel de satisfacción - Proceso de servicio</t>
  </si>
  <si>
    <t>Cumplimiento del cronograma de actividades de salud</t>
  </si>
  <si>
    <t>Servicio de Salud</t>
  </si>
  <si>
    <t>Medico</t>
  </si>
  <si>
    <t>Impacto de Campañas de promoción y prevención</t>
  </si>
  <si>
    <t>Nivel de Satisfacción Servicios Prestados -Servicio de Salud</t>
  </si>
  <si>
    <t>Nombre en el Plan ('satisfacción comunidad virtual con bienestar') difiere del de la lista (Servicio de Salud). Pendiente de verificar.</t>
  </si>
  <si>
    <t>Indice de liquidez</t>
  </si>
  <si>
    <t>Tesorería</t>
  </si>
  <si>
    <t>Indice de Endeudamiento</t>
  </si>
  <si>
    <t>Cartera - Metrica</t>
  </si>
  <si>
    <t>Convenios, alianzas activas con actividades en los últimos 5 años</t>
  </si>
  <si>
    <t>VISIBILIDAD NACIONAL E INTERNACIONAL</t>
  </si>
  <si>
    <t>Director Oficina Relaciones Intern E Int</t>
  </si>
  <si>
    <t>ODS 17 – Alianzas para lograr los objetivos; ODS 4 – Educación de calidad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</si>
  <si>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</si>
  <si>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</si>
  <si>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</si>
  <si>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ODS 4 – Educación de calidad; ODS 17 – Alianzas para lograr los objetivos</t>
  </si>
  <si>
    <t>Participación de profesores externos invitados a actividades de cooperación nacional e internacional</t>
  </si>
  <si>
    <t>ID corregido en el Plan (estaba intercambiado con 536).</t>
  </si>
  <si>
    <t>Participación de profesores POLI en actividades de cooperación nacional e internacional</t>
  </si>
  <si>
    <t>ID corregido en el Plan (estaba intercambiado con 535).</t>
  </si>
  <si>
    <t>Nivel de Satisfacción Servicios Prestados - ORII</t>
  </si>
  <si>
    <t>NPS ORII</t>
  </si>
  <si>
    <t>Indicadores de relevancia ODS media revisados para el Objetivo 1</t>
  </si>
  <si>
    <t>Se elevan las medias que son la única o principal medida de un ODS o meta sin indicadores directos, o que agregan varios ODS.</t>
  </si>
  <si>
    <t>ODS</t>
  </si>
  <si>
    <t>Decisión</t>
  </si>
  <si>
    <t>Justificación</t>
  </si>
  <si>
    <t>ODS 4</t>
  </si>
  <si>
    <t>Elevar al Obj. 1</t>
  </si>
  <si>
    <t>Única medida de cobertura de calidad reconocida de la oferta (meta 4.3); es el indicador de alta calidad de referencia en acreditación.</t>
  </si>
  <si>
    <t>ODS 3</t>
  </si>
  <si>
    <t>Único indicador que mide un resultado de bienestar (meta 3.4); el ODS 3 no tiene ningún indicador de relación directa.</t>
  </si>
  <si>
    <t>ODS 12, ODS 15</t>
  </si>
  <si>
    <t>Integra prevención, mitigación y compensación con preservación de biodiversidad y ecosistemas (ODS 12 y 15); es el indicador del objetivo ambiental de la política.</t>
  </si>
  <si>
    <t>ODS 13, ODS 12, ODS 7, ODS 6, ODS 11, ODS 4</t>
  </si>
  <si>
    <t>Referente externo de sostenibilidad del campus que agrega seis ODS (4, 6, 7, 11, 12, 13); comparable con otras IES.</t>
  </si>
  <si>
    <t>ODS 8</t>
  </si>
  <si>
    <t>Única medición integral de condiciones de trabajo decente (meta 8.5); los demás indicadores ODS 8 se concentran en accidentalidad.</t>
  </si>
  <si>
    <t>ODS 16</t>
  </si>
  <si>
    <t>Único indicador con relación sustentada a gobernanza participativa (meta 16.7); el ODS 16 no tiene indicadores directos.</t>
  </si>
  <si>
    <t>Mantener fuera</t>
  </si>
  <si>
    <t>Avance parcial del proceso de acreditación; el 339 (elevado) representa la calidad reconocida.</t>
  </si>
  <si>
    <t>Paso del proceso de oferta académica; no mide calidad ni acceso efectivo.</t>
  </si>
  <si>
    <t>ODS 9</t>
  </si>
  <si>
    <t>ODS 9 ya cubierto por indicadores directos (143, 144, 146); mide impacto bibliométrico.</t>
  </si>
  <si>
    <t>Meta 8.3 cubierta por 586 (directo); mide sesiones, no empresas creadas.</t>
  </si>
  <si>
    <t>ODS 4, ODS 9</t>
  </si>
  <si>
    <t>Formación en investigación: aporte indirecto; ODS 4 y 9 cubiertos por directas.</t>
  </si>
  <si>
    <t>ODS 12</t>
  </si>
  <si>
    <t>Mide cumplimiento del plan sin detallar contenido; el desempeño ambiental agregado queda cubierto por 238 y 244.</t>
  </si>
  <si>
    <t>ODS 12, ODS 13</t>
  </si>
  <si>
    <t>Mide ejecución de comunicaciones, no sensibilización lograda.</t>
  </si>
  <si>
    <t>Cumplimiento legal es condición mínima, no contribución adicional; asociado al Objetivo 6.</t>
  </si>
  <si>
    <t>ODS 8, ODS 4</t>
  </si>
  <si>
    <t>Meta 8.6 cubierta por 542 (directo); mide participación.</t>
  </si>
  <si>
    <t>Meta 8.8 ya cubierta por indicadores directos de accidentalidad y enfermedad laboral; mide actividades del SG-SST.</t>
  </si>
  <si>
    <t>ODS 8, ODS 11</t>
  </si>
  <si>
    <t>ODS 8, ODS 3</t>
  </si>
  <si>
    <t>Meta 8.8 ya cubierta por indicadores directos de accidentalidad y enfermedad laboral; mide actividades del SG-SST. Asociado al Objetivo 6.</t>
  </si>
  <si>
    <t>Calidad docente percibida; meta 4.c cubierta por indicadores directos.</t>
  </si>
  <si>
    <t>Gestión del talento; meta 4.c cubierta por 460, 286 y 276.</t>
  </si>
  <si>
    <t>Condición previa para medir aprendizaje; no mide logro.</t>
  </si>
  <si>
    <t>ODS 9 ya cubierto por indicadores directos; mide reconocimiento de grupos.</t>
  </si>
  <si>
    <t>ODS 9 ya cubierto por indicadores directos; mide categoría de grupos.</t>
  </si>
  <si>
    <t>Métrica de visitas (definida como métrica por la Gerencia).</t>
  </si>
  <si>
    <t>ODS 4, ODS 8</t>
  </si>
  <si>
    <t>Meta 8.6 cubierta por 542 (directo); mide acompañamiento.</t>
  </si>
  <si>
    <t>Aporte parcial a 4.3; permanencia cubierta por 245, 252 y 585.</t>
  </si>
  <si>
    <t>Mide cumplimiento de cronograma (actividad).</t>
  </si>
  <si>
    <t>Candidato a revisar: es el único de promoción de la salud, pero la ficha no describe cómo se mide el 'impacto'.</t>
  </si>
  <si>
    <t>ODS 17</t>
  </si>
  <si>
    <t>ODS 17 cubierto por 318 y 532 (directos); mide participación.</t>
  </si>
  <si>
    <t>ODS 4, ODS 17</t>
  </si>
  <si>
    <t>Fila plan</t>
  </si>
  <si>
    <t>Factor</t>
  </si>
  <si>
    <t>Característica</t>
  </si>
  <si>
    <t>ID Kawak (plan)</t>
  </si>
  <si>
    <t>ID Kawak corregido</t>
  </si>
  <si>
    <t>Indicador en el Plan de mejoramiento</t>
  </si>
  <si>
    <t>Estado (plan)</t>
  </si>
  <si>
    <t>Nombre en la lista (ID corregido)</t>
  </si>
  <si>
    <t>Resultado de la validación</t>
  </si>
  <si>
    <t>ID(s) candidato(s) en la lista</t>
  </si>
  <si>
    <t>Decisión de asociación</t>
  </si>
  <si>
    <t>Nota</t>
  </si>
  <si>
    <t>Factor 1. Identidad institucional</t>
  </si>
  <si>
    <t>Característica 1. Coherencia y pertinencia de la misión</t>
  </si>
  <si>
    <t>Índice de Favorabilidad sobre la Misión Institucional.</t>
  </si>
  <si>
    <t>Sin indicador en la lista</t>
  </si>
  <si>
    <t>Omitido de la asociación (por crear)</t>
  </si>
  <si>
    <t>Característica 2. Orientaciones y estrategias del proyecto educativo institucional o lo que haga sus veces</t>
  </si>
  <si>
    <t>Índice de Favorabilidad sobre el PEI  Institucional</t>
  </si>
  <si>
    <t>Característica 3. Formación integral y construcción de identidad</t>
  </si>
  <si>
    <t>Participación de estudiantes en Actividades de Formación Integral curricular</t>
  </si>
  <si>
    <t>Pendiente</t>
  </si>
  <si>
    <t>Participación de estudiantes en Actividades de Formación Integral  extracurricular</t>
  </si>
  <si>
    <t>Factor 2. Gobierno institucional y transparencia</t>
  </si>
  <si>
    <t>Característica 4. Buen gobierno y máximo órgano de gobierno</t>
  </si>
  <si>
    <t>Nùmero de visibilizaciones del Informe de Sostenibilidad</t>
  </si>
  <si>
    <t>Candidato en la lista</t>
  </si>
  <si>
    <t>557</t>
  </si>
  <si>
    <t>Omitido – es métrica</t>
  </si>
  <si>
    <t>Característica 5. Relación con grupos de interés</t>
  </si>
  <si>
    <t>Creado</t>
  </si>
  <si>
    <t>Coincide</t>
  </si>
  <si>
    <t>Asociado (ID Kawak)</t>
  </si>
  <si>
    <t>Número de estrategias o espacios de relacionamiento con el sector externo
Alianzas
Convenios</t>
  </si>
  <si>
    <t>318</t>
  </si>
  <si>
    <t>No asociado – no confirmado</t>
  </si>
  <si>
    <t>Característica 6. Rendición de cuentas</t>
  </si>
  <si>
    <t>Participación de la comunidad en la Rendición de Cuentas</t>
  </si>
  <si>
    <t>Nivel de Satisfacción de la Comunidad con la Rendición de Cuentas</t>
  </si>
  <si>
    <t>Conocimiento de la comunidad del informe de sostenibilidad</t>
  </si>
  <si>
    <t>Factor 3. Desarrollo, gestión y sostenibilidad institucional</t>
  </si>
  <si>
    <t>Característica 8. Procesos de comunicación</t>
  </si>
  <si>
    <t>Impacto de campañas de Mailing
(Colaboradores, Graduados, Estudiantes)</t>
  </si>
  <si>
    <t>Apertura de enlaces en mensajes de texto
(Colaboradores, Graduados, Estudiantes)</t>
  </si>
  <si>
    <t>Característica 10. Recursos de apoyo académico</t>
  </si>
  <si>
    <t>Número de estudiantes que hacen uso de los recursos del CREA</t>
  </si>
  <si>
    <t>Número de nuevas experiencias de aprendizaje producidas por el CREA
(Editorial-LEI- CMA- Biblioteca)</t>
  </si>
  <si>
    <t>627</t>
  </si>
  <si>
    <t>Omitido por decisión de la Gerencia</t>
  </si>
  <si>
    <t>Satisfacción del proceso de comunicaciones</t>
  </si>
  <si>
    <t>ID corregido</t>
  </si>
  <si>
    <t>ID 109 no existe en la lista; se reemplaza por 632.</t>
  </si>
  <si>
    <t>Característica 12. Recursos y gestión financiera</t>
  </si>
  <si>
    <t>% de inversiones misionales de la institucion</t>
  </si>
  <si>
    <t>377, 206</t>
  </si>
  <si>
    <t>Inversion al plan de mejoramiento</t>
  </si>
  <si>
    <t>Factor 4. Mejoramiento continuo y autorregulación</t>
  </si>
  <si>
    <t>Característica 13. Cultura de la autoevaluación</t>
  </si>
  <si>
    <t>Cumplimiento plan de mejoramiento institucional</t>
  </si>
  <si>
    <t>290, 488</t>
  </si>
  <si>
    <t>No asociado (290 quedó asociado a la fila 21)</t>
  </si>
  <si>
    <t>Característica 14. Procesos de autorregulación</t>
  </si>
  <si>
    <t>Efectividad de las acciones derivadas de las oportunidades de mejora</t>
  </si>
  <si>
    <t>crear</t>
  </si>
  <si>
    <t>290</t>
  </si>
  <si>
    <t>Asociado: 290</t>
  </si>
  <si>
    <t>Característica 15. Sistema interno de aseguramiento de la calidad</t>
  </si>
  <si>
    <t>636</t>
  </si>
  <si>
    <t>Asociado: 636</t>
  </si>
  <si>
    <t>Porcentaje de Programas Acreditables Acreditados</t>
  </si>
  <si>
    <t>Característica 16. Evaluación de directivas, profesores y personal administrativo</t>
  </si>
  <si>
    <t>Resultado global administrativos en evaluación 360°</t>
  </si>
  <si>
    <t>Crear</t>
  </si>
  <si>
    <t>Factor 5. Estructura y procesos académicos</t>
  </si>
  <si>
    <t>Característica 17. Componentes formativos</t>
  </si>
  <si>
    <t>Por definir- Pendiente Implementación de instrumentos
Modelo de gestión, evaluación e innovación curricular</t>
  </si>
  <si>
    <t>476, 522</t>
  </si>
  <si>
    <t>Número de programas con reforma curricular</t>
  </si>
  <si>
    <t>473</t>
  </si>
  <si>
    <t>Resultado de Saber Pro</t>
  </si>
  <si>
    <t>Característica 19. Componente de interacción y relevancia social</t>
  </si>
  <si>
    <t>Número de programas con estudio de factibilidad y pertinencia</t>
  </si>
  <si>
    <t>273</t>
  </si>
  <si>
    <t>Característica 20. Procesos de creación, modificación y ampliación de programas académicos</t>
  </si>
  <si>
    <t>Número de programas nuevos con registro calificado aprobado</t>
  </si>
  <si>
    <t>N" programas con renovación de registro calificado</t>
  </si>
  <si>
    <t>Factor 6. Aportes de la investigación, la innovación, el desarrollo tecnológico y la creación</t>
  </si>
  <si>
    <t>Característica 21. Formación para la investigación, creación e innovación</t>
  </si>
  <si>
    <t>Estudiantes vinculados en actividades de investigación</t>
  </si>
  <si>
    <t>Característica 22. Investigación, desarrollo tecnológico, innovación y creación</t>
  </si>
  <si>
    <t>% de grupos de investigación  clasificados en A1, A y B</t>
  </si>
  <si>
    <t>Número de proyectos de investigación de Innovación y Creación con impacto social</t>
  </si>
  <si>
    <t>143</t>
  </si>
  <si>
    <t>Número de productos de investigación, Innovación y Creación con impacto
Número de productos de nuevo conocimiento por grupo de investigación</t>
  </si>
  <si>
    <t>144</t>
  </si>
  <si>
    <t>% de profesores TC clasificados como investigadores en Minciencias</t>
  </si>
  <si>
    <t>146</t>
  </si>
  <si>
    <t>Factor 7. Impacto social</t>
  </si>
  <si>
    <t>Característica 24. Impacto cultural y artístico</t>
  </si>
  <si>
    <t>Tasa de Participación en actividades de Extensión</t>
  </si>
  <si>
    <t>Participación de otros ingresos por extensión (Consultorias, alquiler de espacios, prestación de servicios, centros de investigación entre otros) / total ingresos</t>
  </si>
  <si>
    <t>385, 523</t>
  </si>
  <si>
    <t>Factor 8. Visibilidad nacional e internacional</t>
  </si>
  <si>
    <t>Característica 25. Inserción de la institución en contextos académicos nacionales e internacionales</t>
  </si>
  <si>
    <t>Característica 26. Relaciones externas de profesores y estudiantes</t>
  </si>
  <si>
    <t>Participación de estudiantes externos invitados a actividades de cooperación nacional  e internacional</t>
  </si>
  <si>
    <t>Participación de estudiantes POLI en actividades de cooperación e internacionalización</t>
  </si>
  <si>
    <t>Participación de profesores POLI en actividades de cooperación e internacionalización</t>
  </si>
  <si>
    <t>ID corregido: profesores POLI = 536.</t>
  </si>
  <si>
    <t>Participación de profesores externos invitados a actividades de cooperación e internacionalización</t>
  </si>
  <si>
    <t>ID corregido: profesores externos = 535.</t>
  </si>
  <si>
    <t>Factor 9. Bienestar institucional</t>
  </si>
  <si>
    <t>Característica 27. Estructura y funcionamiento del bienestar institucional</t>
  </si>
  <si>
    <t>Tasa de participación en actividades de bienestar institucional (Cultura, Deporte y Salud, TH) Separado/ Consolidado
Estudiantes,  colaboradores y profesores</t>
  </si>
  <si>
    <t>292, 294</t>
  </si>
  <si>
    <t>Satisfacción de la comunidad virtual con las actividades de bienestar realizadas (Instrumento de experiencia)
Nivel de Satisfacción Servicios Prestados -Servicio de Salud</t>
  </si>
  <si>
    <t>Nombre difiere – verificar</t>
  </si>
  <si>
    <t>En la lista 500 = satisfacción del Servicio de Salud. Verificar con el proceso.</t>
  </si>
  <si>
    <t>Satisfacción de la comunidad virtual con las actividades de bienestar realizadas (Instrumento de experiencia)
Nivel de Satisfacción Servicios Prestados -Cultura y deportes</t>
  </si>
  <si>
    <t>En la lista 507 = satisfacción de Cultura y Deporte. Verificar con el proceso.</t>
  </si>
  <si>
    <t>Cobertura de actividades de bienestar estudiantil por modalidad virtual y regiones</t>
  </si>
  <si>
    <t>Factor 10. Comunidad de profesores</t>
  </si>
  <si>
    <t>Característica 28. Derechos y deberes de los profesores</t>
  </si>
  <si>
    <t>Característica 29. Planta profesoral</t>
  </si>
  <si>
    <t>Relación docente/estudiante
(Bogotá- Virtual) - Contrato indefinido y fijo anualizado</t>
  </si>
  <si>
    <t>Participación de profesores TC y MT/ Total de profesores (Personas)</t>
  </si>
  <si>
    <t>Gestión docente informa que son metricas no indicadores</t>
  </si>
  <si>
    <t>278</t>
  </si>
  <si>
    <t>Proporción de profesores con nivel de formación (Maestria y Doctorado)</t>
  </si>
  <si>
    <t>286, 574</t>
  </si>
  <si>
    <t>Asociado: 574</t>
  </si>
  <si>
    <t>Característica 30. Trayectoria profesoral</t>
  </si>
  <si>
    <t>N° de cupos aprobados para el escalafon docente</t>
  </si>
  <si>
    <t>288</t>
  </si>
  <si>
    <t>Característica 31. Desarrollo profesoral</t>
  </si>
  <si>
    <t>% Profesores que participan en programas de formación</t>
  </si>
  <si>
    <t>Característica 32. Interacción académica de los profesores</t>
  </si>
  <si>
    <t>Porcentaje de Docentes con clasificación de ingles en C1, C2, B1 o B2</t>
  </si>
  <si>
    <t>556</t>
  </si>
  <si>
    <t>Factor 11. Comunidad de estudiantes</t>
  </si>
  <si>
    <t>Característica 33. Derechos y deberes de los estudiantes</t>
  </si>
  <si>
    <t>N° de estudiantes impactados por las campañas de comunicación de reglamento estudiantil</t>
  </si>
  <si>
    <t>Característica 34. Admisión y permanencia de estudiantes</t>
  </si>
  <si>
    <t>Medición de la experiencia del proceso de inscripción, admisión y matriculas</t>
  </si>
  <si>
    <t>CSAT Estudiantes</t>
  </si>
  <si>
    <t>468 es CES General; se corrige a 359 Satisfacción Institucional CSAT.</t>
  </si>
  <si>
    <t>% Permanencia intersemestral</t>
  </si>
  <si>
    <t>Tasa de deserción anual en SPADIES - acumulada cohorte</t>
  </si>
  <si>
    <t>585</t>
  </si>
  <si>
    <t>Asociado: 585</t>
  </si>
  <si>
    <t>Tasa de graduación  - Interno
Modalidad y nivel</t>
  </si>
  <si>
    <t>% Permanencia intersemestral Ingresantes</t>
  </si>
  <si>
    <t>Característica 35. Estímulos y apoyos para estudiantes</t>
  </si>
  <si>
    <t>Porcentaje de Estudiantes beneficiados por Becas y apoyos financieros</t>
  </si>
  <si>
    <t>568</t>
  </si>
  <si>
    <t>Asociado: 568</t>
  </si>
  <si>
    <t>Factor 12. Comunidad de egresados</t>
  </si>
  <si>
    <t>Característica 36. Seguimiento a egresados</t>
  </si>
  <si>
    <t>Tasa de Participación de graduados en instrumentos de Seguimiento
M0-M1-M5</t>
  </si>
  <si>
    <t>Característica 37. Egresados y programas académicos</t>
  </si>
  <si>
    <t>Tasa de empleabilidad de recièn graduados de pregrado</t>
  </si>
  <si>
    <t>% de Participación de graduados en actividades de empleabilidad y relacionamiento de los ultimos 5 años
Eje (Empleabilidad, relacionamiento, seguimiento al graduado.)
Actividad (Emprendimiento, formación etc.</t>
  </si>
  <si>
    <t>Característica 38. Relación de los egresados con la institución</t>
  </si>
  <si>
    <t>Nivel de Satisfacción del graduado con la institución (Experiencia)</t>
  </si>
  <si>
    <t>Número de Proyectos de investigación con impacto en las regiones</t>
  </si>
  <si>
    <t>Numero de profesores certificados en English at work</t>
  </si>
  <si>
    <t>Nivel de Satisfacción del graduado con el portafolio institucional de la dirección de graduados</t>
  </si>
  <si>
    <t>547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</si>
</sst>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charset val="1"/>
    </font>
    <font>
      <b/>
      <sz val="14"/>
      <color rgb="FF263A58"/>
      <name val="Arial"/>
      <family val="2"/>
    </font>
    <font>
      <i/>
      <sz val="10"/>
      <color rgb="FF595959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263A5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FFF2CC"/>
        <bgColor rgb="FFEDEDED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4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ill>
        <patternFill>
          <bgColor rgb="FFEDEDE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name val="Arial"/>
        <charset val="1"/>
      </font>
      <fill>
        <patternFill>
          <bgColor rgb="FFFFF2CC"/>
        </patternFill>
      </fill>
    </dxf>
  </dxfs>
  <tableStyles count="1" defaultTableStyle="TableStyleMedium2" defaultPivotStyle="PivotStyleLight16">
    <tableStyle name="Invisible" pivot="0" table="0" count="0" xr9:uid="{CD813FF0-3963-4FF0-BC6B-9F12BAC71981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63A5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51"/>
  <sheetViews>
    <sheetView showGridLines="0" tabSelected="1" zoomScaleNormal="100" workbookViewId="0">
      <pane xSplit="2" ySplit="1" topLeftCell="C185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ColWidth="8.6640625" defaultRowHeight="14.4" x14ac:dyDescent="0.3"/>
  <cols>
    <col min="1" max="1" width="7" customWidth="1"/>
    <col min="2" max="2" width="40" customWidth="1"/>
    <col min="3" max="3" width="26" customWidth="1"/>
    <col min="4" max="4" width="24" customWidth="1"/>
    <col min="5" max="6" width="11" customWidth="1"/>
    <col min="7" max="7" width="34" customWidth="1"/>
    <col min="8" max="9" width="12" customWidth="1"/>
    <col min="10" max="10" width="11" customWidth="1"/>
    <col min="11" max="11" width="17" customWidth="1"/>
    <col min="12" max="12" width="13" customWidth="1"/>
    <col min="13" max="13" width="10" customWidth="1"/>
    <col min="14" max="15" width="12" customWidth="1"/>
    <col min="16" max="16" width="11" customWidth="1"/>
    <col min="17" max="17" width="20" customWidth="1"/>
    <col min="18" max="18" width="26" customWidth="1"/>
    <col min="19" max="19" width="28" customWidth="1"/>
    <col min="20" max="20" width="45" customWidth="1"/>
  </cols>
  <sheetData>
    <row r="1" spans="1:20" ht="39.75" customHeight="1" x14ac:dyDescent="0.3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46</v>
      </c>
      <c r="J1" s="2" t="s">
        <v>7</v>
      </c>
      <c r="K1" s="2" t="s">
        <v>10</v>
      </c>
      <c r="L1" s="2" t="s">
        <v>13</v>
      </c>
      <c r="M1" s="2" t="s">
        <v>16</v>
      </c>
      <c r="N1" s="2" t="s">
        <v>19</v>
      </c>
      <c r="O1" s="2" t="s">
        <v>22</v>
      </c>
      <c r="P1" s="2" t="s">
        <v>47</v>
      </c>
      <c r="Q1" s="2" t="s">
        <v>48</v>
      </c>
      <c r="R1" s="2" t="s">
        <v>49</v>
      </c>
      <c r="S1" s="2" t="s">
        <v>50</v>
      </c>
      <c r="T1" s="2" t="s">
        <v>51</v>
      </c>
    </row>
    <row r="2" spans="1:20" ht="26.4" x14ac:dyDescent="0.3">
      <c r="A2" s="6">
        <v>116</v>
      </c>
      <c r="B2" s="1" t="s">
        <v>52</v>
      </c>
      <c r="C2" s="5" t="s">
        <v>53</v>
      </c>
      <c r="D2" s="5" t="s">
        <v>54</v>
      </c>
      <c r="E2" s="6" t="s">
        <v>55</v>
      </c>
      <c r="F2" s="6" t="s">
        <v>56</v>
      </c>
      <c r="G2" s="5"/>
      <c r="H2" s="6" t="s">
        <v>57</v>
      </c>
      <c r="I2" s="6"/>
      <c r="J2" s="6" t="str">
        <f>IF(OR(I2="Sí",H2="Alta",AND(Parámetros!$B$4&lt;&gt;"Alta",H2="Media"),AND(Parámetros!$B$4="Baja",H2="Baja")),"Sí","")</f>
        <v/>
      </c>
      <c r="K2" s="6"/>
      <c r="L2" s="6"/>
      <c r="M2" s="6"/>
      <c r="N2" s="6"/>
      <c r="O2" s="6"/>
      <c r="P2" s="6">
        <f t="shared" ref="P2:P65" si="0">COUNTIF(J2:O2,"Sí*")</f>
        <v>0</v>
      </c>
      <c r="Q2" s="5" t="str">
        <f t="shared" ref="Q2:Q65" si="1">MID(IF(J2="Sí",", 1","")&amp;IF(LEFT(K2,2)="Sí",", 2","")&amp;IF(LEFT(L2,2)="Sí",", 3","")&amp;IF(M2="Sí",", 4","")&amp;IF(N2="Sí",", 5","")&amp;IF(O2="Sí",", 6",""),3,40)</f>
        <v/>
      </c>
      <c r="R2" s="5" t="s">
        <v>58</v>
      </c>
      <c r="S2" s="5"/>
      <c r="T2" s="5"/>
    </row>
    <row r="3" spans="1:20" x14ac:dyDescent="0.3">
      <c r="A3" s="6">
        <v>518</v>
      </c>
      <c r="B3" s="1" t="s">
        <v>59</v>
      </c>
      <c r="C3" s="5" t="s">
        <v>53</v>
      </c>
      <c r="D3" s="5" t="s">
        <v>54</v>
      </c>
      <c r="E3" s="6" t="s">
        <v>60</v>
      </c>
      <c r="F3" s="6" t="s">
        <v>61</v>
      </c>
      <c r="G3" s="5"/>
      <c r="H3" s="6" t="s">
        <v>57</v>
      </c>
      <c r="I3" s="6"/>
      <c r="J3" s="6" t="str">
        <f>IF(OR(I3="Sí",H3="Alta",AND(Parámetros!$B$4&lt;&gt;"Alta",H3="Media"),AND(Parámetros!$B$4="Baja",H3="Baja")),"Sí","")</f>
        <v/>
      </c>
      <c r="K3" s="6"/>
      <c r="L3" s="6"/>
      <c r="M3" s="6"/>
      <c r="N3" s="6"/>
      <c r="O3" s="6"/>
      <c r="P3" s="6">
        <f t="shared" si="0"/>
        <v>0</v>
      </c>
      <c r="Q3" s="5" t="str">
        <f t="shared" si="1"/>
        <v/>
      </c>
      <c r="R3" s="5"/>
      <c r="S3" s="5"/>
      <c r="T3" s="5"/>
    </row>
    <row r="4" spans="1:20" ht="26.4" x14ac:dyDescent="0.3">
      <c r="A4" s="6">
        <v>300</v>
      </c>
      <c r="B4" s="1" t="s">
        <v>62</v>
      </c>
      <c r="C4" s="5" t="s">
        <v>63</v>
      </c>
      <c r="D4" s="5" t="s">
        <v>64</v>
      </c>
      <c r="E4" s="6" t="s">
        <v>60</v>
      </c>
      <c r="F4" s="6" t="s">
        <v>61</v>
      </c>
      <c r="G4" s="5"/>
      <c r="H4" s="6" t="s">
        <v>65</v>
      </c>
      <c r="I4" s="6"/>
      <c r="J4" s="6" t="str">
        <f>IF(OR(I4="Sí",H4="Alta",AND(Parámetros!$B$4&lt;&gt;"Alta",H4="Media"),AND(Parámetros!$B$4="Baja",H4="Baja")),"Sí","")</f>
        <v/>
      </c>
      <c r="K4" s="6"/>
      <c r="L4" s="6"/>
      <c r="M4" s="6"/>
      <c r="N4" s="6"/>
      <c r="O4" s="6"/>
      <c r="P4" s="6">
        <f t="shared" si="0"/>
        <v>0</v>
      </c>
      <c r="Q4" s="5" t="str">
        <f t="shared" si="1"/>
        <v/>
      </c>
      <c r="R4" s="5"/>
      <c r="S4" s="5"/>
      <c r="T4" s="5"/>
    </row>
    <row r="5" spans="1:20" ht="26.4" x14ac:dyDescent="0.3">
      <c r="A5" s="6">
        <v>301</v>
      </c>
      <c r="B5" s="1" t="s">
        <v>66</v>
      </c>
      <c r="C5" s="5" t="s">
        <v>63</v>
      </c>
      <c r="D5" s="5" t="s">
        <v>64</v>
      </c>
      <c r="E5" s="6" t="s">
        <v>60</v>
      </c>
      <c r="F5" s="6" t="s">
        <v>61</v>
      </c>
      <c r="G5" s="5"/>
      <c r="H5" s="6" t="s">
        <v>57</v>
      </c>
      <c r="I5" s="6"/>
      <c r="J5" s="6" t="str">
        <f>IF(OR(I5="Sí",H5="Alta",AND(Parámetros!$B$4&lt;&gt;"Alta",H5="Media"),AND(Parámetros!$B$4="Baja",H5="Baja")),"Sí","")</f>
        <v/>
      </c>
      <c r="K5" s="6"/>
      <c r="L5" s="6"/>
      <c r="M5" s="6"/>
      <c r="N5" s="6"/>
      <c r="O5" s="6"/>
      <c r="P5" s="6">
        <f t="shared" si="0"/>
        <v>0</v>
      </c>
      <c r="Q5" s="5" t="str">
        <f t="shared" si="1"/>
        <v/>
      </c>
      <c r="R5" s="5"/>
      <c r="S5" s="5"/>
      <c r="T5" s="5"/>
    </row>
    <row r="6" spans="1:20" ht="26.4" x14ac:dyDescent="0.3">
      <c r="A6" s="6">
        <v>494</v>
      </c>
      <c r="B6" s="1" t="s">
        <v>67</v>
      </c>
      <c r="C6" s="5" t="s">
        <v>63</v>
      </c>
      <c r="D6" s="5" t="s">
        <v>64</v>
      </c>
      <c r="E6" s="6" t="s">
        <v>55</v>
      </c>
      <c r="F6" s="6" t="s">
        <v>56</v>
      </c>
      <c r="G6" s="5"/>
      <c r="H6" s="6" t="s">
        <v>57</v>
      </c>
      <c r="I6" s="6"/>
      <c r="J6" s="6" t="str">
        <f>IF(OR(I6="Sí",H6="Alta",AND(Parámetros!$B$4&lt;&gt;"Alta",H6="Media"),AND(Parámetros!$B$4="Baja",H6="Baja")),"Sí","")</f>
        <v/>
      </c>
      <c r="K6" s="6"/>
      <c r="L6" s="6"/>
      <c r="M6" s="6"/>
      <c r="N6" s="6"/>
      <c r="O6" s="6"/>
      <c r="P6" s="6">
        <f t="shared" si="0"/>
        <v>0</v>
      </c>
      <c r="Q6" s="5" t="str">
        <f t="shared" si="1"/>
        <v/>
      </c>
      <c r="R6" s="5" t="s">
        <v>58</v>
      </c>
      <c r="S6" s="5"/>
      <c r="T6" s="5"/>
    </row>
    <row r="7" spans="1:20" ht="39.6" x14ac:dyDescent="0.3">
      <c r="A7" s="6">
        <v>273</v>
      </c>
      <c r="B7" s="1" t="s">
        <v>68</v>
      </c>
      <c r="C7" s="5" t="s">
        <v>69</v>
      </c>
      <c r="D7" s="5" t="s">
        <v>70</v>
      </c>
      <c r="E7" s="6" t="s">
        <v>71</v>
      </c>
      <c r="F7" s="6" t="s">
        <v>56</v>
      </c>
      <c r="G7" s="5" t="s">
        <v>72</v>
      </c>
      <c r="H7" s="6" t="s">
        <v>73</v>
      </c>
      <c r="I7" s="6"/>
      <c r="J7" s="6" t="str">
        <f>IF(OR(I7="Sí",H7="Alta",AND(Parámetros!$B$4&lt;&gt;"Alta",H7="Media"),AND(Parámetros!$B$4="Baja",H7="Baja")),"Sí","")</f>
        <v/>
      </c>
      <c r="K7" s="6"/>
      <c r="L7" s="6"/>
      <c r="M7" s="6"/>
      <c r="N7" s="6"/>
      <c r="O7" s="6"/>
      <c r="P7" s="6">
        <f t="shared" si="0"/>
        <v>0</v>
      </c>
      <c r="Q7" s="5" t="str">
        <f t="shared" si="1"/>
        <v/>
      </c>
      <c r="R7" s="5"/>
      <c r="S7" s="5"/>
      <c r="T7" s="5"/>
    </row>
    <row r="8" spans="1:20" ht="39.6" x14ac:dyDescent="0.3">
      <c r="A8" s="6">
        <v>326</v>
      </c>
      <c r="B8" s="1" t="s">
        <v>74</v>
      </c>
      <c r="C8" s="5" t="s">
        <v>69</v>
      </c>
      <c r="D8" s="5" t="s">
        <v>70</v>
      </c>
      <c r="E8" s="6" t="s">
        <v>75</v>
      </c>
      <c r="F8" s="6" t="s">
        <v>76</v>
      </c>
      <c r="G8" s="5" t="s">
        <v>72</v>
      </c>
      <c r="H8" s="6" t="s">
        <v>73</v>
      </c>
      <c r="I8" s="6"/>
      <c r="J8" s="6" t="str">
        <f>IF(OR(I8="Sí",H8="Alta",AND(Parámetros!$B$4&lt;&gt;"Alta",H8="Media"),AND(Parámetros!$B$4="Baja",H8="Baja")),"Sí","")</f>
        <v/>
      </c>
      <c r="K8" s="6"/>
      <c r="L8" s="6"/>
      <c r="M8" s="6"/>
      <c r="N8" s="6"/>
      <c r="O8" s="6"/>
      <c r="P8" s="6">
        <f t="shared" si="0"/>
        <v>0</v>
      </c>
      <c r="Q8" s="5" t="str">
        <f t="shared" si="1"/>
        <v/>
      </c>
      <c r="R8" s="5"/>
      <c r="S8" s="5"/>
      <c r="T8" s="5"/>
    </row>
    <row r="9" spans="1:20" ht="26.4" x14ac:dyDescent="0.3">
      <c r="A9" s="6">
        <v>327</v>
      </c>
      <c r="B9" s="1" t="s">
        <v>77</v>
      </c>
      <c r="C9" s="5" t="s">
        <v>69</v>
      </c>
      <c r="D9" s="5" t="s">
        <v>70</v>
      </c>
      <c r="E9" s="6" t="s">
        <v>75</v>
      </c>
      <c r="F9" s="6" t="s">
        <v>56</v>
      </c>
      <c r="G9" s="5" t="s">
        <v>72</v>
      </c>
      <c r="H9" s="6" t="s">
        <v>78</v>
      </c>
      <c r="I9" s="6"/>
      <c r="J9" s="6" t="str">
        <f>IF(OR(I9="Sí",H9="Alta",AND(Parámetros!$B$4&lt;&gt;"Alta",H9="Media"),AND(Parámetros!$B$4="Baja",H9="Baja")),"Sí","")</f>
        <v/>
      </c>
      <c r="K9" s="6"/>
      <c r="L9" s="6"/>
      <c r="M9" s="6"/>
      <c r="N9" s="6"/>
      <c r="O9" s="6"/>
      <c r="P9" s="6">
        <f t="shared" si="0"/>
        <v>0</v>
      </c>
      <c r="Q9" s="5" t="str">
        <f t="shared" si="1"/>
        <v/>
      </c>
      <c r="R9" s="5"/>
      <c r="S9" s="5"/>
      <c r="T9" s="5"/>
    </row>
    <row r="10" spans="1:20" ht="26.4" x14ac:dyDescent="0.3">
      <c r="A10" s="6">
        <v>337</v>
      </c>
      <c r="B10" s="1" t="s">
        <v>79</v>
      </c>
      <c r="C10" s="5" t="s">
        <v>69</v>
      </c>
      <c r="D10" s="5" t="s">
        <v>70</v>
      </c>
      <c r="E10" s="6" t="s">
        <v>75</v>
      </c>
      <c r="F10" s="6" t="s">
        <v>56</v>
      </c>
      <c r="G10" s="5" t="s">
        <v>72</v>
      </c>
      <c r="H10" s="6" t="s">
        <v>78</v>
      </c>
      <c r="I10" s="6"/>
      <c r="J10" s="6" t="str">
        <f>IF(OR(I10="Sí",H10="Alta",AND(Parámetros!$B$4&lt;&gt;"Alta",H10="Media"),AND(Parámetros!$B$4="Baja",H10="Baja")),"Sí","")</f>
        <v/>
      </c>
      <c r="K10" s="6"/>
      <c r="L10" s="6"/>
      <c r="M10" s="6"/>
      <c r="N10" s="6"/>
      <c r="O10" s="6"/>
      <c r="P10" s="6">
        <f t="shared" si="0"/>
        <v>0</v>
      </c>
      <c r="Q10" s="5" t="str">
        <f t="shared" si="1"/>
        <v/>
      </c>
      <c r="R10" s="5"/>
      <c r="S10" s="5"/>
      <c r="T10" s="5"/>
    </row>
    <row r="11" spans="1:20" ht="39.6" x14ac:dyDescent="0.3">
      <c r="A11" s="6">
        <v>338</v>
      </c>
      <c r="B11" s="1" t="s">
        <v>80</v>
      </c>
      <c r="C11" s="5" t="s">
        <v>69</v>
      </c>
      <c r="D11" s="5" t="s">
        <v>70</v>
      </c>
      <c r="E11" s="6" t="s">
        <v>75</v>
      </c>
      <c r="F11" s="6" t="s">
        <v>56</v>
      </c>
      <c r="G11" s="5" t="s">
        <v>72</v>
      </c>
      <c r="H11" s="6" t="s">
        <v>73</v>
      </c>
      <c r="I11" s="6"/>
      <c r="J11" s="6" t="str">
        <f>IF(OR(I11="Sí",H11="Alta",AND(Parámetros!$B$4&lt;&gt;"Alta",H11="Media"),AND(Parámetros!$B$4="Baja",H11="Baja")),"Sí","")</f>
        <v/>
      </c>
      <c r="K11" s="6"/>
      <c r="L11" s="6"/>
      <c r="M11" s="6"/>
      <c r="N11" s="6"/>
      <c r="O11" s="6"/>
      <c r="P11" s="6">
        <f t="shared" si="0"/>
        <v>0</v>
      </c>
      <c r="Q11" s="5" t="str">
        <f t="shared" si="1"/>
        <v/>
      </c>
      <c r="R11" s="5"/>
      <c r="S11" s="5"/>
      <c r="T11" s="5"/>
    </row>
    <row r="12" spans="1:20" ht="52.8" x14ac:dyDescent="0.3">
      <c r="A12" s="6">
        <v>339</v>
      </c>
      <c r="B12" s="1" t="s">
        <v>81</v>
      </c>
      <c r="C12" s="5" t="s">
        <v>82</v>
      </c>
      <c r="D12" s="5" t="s">
        <v>70</v>
      </c>
      <c r="E12" s="6" t="s">
        <v>55</v>
      </c>
      <c r="F12" s="6" t="s">
        <v>76</v>
      </c>
      <c r="G12" s="5" t="s">
        <v>72</v>
      </c>
      <c r="H12" s="6" t="s">
        <v>78</v>
      </c>
      <c r="I12" s="6" t="s">
        <v>83</v>
      </c>
      <c r="J12" s="6"/>
      <c r="K12" s="6" t="s">
        <v>83</v>
      </c>
      <c r="L12" s="6"/>
      <c r="M12" s="6"/>
      <c r="N12" s="6"/>
      <c r="O12" s="6"/>
      <c r="P12" s="6">
        <f t="shared" si="0"/>
        <v>1</v>
      </c>
      <c r="Q12" s="5" t="str">
        <f t="shared" si="1"/>
        <v>2</v>
      </c>
      <c r="R12" s="5"/>
      <c r="S12" s="5"/>
      <c r="T12" s="5" t="s">
        <v>84</v>
      </c>
    </row>
    <row r="13" spans="1:20" ht="26.4" x14ac:dyDescent="0.3">
      <c r="A13" s="6">
        <v>636</v>
      </c>
      <c r="B13" s="1" t="s">
        <v>85</v>
      </c>
      <c r="C13" s="5" t="s">
        <v>82</v>
      </c>
      <c r="D13" s="5" t="s">
        <v>70</v>
      </c>
      <c r="E13" s="6" t="s">
        <v>60</v>
      </c>
      <c r="F13" s="6" t="s">
        <v>56</v>
      </c>
      <c r="G13" s="5" t="s">
        <v>72</v>
      </c>
      <c r="H13" s="6" t="s">
        <v>73</v>
      </c>
      <c r="I13" s="6"/>
      <c r="J13" s="6" t="str">
        <f>IF(OR(I13="Sí",H13="Alta",AND(Parámetros!$B$4&lt;&gt;"Alta",H13="Media"),AND(Parámetros!$B$4="Baja",H13="Baja")),"Sí","")</f>
        <v/>
      </c>
      <c r="K13" s="6" t="s">
        <v>83</v>
      </c>
      <c r="L13" s="6"/>
      <c r="M13" s="6"/>
      <c r="N13" s="6"/>
      <c r="O13" s="6"/>
      <c r="P13" s="6">
        <f t="shared" si="0"/>
        <v>1</v>
      </c>
      <c r="Q13" s="5" t="str">
        <f t="shared" si="1"/>
        <v>2</v>
      </c>
      <c r="R13" s="5"/>
      <c r="S13" s="5"/>
      <c r="T13" s="5"/>
    </row>
    <row r="14" spans="1:20" ht="39.6" x14ac:dyDescent="0.3">
      <c r="A14" s="6">
        <v>597</v>
      </c>
      <c r="B14" s="1" t="s">
        <v>86</v>
      </c>
      <c r="C14" s="5" t="s">
        <v>87</v>
      </c>
      <c r="D14" s="5" t="s">
        <v>88</v>
      </c>
      <c r="E14" s="6" t="s">
        <v>55</v>
      </c>
      <c r="F14" s="6" t="s">
        <v>56</v>
      </c>
      <c r="G14" s="5" t="s">
        <v>89</v>
      </c>
      <c r="H14" s="6" t="s">
        <v>78</v>
      </c>
      <c r="I14" s="6" t="s">
        <v>83</v>
      </c>
      <c r="J14" s="6" t="str">
        <f>IF(OR(I14="Sí",H14="Alta",AND(Parámetros!$B$4&lt;&gt;"Alta",H14="Media"),AND(Parámetros!$B$4="Baja",H14="Baja")),"Sí","")</f>
        <v>Sí</v>
      </c>
      <c r="K14" s="6" t="s">
        <v>83</v>
      </c>
      <c r="L14" s="6"/>
      <c r="M14" s="6"/>
      <c r="N14" s="6"/>
      <c r="O14" s="6"/>
      <c r="P14" s="6">
        <f t="shared" si="0"/>
        <v>2</v>
      </c>
      <c r="Q14" s="5" t="str">
        <f t="shared" si="1"/>
        <v>1, 2</v>
      </c>
      <c r="R14" s="5"/>
      <c r="S14" s="5"/>
      <c r="T14" s="5" t="s">
        <v>90</v>
      </c>
    </row>
    <row r="15" spans="1:20" ht="26.4" x14ac:dyDescent="0.3">
      <c r="A15" s="6">
        <v>151</v>
      </c>
      <c r="B15" s="1" t="s">
        <v>91</v>
      </c>
      <c r="C15" s="5" t="s">
        <v>92</v>
      </c>
      <c r="D15" s="5" t="s">
        <v>93</v>
      </c>
      <c r="E15" s="6" t="s">
        <v>55</v>
      </c>
      <c r="F15" s="6" t="s">
        <v>56</v>
      </c>
      <c r="G15" s="5"/>
      <c r="H15" s="6" t="s">
        <v>57</v>
      </c>
      <c r="I15" s="6"/>
      <c r="J15" s="6" t="str">
        <f>IF(OR(I15="Sí",H15="Alta",AND(Parámetros!$B$4&lt;&gt;"Alta",H15="Media"),AND(Parámetros!$B$4="Baja",H15="Baja")),"Sí","")</f>
        <v/>
      </c>
      <c r="K15" s="6"/>
      <c r="L15" s="6"/>
      <c r="M15" s="6"/>
      <c r="N15" s="6"/>
      <c r="O15" s="6"/>
      <c r="P15" s="6">
        <f t="shared" si="0"/>
        <v>0</v>
      </c>
      <c r="Q15" s="5" t="str">
        <f t="shared" si="1"/>
        <v/>
      </c>
      <c r="R15" s="5" t="s">
        <v>58</v>
      </c>
      <c r="S15" s="5"/>
      <c r="T15" s="5"/>
    </row>
    <row r="16" spans="1:20" ht="26.4" x14ac:dyDescent="0.3">
      <c r="A16" s="6">
        <v>336</v>
      </c>
      <c r="B16" s="1" t="s">
        <v>94</v>
      </c>
      <c r="C16" s="5" t="s">
        <v>92</v>
      </c>
      <c r="D16" s="5" t="s">
        <v>95</v>
      </c>
      <c r="E16" s="6" t="s">
        <v>60</v>
      </c>
      <c r="F16" s="6" t="s">
        <v>76</v>
      </c>
      <c r="G16" s="5"/>
      <c r="H16" s="6" t="s">
        <v>57</v>
      </c>
      <c r="I16" s="6"/>
      <c r="J16" s="6" t="str">
        <f>IF(OR(I16="Sí",H16="Alta",AND(Parámetros!$B$4&lt;&gt;"Alta",H16="Media"),AND(Parámetros!$B$4="Baja",H16="Baja")),"Sí","")</f>
        <v/>
      </c>
      <c r="K16" s="6"/>
      <c r="L16" s="6"/>
      <c r="M16" s="6"/>
      <c r="N16" s="6"/>
      <c r="O16" s="6"/>
      <c r="P16" s="6">
        <f t="shared" si="0"/>
        <v>0</v>
      </c>
      <c r="Q16" s="5" t="str">
        <f t="shared" si="1"/>
        <v/>
      </c>
      <c r="R16" s="5"/>
      <c r="S16" s="5"/>
      <c r="T16" s="5"/>
    </row>
    <row r="17" spans="1:20" ht="26.4" x14ac:dyDescent="0.3">
      <c r="A17" s="6">
        <v>587</v>
      </c>
      <c r="B17" s="1" t="s">
        <v>96</v>
      </c>
      <c r="C17" s="5" t="s">
        <v>92</v>
      </c>
      <c r="D17" s="5" t="s">
        <v>95</v>
      </c>
      <c r="E17" s="6" t="s">
        <v>60</v>
      </c>
      <c r="F17" s="6" t="s">
        <v>56</v>
      </c>
      <c r="G17" s="5"/>
      <c r="H17" s="6" t="s">
        <v>57</v>
      </c>
      <c r="I17" s="6"/>
      <c r="J17" s="6" t="str">
        <f>IF(OR(I17="Sí",H17="Alta",AND(Parámetros!$B$4&lt;&gt;"Alta",H17="Media"),AND(Parámetros!$B$4="Baja",H17="Baja")),"Sí","")</f>
        <v/>
      </c>
      <c r="K17" s="6"/>
      <c r="L17" s="6"/>
      <c r="M17" s="6"/>
      <c r="N17" s="6"/>
      <c r="O17" s="6"/>
      <c r="P17" s="6">
        <f t="shared" si="0"/>
        <v>0</v>
      </c>
      <c r="Q17" s="5" t="str">
        <f t="shared" si="1"/>
        <v/>
      </c>
      <c r="R17" s="5" t="s">
        <v>58</v>
      </c>
      <c r="S17" s="5"/>
      <c r="T17" s="5"/>
    </row>
    <row r="18" spans="1:20" ht="26.4" x14ac:dyDescent="0.3">
      <c r="A18" s="6">
        <v>588</v>
      </c>
      <c r="B18" s="1" t="s">
        <v>97</v>
      </c>
      <c r="C18" s="5" t="s">
        <v>92</v>
      </c>
      <c r="D18" s="5" t="s">
        <v>95</v>
      </c>
      <c r="E18" s="6" t="s">
        <v>71</v>
      </c>
      <c r="F18" s="6" t="s">
        <v>56</v>
      </c>
      <c r="G18" s="5"/>
      <c r="H18" s="6" t="s">
        <v>57</v>
      </c>
      <c r="I18" s="6"/>
      <c r="J18" s="6" t="str">
        <f>IF(OR(I18="Sí",H18="Alta",AND(Parámetros!$B$4&lt;&gt;"Alta",H18="Media"),AND(Parámetros!$B$4="Baja",H18="Baja")),"Sí","")</f>
        <v/>
      </c>
      <c r="K18" s="6"/>
      <c r="L18" s="6"/>
      <c r="M18" s="6"/>
      <c r="N18" s="6"/>
      <c r="O18" s="6"/>
      <c r="P18" s="6">
        <f t="shared" si="0"/>
        <v>0</v>
      </c>
      <c r="Q18" s="5" t="str">
        <f t="shared" si="1"/>
        <v/>
      </c>
      <c r="R18" s="5" t="s">
        <v>98</v>
      </c>
      <c r="S18" s="5"/>
      <c r="T18" s="5"/>
    </row>
    <row r="19" spans="1:20" ht="26.4" x14ac:dyDescent="0.3">
      <c r="A19" s="6">
        <v>487</v>
      </c>
      <c r="B19" s="1" t="s">
        <v>99</v>
      </c>
      <c r="C19" s="5" t="s">
        <v>100</v>
      </c>
      <c r="D19" s="5" t="s">
        <v>101</v>
      </c>
      <c r="E19" s="6" t="s">
        <v>60</v>
      </c>
      <c r="F19" s="6" t="s">
        <v>76</v>
      </c>
      <c r="G19" s="5"/>
      <c r="H19" s="6" t="s">
        <v>65</v>
      </c>
      <c r="I19" s="6"/>
      <c r="J19" s="6" t="str">
        <f>IF(OR(I19="Sí",H19="Alta",AND(Parámetros!$B$4&lt;&gt;"Alta",H19="Media"),AND(Parámetros!$B$4="Baja",H19="Baja")),"Sí","")</f>
        <v/>
      </c>
      <c r="K19" s="6"/>
      <c r="L19" s="6"/>
      <c r="M19" s="6"/>
      <c r="N19" s="6"/>
      <c r="O19" s="6"/>
      <c r="P19" s="6">
        <f t="shared" si="0"/>
        <v>0</v>
      </c>
      <c r="Q19" s="5" t="str">
        <f t="shared" si="1"/>
        <v/>
      </c>
      <c r="R19" s="5"/>
      <c r="S19" s="5"/>
      <c r="T19" s="5"/>
    </row>
    <row r="20" spans="1:20" ht="26.4" x14ac:dyDescent="0.3">
      <c r="A20" s="6">
        <v>498</v>
      </c>
      <c r="B20" s="1" t="s">
        <v>102</v>
      </c>
      <c r="C20" s="5" t="s">
        <v>100</v>
      </c>
      <c r="D20" s="5" t="s">
        <v>101</v>
      </c>
      <c r="E20" s="6" t="s">
        <v>55</v>
      </c>
      <c r="F20" s="6" t="s">
        <v>56</v>
      </c>
      <c r="G20" s="5"/>
      <c r="H20" s="6" t="s">
        <v>57</v>
      </c>
      <c r="I20" s="6"/>
      <c r="J20" s="6" t="str">
        <f>IF(OR(I20="Sí",H20="Alta",AND(Parámetros!$B$4&lt;&gt;"Alta",H20="Media"),AND(Parámetros!$B$4="Baja",H20="Baja")),"Sí","")</f>
        <v/>
      </c>
      <c r="K20" s="6"/>
      <c r="L20" s="6"/>
      <c r="M20" s="6"/>
      <c r="N20" s="6"/>
      <c r="O20" s="6"/>
      <c r="P20" s="6">
        <f t="shared" si="0"/>
        <v>0</v>
      </c>
      <c r="Q20" s="5" t="str">
        <f t="shared" si="1"/>
        <v/>
      </c>
      <c r="R20" s="5" t="s">
        <v>58</v>
      </c>
      <c r="S20" s="5"/>
      <c r="T20" s="5"/>
    </row>
    <row r="21" spans="1:20" ht="26.4" x14ac:dyDescent="0.3">
      <c r="A21" s="6">
        <v>452</v>
      </c>
      <c r="B21" s="1" t="s">
        <v>103</v>
      </c>
      <c r="C21" s="5" t="s">
        <v>104</v>
      </c>
      <c r="D21" s="5" t="s">
        <v>105</v>
      </c>
      <c r="E21" s="6" t="s">
        <v>60</v>
      </c>
      <c r="F21" s="6" t="s">
        <v>56</v>
      </c>
      <c r="G21" s="5"/>
      <c r="H21" s="6" t="s">
        <v>57</v>
      </c>
      <c r="I21" s="6"/>
      <c r="J21" s="6" t="str">
        <f>IF(OR(I21="Sí",H21="Alta",AND(Parámetros!$B$4&lt;&gt;"Alta",H21="Media"),AND(Parámetros!$B$4="Baja",H21="Baja")),"Sí","")</f>
        <v/>
      </c>
      <c r="K21" s="6"/>
      <c r="L21" s="6"/>
      <c r="M21" s="6"/>
      <c r="N21" s="6"/>
      <c r="O21" s="6"/>
      <c r="P21" s="6">
        <f t="shared" si="0"/>
        <v>0</v>
      </c>
      <c r="Q21" s="5" t="str">
        <f t="shared" si="1"/>
        <v/>
      </c>
      <c r="R21" s="5"/>
      <c r="S21" s="5"/>
      <c r="T21" s="5"/>
    </row>
    <row r="22" spans="1:20" ht="26.4" x14ac:dyDescent="0.3">
      <c r="A22" s="6">
        <v>589</v>
      </c>
      <c r="B22" s="1" t="s">
        <v>106</v>
      </c>
      <c r="C22" s="5" t="s">
        <v>104</v>
      </c>
      <c r="D22" s="5" t="s">
        <v>107</v>
      </c>
      <c r="E22" s="6" t="s">
        <v>55</v>
      </c>
      <c r="F22" s="6" t="s">
        <v>61</v>
      </c>
      <c r="G22" s="5"/>
      <c r="H22" s="6" t="s">
        <v>57</v>
      </c>
      <c r="I22" s="6"/>
      <c r="J22" s="6" t="str">
        <f>IF(OR(I22="Sí",H22="Alta",AND(Parámetros!$B$4&lt;&gt;"Alta",H22="Media"),AND(Parámetros!$B$4="Baja",H22="Baja")),"Sí","")</f>
        <v/>
      </c>
      <c r="K22" s="6"/>
      <c r="L22" s="6"/>
      <c r="M22" s="6"/>
      <c r="N22" s="6"/>
      <c r="O22" s="6"/>
      <c r="P22" s="6">
        <f t="shared" si="0"/>
        <v>0</v>
      </c>
      <c r="Q22" s="5" t="str">
        <f t="shared" si="1"/>
        <v/>
      </c>
      <c r="R22" s="5"/>
      <c r="S22" s="5"/>
      <c r="T22" s="5"/>
    </row>
    <row r="23" spans="1:20" ht="26.4" x14ac:dyDescent="0.3">
      <c r="A23" s="6">
        <v>590</v>
      </c>
      <c r="B23" s="1" t="s">
        <v>108</v>
      </c>
      <c r="C23" s="5" t="s">
        <v>104</v>
      </c>
      <c r="D23" s="5" t="s">
        <v>109</v>
      </c>
      <c r="E23" s="6" t="s">
        <v>60</v>
      </c>
      <c r="F23" s="6" t="s">
        <v>61</v>
      </c>
      <c r="G23" s="5"/>
      <c r="H23" s="6" t="s">
        <v>57</v>
      </c>
      <c r="I23" s="6"/>
      <c r="J23" s="6" t="str">
        <f>IF(OR(I23="Sí",H23="Alta",AND(Parámetros!$B$4&lt;&gt;"Alta",H23="Media"),AND(Parámetros!$B$4="Baja",H23="Baja")),"Sí","")</f>
        <v/>
      </c>
      <c r="K23" s="6"/>
      <c r="L23" s="6"/>
      <c r="M23" s="6"/>
      <c r="N23" s="6"/>
      <c r="O23" s="6"/>
      <c r="P23" s="6">
        <f t="shared" si="0"/>
        <v>0</v>
      </c>
      <c r="Q23" s="5" t="str">
        <f t="shared" si="1"/>
        <v/>
      </c>
      <c r="R23" s="5"/>
      <c r="S23" s="5"/>
      <c r="T23" s="5"/>
    </row>
    <row r="24" spans="1:20" ht="26.4" x14ac:dyDescent="0.3">
      <c r="A24" s="6">
        <v>591</v>
      </c>
      <c r="B24" s="1" t="s">
        <v>110</v>
      </c>
      <c r="C24" s="5" t="s">
        <v>104</v>
      </c>
      <c r="D24" s="5" t="s">
        <v>109</v>
      </c>
      <c r="E24" s="6" t="s">
        <v>71</v>
      </c>
      <c r="F24" s="6" t="s">
        <v>61</v>
      </c>
      <c r="G24" s="5"/>
      <c r="H24" s="6" t="s">
        <v>57</v>
      </c>
      <c r="I24" s="6"/>
      <c r="J24" s="6" t="str">
        <f>IF(OR(I24="Sí",H24="Alta",AND(Parámetros!$B$4&lt;&gt;"Alta",H24="Media"),AND(Parámetros!$B$4="Baja",H24="Baja")),"Sí","")</f>
        <v/>
      </c>
      <c r="K24" s="6"/>
      <c r="L24" s="6"/>
      <c r="M24" s="6"/>
      <c r="N24" s="6"/>
      <c r="O24" s="6"/>
      <c r="P24" s="6">
        <f t="shared" si="0"/>
        <v>0</v>
      </c>
      <c r="Q24" s="5" t="str">
        <f t="shared" si="1"/>
        <v/>
      </c>
      <c r="R24" s="5"/>
      <c r="S24" s="5"/>
      <c r="T24" s="5"/>
    </row>
    <row r="25" spans="1:20" ht="26.4" x14ac:dyDescent="0.3">
      <c r="A25" s="6">
        <v>592</v>
      </c>
      <c r="B25" s="1" t="s">
        <v>111</v>
      </c>
      <c r="C25" s="5" t="s">
        <v>104</v>
      </c>
      <c r="D25" s="5" t="s">
        <v>109</v>
      </c>
      <c r="E25" s="6" t="s">
        <v>55</v>
      </c>
      <c r="F25" s="6" t="s">
        <v>61</v>
      </c>
      <c r="G25" s="5"/>
      <c r="H25" s="6" t="s">
        <v>57</v>
      </c>
      <c r="I25" s="6"/>
      <c r="J25" s="6" t="str">
        <f>IF(OR(I25="Sí",H25="Alta",AND(Parámetros!$B$4&lt;&gt;"Alta",H25="Media"),AND(Parámetros!$B$4="Baja",H25="Baja")),"Sí","")</f>
        <v/>
      </c>
      <c r="K25" s="6"/>
      <c r="L25" s="6"/>
      <c r="M25" s="6"/>
      <c r="N25" s="6"/>
      <c r="O25" s="6"/>
      <c r="P25" s="6">
        <f t="shared" si="0"/>
        <v>0</v>
      </c>
      <c r="Q25" s="5" t="str">
        <f t="shared" si="1"/>
        <v/>
      </c>
      <c r="R25" s="5"/>
      <c r="S25" s="5"/>
      <c r="T25" s="5"/>
    </row>
    <row r="26" spans="1:20" ht="26.4" x14ac:dyDescent="0.3">
      <c r="A26" s="6">
        <v>593</v>
      </c>
      <c r="B26" s="1" t="s">
        <v>112</v>
      </c>
      <c r="C26" s="5" t="s">
        <v>104</v>
      </c>
      <c r="D26" s="5" t="s">
        <v>105</v>
      </c>
      <c r="E26" s="6" t="s">
        <v>55</v>
      </c>
      <c r="F26" s="6" t="s">
        <v>61</v>
      </c>
      <c r="G26" s="5"/>
      <c r="H26" s="6" t="s">
        <v>57</v>
      </c>
      <c r="I26" s="6"/>
      <c r="J26" s="6" t="str">
        <f>IF(OR(I26="Sí",H26="Alta",AND(Parámetros!$B$4&lt;&gt;"Alta",H26="Media"),AND(Parámetros!$B$4="Baja",H26="Baja")),"Sí","")</f>
        <v/>
      </c>
      <c r="K26" s="6"/>
      <c r="L26" s="6"/>
      <c r="M26" s="6"/>
      <c r="N26" s="6"/>
      <c r="O26" s="6"/>
      <c r="P26" s="6">
        <f t="shared" si="0"/>
        <v>0</v>
      </c>
      <c r="Q26" s="5" t="str">
        <f t="shared" si="1"/>
        <v/>
      </c>
      <c r="R26" s="5" t="s">
        <v>58</v>
      </c>
      <c r="S26" s="5"/>
      <c r="T26" s="5"/>
    </row>
    <row r="27" spans="1:20" ht="26.4" x14ac:dyDescent="0.3">
      <c r="A27" s="6">
        <v>594</v>
      </c>
      <c r="B27" s="1" t="s">
        <v>113</v>
      </c>
      <c r="C27" s="5" t="s">
        <v>104</v>
      </c>
      <c r="D27" s="5" t="s">
        <v>114</v>
      </c>
      <c r="E27" s="6" t="s">
        <v>55</v>
      </c>
      <c r="F27" s="6" t="s">
        <v>56</v>
      </c>
      <c r="G27" s="5"/>
      <c r="H27" s="6" t="s">
        <v>57</v>
      </c>
      <c r="I27" s="6"/>
      <c r="J27" s="6" t="str">
        <f>IF(OR(I27="Sí",H27="Alta",AND(Parámetros!$B$4&lt;&gt;"Alta",H27="Media"),AND(Parámetros!$B$4="Baja",H27="Baja")),"Sí","")</f>
        <v/>
      </c>
      <c r="K27" s="6"/>
      <c r="L27" s="6"/>
      <c r="M27" s="6"/>
      <c r="N27" s="6"/>
      <c r="O27" s="6"/>
      <c r="P27" s="6">
        <f t="shared" si="0"/>
        <v>0</v>
      </c>
      <c r="Q27" s="5" t="str">
        <f t="shared" si="1"/>
        <v/>
      </c>
      <c r="R27" s="5" t="s">
        <v>58</v>
      </c>
      <c r="S27" s="5"/>
      <c r="T27" s="5"/>
    </row>
    <row r="28" spans="1:20" ht="26.4" x14ac:dyDescent="0.3">
      <c r="A28" s="6">
        <v>456</v>
      </c>
      <c r="B28" s="1" t="s">
        <v>115</v>
      </c>
      <c r="C28" s="5" t="s">
        <v>116</v>
      </c>
      <c r="D28" s="5" t="s">
        <v>117</v>
      </c>
      <c r="E28" s="6" t="s">
        <v>55</v>
      </c>
      <c r="F28" s="6" t="s">
        <v>61</v>
      </c>
      <c r="G28" s="5"/>
      <c r="H28" s="6" t="s">
        <v>57</v>
      </c>
      <c r="I28" s="6"/>
      <c r="J28" s="6" t="str">
        <f>IF(OR(I28="Sí",H28="Alta",AND(Parámetros!$B$4&lt;&gt;"Alta",H28="Media"),AND(Parámetros!$B$4="Baja",H28="Baja")),"Sí","")</f>
        <v/>
      </c>
      <c r="K28" s="6" t="s">
        <v>83</v>
      </c>
      <c r="L28" s="6"/>
      <c r="M28" s="6"/>
      <c r="N28" s="6"/>
      <c r="O28" s="6"/>
      <c r="P28" s="6">
        <f t="shared" si="0"/>
        <v>1</v>
      </c>
      <c r="Q28" s="5" t="str">
        <f t="shared" si="1"/>
        <v>2</v>
      </c>
      <c r="R28" s="5"/>
      <c r="S28" s="5"/>
      <c r="T28" s="5"/>
    </row>
    <row r="29" spans="1:20" ht="26.4" x14ac:dyDescent="0.3">
      <c r="A29" s="6">
        <v>457</v>
      </c>
      <c r="B29" s="1" t="s">
        <v>118</v>
      </c>
      <c r="C29" s="5" t="s">
        <v>116</v>
      </c>
      <c r="D29" s="5" t="s">
        <v>117</v>
      </c>
      <c r="E29" s="6" t="s">
        <v>60</v>
      </c>
      <c r="F29" s="6" t="s">
        <v>61</v>
      </c>
      <c r="G29" s="5"/>
      <c r="H29" s="6" t="s">
        <v>57</v>
      </c>
      <c r="I29" s="6"/>
      <c r="J29" s="6" t="str">
        <f>IF(OR(I29="Sí",H29="Alta",AND(Parámetros!$B$4&lt;&gt;"Alta",H29="Media"),AND(Parámetros!$B$4="Baja",H29="Baja")),"Sí","")</f>
        <v/>
      </c>
      <c r="K29" s="6" t="s">
        <v>83</v>
      </c>
      <c r="L29" s="6"/>
      <c r="M29" s="6"/>
      <c r="N29" s="6"/>
      <c r="O29" s="6"/>
      <c r="P29" s="6">
        <f t="shared" si="0"/>
        <v>1</v>
      </c>
      <c r="Q29" s="5" t="str">
        <f t="shared" si="1"/>
        <v>2</v>
      </c>
      <c r="R29" s="5"/>
      <c r="S29" s="5"/>
      <c r="T29" s="5"/>
    </row>
    <row r="30" spans="1:20" ht="26.4" x14ac:dyDescent="0.3">
      <c r="A30" s="6">
        <v>486</v>
      </c>
      <c r="B30" s="1" t="s">
        <v>119</v>
      </c>
      <c r="C30" s="5" t="s">
        <v>116</v>
      </c>
      <c r="D30" s="5" t="s">
        <v>117</v>
      </c>
      <c r="E30" s="6" t="s">
        <v>75</v>
      </c>
      <c r="F30" s="6" t="s">
        <v>56</v>
      </c>
      <c r="G30" s="5"/>
      <c r="H30" s="6" t="s">
        <v>57</v>
      </c>
      <c r="I30" s="6"/>
      <c r="J30" s="6" t="str">
        <f>IF(OR(I30="Sí",H30="Alta",AND(Parámetros!$B$4&lt;&gt;"Alta",H30="Media"),AND(Parámetros!$B$4="Baja",H30="Baja")),"Sí","")</f>
        <v/>
      </c>
      <c r="K30" s="6"/>
      <c r="L30" s="6"/>
      <c r="M30" s="6"/>
      <c r="N30" s="6"/>
      <c r="O30" s="6"/>
      <c r="P30" s="6">
        <f t="shared" si="0"/>
        <v>0</v>
      </c>
      <c r="Q30" s="5" t="str">
        <f t="shared" si="1"/>
        <v/>
      </c>
      <c r="R30" s="5"/>
      <c r="S30" s="5"/>
      <c r="T30" s="5"/>
    </row>
    <row r="31" spans="1:20" ht="26.4" x14ac:dyDescent="0.3">
      <c r="A31" s="6">
        <v>615</v>
      </c>
      <c r="B31" s="1" t="s">
        <v>120</v>
      </c>
      <c r="C31" s="5" t="s">
        <v>116</v>
      </c>
      <c r="D31" s="5" t="s">
        <v>121</v>
      </c>
      <c r="E31" s="6" t="s">
        <v>55</v>
      </c>
      <c r="F31" s="6" t="s">
        <v>61</v>
      </c>
      <c r="G31" s="5"/>
      <c r="H31" s="6" t="s">
        <v>57</v>
      </c>
      <c r="I31" s="6"/>
      <c r="J31" s="6" t="str">
        <f>IF(OR(I31="Sí",H31="Alta",AND(Parámetros!$B$4&lt;&gt;"Alta",H31="Media"),AND(Parámetros!$B$4="Baja",H31="Baja")),"Sí","")</f>
        <v/>
      </c>
      <c r="K31" s="6"/>
      <c r="L31" s="6"/>
      <c r="M31" s="6"/>
      <c r="N31" s="6"/>
      <c r="O31" s="6"/>
      <c r="P31" s="6">
        <f t="shared" si="0"/>
        <v>0</v>
      </c>
      <c r="Q31" s="5" t="str">
        <f t="shared" si="1"/>
        <v/>
      </c>
      <c r="R31" s="5"/>
      <c r="S31" s="5"/>
      <c r="T31" s="5"/>
    </row>
    <row r="32" spans="1:20" ht="26.4" x14ac:dyDescent="0.3">
      <c r="A32" s="6">
        <v>632</v>
      </c>
      <c r="B32" s="1" t="s">
        <v>122</v>
      </c>
      <c r="C32" s="5" t="s">
        <v>116</v>
      </c>
      <c r="D32" s="5" t="s">
        <v>117</v>
      </c>
      <c r="E32" s="6" t="s">
        <v>55</v>
      </c>
      <c r="F32" s="6" t="s">
        <v>56</v>
      </c>
      <c r="G32" s="5"/>
      <c r="H32" s="6" t="s">
        <v>57</v>
      </c>
      <c r="I32" s="6"/>
      <c r="J32" s="6" t="str">
        <f>IF(OR(I32="Sí",H32="Alta",AND(Parámetros!$B$4&lt;&gt;"Alta",H32="Media"),AND(Parámetros!$B$4="Baja",H32="Baja")),"Sí","")</f>
        <v/>
      </c>
      <c r="K32" s="6" t="s">
        <v>83</v>
      </c>
      <c r="L32" s="6"/>
      <c r="M32" s="6"/>
      <c r="N32" s="6"/>
      <c r="O32" s="6"/>
      <c r="P32" s="6">
        <f t="shared" si="0"/>
        <v>1</v>
      </c>
      <c r="Q32" s="5" t="str">
        <f t="shared" si="1"/>
        <v>2</v>
      </c>
      <c r="R32" s="5" t="s">
        <v>58</v>
      </c>
      <c r="S32" s="5"/>
      <c r="T32" s="5" t="s">
        <v>123</v>
      </c>
    </row>
    <row r="33" spans="1:20" ht="26.4" x14ac:dyDescent="0.3">
      <c r="A33" s="6">
        <v>347</v>
      </c>
      <c r="B33" s="1" t="s">
        <v>124</v>
      </c>
      <c r="C33" s="5" t="s">
        <v>125</v>
      </c>
      <c r="D33" s="5" t="s">
        <v>126</v>
      </c>
      <c r="E33" s="6" t="s">
        <v>60</v>
      </c>
      <c r="F33" s="6" t="s">
        <v>61</v>
      </c>
      <c r="G33" s="5"/>
      <c r="H33" s="6" t="s">
        <v>57</v>
      </c>
      <c r="I33" s="6"/>
      <c r="J33" s="6" t="str">
        <f>IF(OR(I33="Sí",H33="Alta",AND(Parámetros!$B$4&lt;&gt;"Alta",H33="Media"),AND(Parámetros!$B$4="Baja",H33="Baja")),"Sí","")</f>
        <v/>
      </c>
      <c r="K33" s="6"/>
      <c r="L33" s="6"/>
      <c r="M33" s="6"/>
      <c r="N33" s="6"/>
      <c r="O33" s="6"/>
      <c r="P33" s="6">
        <f t="shared" si="0"/>
        <v>0</v>
      </c>
      <c r="Q33" s="5" t="str">
        <f t="shared" si="1"/>
        <v/>
      </c>
      <c r="R33" s="5"/>
      <c r="S33" s="5"/>
      <c r="T33" s="5"/>
    </row>
    <row r="34" spans="1:20" ht="26.4" x14ac:dyDescent="0.3">
      <c r="A34" s="6">
        <v>348</v>
      </c>
      <c r="B34" s="1" t="s">
        <v>127</v>
      </c>
      <c r="C34" s="5" t="s">
        <v>125</v>
      </c>
      <c r="D34" s="5" t="s">
        <v>126</v>
      </c>
      <c r="E34" s="6" t="s">
        <v>60</v>
      </c>
      <c r="F34" s="6" t="s">
        <v>61</v>
      </c>
      <c r="G34" s="5"/>
      <c r="H34" s="6" t="s">
        <v>57</v>
      </c>
      <c r="I34" s="6"/>
      <c r="J34" s="6" t="str">
        <f>IF(OR(I34="Sí",H34="Alta",AND(Parámetros!$B$4&lt;&gt;"Alta",H34="Media"),AND(Parámetros!$B$4="Baja",H34="Baja")),"Sí","")</f>
        <v/>
      </c>
      <c r="K34" s="6"/>
      <c r="L34" s="6"/>
      <c r="M34" s="6"/>
      <c r="N34" s="6"/>
      <c r="O34" s="6"/>
      <c r="P34" s="6">
        <f t="shared" si="0"/>
        <v>0</v>
      </c>
      <c r="Q34" s="5" t="str">
        <f t="shared" si="1"/>
        <v/>
      </c>
      <c r="R34" s="5"/>
      <c r="S34" s="5"/>
      <c r="T34" s="5"/>
    </row>
    <row r="35" spans="1:20" ht="26.4" x14ac:dyDescent="0.3">
      <c r="A35" s="6">
        <v>351</v>
      </c>
      <c r="B35" s="1" t="s">
        <v>128</v>
      </c>
      <c r="C35" s="5" t="s">
        <v>125</v>
      </c>
      <c r="D35" s="5" t="s">
        <v>129</v>
      </c>
      <c r="E35" s="6" t="s">
        <v>60</v>
      </c>
      <c r="F35" s="6" t="s">
        <v>61</v>
      </c>
      <c r="G35" s="5"/>
      <c r="H35" s="6" t="s">
        <v>57</v>
      </c>
      <c r="I35" s="6"/>
      <c r="J35" s="6" t="str">
        <f>IF(OR(I35="Sí",H35="Alta",AND(Parámetros!$B$4&lt;&gt;"Alta",H35="Media"),AND(Parámetros!$B$4="Baja",H35="Baja")),"Sí","")</f>
        <v/>
      </c>
      <c r="K35" s="6"/>
      <c r="L35" s="6"/>
      <c r="M35" s="6"/>
      <c r="N35" s="6"/>
      <c r="O35" s="6"/>
      <c r="P35" s="6">
        <f t="shared" si="0"/>
        <v>0</v>
      </c>
      <c r="Q35" s="5" t="str">
        <f t="shared" si="1"/>
        <v/>
      </c>
      <c r="R35" s="5"/>
      <c r="S35" s="5"/>
      <c r="T35" s="5"/>
    </row>
    <row r="36" spans="1:20" ht="26.4" x14ac:dyDescent="0.3">
      <c r="A36" s="6">
        <v>352</v>
      </c>
      <c r="B36" s="1" t="s">
        <v>130</v>
      </c>
      <c r="C36" s="5" t="s">
        <v>125</v>
      </c>
      <c r="D36" s="5" t="s">
        <v>129</v>
      </c>
      <c r="E36" s="6" t="s">
        <v>60</v>
      </c>
      <c r="F36" s="6" t="s">
        <v>61</v>
      </c>
      <c r="G36" s="5"/>
      <c r="H36" s="6" t="s">
        <v>57</v>
      </c>
      <c r="I36" s="6"/>
      <c r="J36" s="6" t="str">
        <f>IF(OR(I36="Sí",H36="Alta",AND(Parámetros!$B$4&lt;&gt;"Alta",H36="Media"),AND(Parámetros!$B$4="Baja",H36="Baja")),"Sí","")</f>
        <v/>
      </c>
      <c r="K36" s="6"/>
      <c r="L36" s="6"/>
      <c r="M36" s="6"/>
      <c r="N36" s="6"/>
      <c r="O36" s="6"/>
      <c r="P36" s="6">
        <f t="shared" si="0"/>
        <v>0</v>
      </c>
      <c r="Q36" s="5" t="str">
        <f t="shared" si="1"/>
        <v/>
      </c>
      <c r="R36" s="5" t="s">
        <v>131</v>
      </c>
      <c r="S36" s="5"/>
      <c r="T36" s="5"/>
    </row>
    <row r="37" spans="1:20" ht="26.4" x14ac:dyDescent="0.3">
      <c r="A37" s="6">
        <v>495</v>
      </c>
      <c r="B37" s="1" t="s">
        <v>132</v>
      </c>
      <c r="C37" s="5" t="s">
        <v>125</v>
      </c>
      <c r="D37" s="5" t="s">
        <v>133</v>
      </c>
      <c r="E37" s="6" t="s">
        <v>55</v>
      </c>
      <c r="F37" s="6" t="s">
        <v>56</v>
      </c>
      <c r="G37" s="5"/>
      <c r="H37" s="6" t="s">
        <v>57</v>
      </c>
      <c r="I37" s="6"/>
      <c r="J37" s="6" t="str">
        <f>IF(OR(I37="Sí",H37="Alta",AND(Parámetros!$B$4&lt;&gt;"Alta",H37="Media"),AND(Parámetros!$B$4="Baja",H37="Baja")),"Sí","")</f>
        <v/>
      </c>
      <c r="K37" s="6"/>
      <c r="L37" s="6"/>
      <c r="M37" s="6"/>
      <c r="N37" s="6"/>
      <c r="O37" s="6"/>
      <c r="P37" s="6">
        <f t="shared" si="0"/>
        <v>0</v>
      </c>
      <c r="Q37" s="5" t="str">
        <f t="shared" si="1"/>
        <v/>
      </c>
      <c r="R37" s="5" t="s">
        <v>58</v>
      </c>
      <c r="S37" s="5"/>
      <c r="T37" s="5"/>
    </row>
    <row r="38" spans="1:20" ht="39.6" x14ac:dyDescent="0.3">
      <c r="A38" s="6">
        <v>323</v>
      </c>
      <c r="B38" s="1" t="s">
        <v>134</v>
      </c>
      <c r="C38" s="5" t="s">
        <v>135</v>
      </c>
      <c r="D38" s="5" t="s">
        <v>70</v>
      </c>
      <c r="E38" s="6" t="s">
        <v>60</v>
      </c>
      <c r="F38" s="6" t="s">
        <v>56</v>
      </c>
      <c r="G38" s="5" t="s">
        <v>72</v>
      </c>
      <c r="H38" s="6" t="s">
        <v>73</v>
      </c>
      <c r="I38" s="6"/>
      <c r="J38" s="6" t="str">
        <f>IF(OR(I38="Sí",H38="Alta",AND(Parámetros!$B$4&lt;&gt;"Alta",H38="Media"),AND(Parámetros!$B$4="Baja",H38="Baja")),"Sí","")</f>
        <v/>
      </c>
      <c r="K38" s="6" t="s">
        <v>83</v>
      </c>
      <c r="L38" s="6"/>
      <c r="M38" s="6"/>
      <c r="N38" s="6"/>
      <c r="O38" s="6"/>
      <c r="P38" s="6">
        <f t="shared" si="0"/>
        <v>1</v>
      </c>
      <c r="Q38" s="5" t="str">
        <f t="shared" si="1"/>
        <v>2</v>
      </c>
      <c r="R38" s="5"/>
      <c r="S38" s="5"/>
      <c r="T38" s="5"/>
    </row>
    <row r="39" spans="1:20" ht="39.6" x14ac:dyDescent="0.3">
      <c r="A39" s="6">
        <v>324</v>
      </c>
      <c r="B39" s="1" t="s">
        <v>136</v>
      </c>
      <c r="C39" s="5" t="s">
        <v>135</v>
      </c>
      <c r="D39" s="5" t="s">
        <v>70</v>
      </c>
      <c r="E39" s="6" t="s">
        <v>60</v>
      </c>
      <c r="F39" s="6" t="s">
        <v>56</v>
      </c>
      <c r="G39" s="5" t="s">
        <v>72</v>
      </c>
      <c r="H39" s="6" t="s">
        <v>73</v>
      </c>
      <c r="I39" s="6"/>
      <c r="J39" s="6" t="str">
        <f>IF(OR(I39="Sí",H39="Alta",AND(Parámetros!$B$4&lt;&gt;"Alta",H39="Media"),AND(Parámetros!$B$4="Baja",H39="Baja")),"Sí","")</f>
        <v/>
      </c>
      <c r="K39" s="6"/>
      <c r="L39" s="6"/>
      <c r="M39" s="6"/>
      <c r="N39" s="6"/>
      <c r="O39" s="6"/>
      <c r="P39" s="6">
        <f t="shared" si="0"/>
        <v>0</v>
      </c>
      <c r="Q39" s="5" t="str">
        <f t="shared" si="1"/>
        <v/>
      </c>
      <c r="R39" s="5"/>
      <c r="S39" s="5"/>
      <c r="T39" s="5"/>
    </row>
    <row r="40" spans="1:20" ht="39.6" x14ac:dyDescent="0.3">
      <c r="A40" s="6">
        <v>325</v>
      </c>
      <c r="B40" s="1" t="s">
        <v>137</v>
      </c>
      <c r="C40" s="5" t="s">
        <v>135</v>
      </c>
      <c r="D40" s="5" t="s">
        <v>70</v>
      </c>
      <c r="E40" s="6" t="s">
        <v>75</v>
      </c>
      <c r="F40" s="6" t="s">
        <v>56</v>
      </c>
      <c r="G40" s="5" t="s">
        <v>72</v>
      </c>
      <c r="H40" s="6" t="s">
        <v>78</v>
      </c>
      <c r="I40" s="6"/>
      <c r="J40" s="6" t="str">
        <f>IF(OR(I40="Sí",H40="Alta",AND(Parámetros!$B$4&lt;&gt;"Alta",H40="Media"),AND(Parámetros!$B$4="Baja",H40="Baja")),"Sí","")</f>
        <v/>
      </c>
      <c r="K40" s="6" t="s">
        <v>83</v>
      </c>
      <c r="L40" s="6"/>
      <c r="M40" s="6"/>
      <c r="N40" s="6"/>
      <c r="O40" s="6"/>
      <c r="P40" s="6">
        <f t="shared" si="0"/>
        <v>1</v>
      </c>
      <c r="Q40" s="5" t="str">
        <f t="shared" si="1"/>
        <v>2</v>
      </c>
      <c r="R40" s="5"/>
      <c r="S40" s="5"/>
      <c r="T40" s="5"/>
    </row>
    <row r="41" spans="1:20" ht="39.6" x14ac:dyDescent="0.3">
      <c r="A41" s="6">
        <v>408</v>
      </c>
      <c r="B41" s="1" t="s">
        <v>138</v>
      </c>
      <c r="C41" s="5" t="s">
        <v>135</v>
      </c>
      <c r="D41" s="5" t="s">
        <v>70</v>
      </c>
      <c r="E41" s="6" t="s">
        <v>60</v>
      </c>
      <c r="F41" s="6" t="s">
        <v>56</v>
      </c>
      <c r="G41" s="5" t="s">
        <v>72</v>
      </c>
      <c r="H41" s="6" t="s">
        <v>73</v>
      </c>
      <c r="I41" s="6"/>
      <c r="J41" s="6" t="str">
        <f>IF(OR(I41="Sí",H41="Alta",AND(Parámetros!$B$4&lt;&gt;"Alta",H41="Media"),AND(Parámetros!$B$4="Baja",H41="Baja")),"Sí","")</f>
        <v/>
      </c>
      <c r="K41" s="6"/>
      <c r="L41" s="6"/>
      <c r="M41" s="6"/>
      <c r="N41" s="6"/>
      <c r="O41" s="6"/>
      <c r="P41" s="6">
        <f t="shared" si="0"/>
        <v>0</v>
      </c>
      <c r="Q41" s="5" t="str">
        <f t="shared" si="1"/>
        <v/>
      </c>
      <c r="R41" s="5"/>
      <c r="S41" s="5"/>
      <c r="T41" s="5"/>
    </row>
    <row r="42" spans="1:20" ht="39.6" x14ac:dyDescent="0.3">
      <c r="A42" s="6">
        <v>475</v>
      </c>
      <c r="B42" s="1" t="s">
        <v>139</v>
      </c>
      <c r="C42" s="5" t="s">
        <v>135</v>
      </c>
      <c r="D42" s="5" t="s">
        <v>140</v>
      </c>
      <c r="E42" s="6" t="s">
        <v>60</v>
      </c>
      <c r="F42" s="6" t="s">
        <v>56</v>
      </c>
      <c r="G42" s="5" t="s">
        <v>72</v>
      </c>
      <c r="H42" s="6" t="s">
        <v>73</v>
      </c>
      <c r="I42" s="6"/>
      <c r="J42" s="6" t="str">
        <f>IF(OR(I42="Sí",H42="Alta",AND(Parámetros!$B$4&lt;&gt;"Alta",H42="Media"),AND(Parámetros!$B$4="Baja",H42="Baja")),"Sí","")</f>
        <v/>
      </c>
      <c r="K42" s="6"/>
      <c r="L42" s="6"/>
      <c r="M42" s="6"/>
      <c r="N42" s="6"/>
      <c r="O42" s="6"/>
      <c r="P42" s="6">
        <f t="shared" si="0"/>
        <v>0</v>
      </c>
      <c r="Q42" s="5" t="str">
        <f t="shared" si="1"/>
        <v/>
      </c>
      <c r="R42" s="5"/>
      <c r="S42" s="5"/>
      <c r="T42" s="5"/>
    </row>
    <row r="43" spans="1:20" x14ac:dyDescent="0.3">
      <c r="A43" s="6">
        <v>292</v>
      </c>
      <c r="B43" s="1" t="s">
        <v>141</v>
      </c>
      <c r="C43" s="5" t="s">
        <v>142</v>
      </c>
      <c r="D43" s="5" t="s">
        <v>143</v>
      </c>
      <c r="E43" s="6" t="s">
        <v>60</v>
      </c>
      <c r="F43" s="6" t="s">
        <v>56</v>
      </c>
      <c r="G43" s="5" t="s">
        <v>89</v>
      </c>
      <c r="H43" s="6" t="s">
        <v>73</v>
      </c>
      <c r="I43" s="6"/>
      <c r="J43" s="6" t="str">
        <f>IF(OR(I43="Sí",H43="Alta",AND(Parámetros!$B$4&lt;&gt;"Alta",H43="Media"),AND(Parámetros!$B$4="Baja",H43="Baja")),"Sí","")</f>
        <v/>
      </c>
      <c r="K43" s="6"/>
      <c r="L43" s="6"/>
      <c r="M43" s="6"/>
      <c r="N43" s="6"/>
      <c r="O43" s="6"/>
      <c r="P43" s="6">
        <f t="shared" si="0"/>
        <v>0</v>
      </c>
      <c r="Q43" s="5" t="str">
        <f t="shared" si="1"/>
        <v/>
      </c>
      <c r="R43" s="5"/>
      <c r="S43" s="5"/>
      <c r="T43" s="5"/>
    </row>
    <row r="44" spans="1:20" x14ac:dyDescent="0.3">
      <c r="A44" s="6">
        <v>294</v>
      </c>
      <c r="B44" s="1" t="s">
        <v>144</v>
      </c>
      <c r="C44" s="5" t="s">
        <v>142</v>
      </c>
      <c r="D44" s="5" t="s">
        <v>143</v>
      </c>
      <c r="E44" s="6" t="s">
        <v>60</v>
      </c>
      <c r="F44" s="6" t="s">
        <v>56</v>
      </c>
      <c r="G44" s="5" t="s">
        <v>72</v>
      </c>
      <c r="H44" s="6" t="s">
        <v>73</v>
      </c>
      <c r="I44" s="6"/>
      <c r="J44" s="6" t="str">
        <f>IF(OR(I44="Sí",H44="Alta",AND(Parámetros!$B$4&lt;&gt;"Alta",H44="Media"),AND(Parámetros!$B$4="Baja",H44="Baja")),"Sí","")</f>
        <v/>
      </c>
      <c r="K44" s="6"/>
      <c r="L44" s="6"/>
      <c r="M44" s="6"/>
      <c r="N44" s="6"/>
      <c r="O44" s="6"/>
      <c r="P44" s="6">
        <f t="shared" si="0"/>
        <v>0</v>
      </c>
      <c r="Q44" s="5" t="str">
        <f t="shared" si="1"/>
        <v/>
      </c>
      <c r="R44" s="5"/>
      <c r="S44" s="5"/>
      <c r="T44" s="5"/>
    </row>
    <row r="45" spans="1:20" ht="39.6" x14ac:dyDescent="0.3">
      <c r="A45" s="6">
        <v>507</v>
      </c>
      <c r="B45" s="1" t="s">
        <v>145</v>
      </c>
      <c r="C45" s="5" t="s">
        <v>142</v>
      </c>
      <c r="D45" s="5" t="s">
        <v>143</v>
      </c>
      <c r="E45" s="6" t="s">
        <v>55</v>
      </c>
      <c r="F45" s="6" t="s">
        <v>56</v>
      </c>
      <c r="G45" s="5"/>
      <c r="H45" s="6" t="s">
        <v>57</v>
      </c>
      <c r="I45" s="6"/>
      <c r="J45" s="6" t="str">
        <f>IF(OR(I45="Sí",H45="Alta",AND(Parámetros!$B$4&lt;&gt;"Alta",H45="Media"),AND(Parámetros!$B$4="Baja",H45="Baja")),"Sí","")</f>
        <v/>
      </c>
      <c r="K45" s="6" t="s">
        <v>83</v>
      </c>
      <c r="L45" s="6"/>
      <c r="M45" s="6"/>
      <c r="N45" s="6"/>
      <c r="O45" s="6"/>
      <c r="P45" s="6">
        <f t="shared" si="0"/>
        <v>1</v>
      </c>
      <c r="Q45" s="5" t="str">
        <f t="shared" si="1"/>
        <v>2</v>
      </c>
      <c r="R45" s="5" t="s">
        <v>58</v>
      </c>
      <c r="S45" s="5"/>
      <c r="T45" s="5" t="s">
        <v>146</v>
      </c>
    </row>
    <row r="46" spans="1:20" ht="26.4" x14ac:dyDescent="0.3">
      <c r="A46" s="6">
        <v>499</v>
      </c>
      <c r="B46" s="1" t="s">
        <v>147</v>
      </c>
      <c r="C46" s="5" t="s">
        <v>148</v>
      </c>
      <c r="D46" s="5" t="s">
        <v>149</v>
      </c>
      <c r="E46" s="6" t="s">
        <v>55</v>
      </c>
      <c r="F46" s="6" t="s">
        <v>56</v>
      </c>
      <c r="G46" s="5"/>
      <c r="H46" s="6" t="s">
        <v>57</v>
      </c>
      <c r="I46" s="6"/>
      <c r="J46" s="6" t="str">
        <f>IF(OR(I46="Sí",H46="Alta",AND(Parámetros!$B$4&lt;&gt;"Alta",H46="Media"),AND(Parámetros!$B$4="Baja",H46="Baja")),"Sí","")</f>
        <v/>
      </c>
      <c r="K46" s="6"/>
      <c r="L46" s="6"/>
      <c r="M46" s="6"/>
      <c r="N46" s="6"/>
      <c r="O46" s="6"/>
      <c r="P46" s="6">
        <f t="shared" si="0"/>
        <v>0</v>
      </c>
      <c r="Q46" s="5" t="str">
        <f t="shared" si="1"/>
        <v/>
      </c>
      <c r="R46" s="5" t="s">
        <v>58</v>
      </c>
      <c r="S46" s="5"/>
      <c r="T46" s="5"/>
    </row>
    <row r="47" spans="1:20" ht="26.4" x14ac:dyDescent="0.3">
      <c r="A47" s="6">
        <v>623</v>
      </c>
      <c r="B47" s="1" t="s">
        <v>150</v>
      </c>
      <c r="C47" s="5" t="s">
        <v>148</v>
      </c>
      <c r="D47" s="5" t="s">
        <v>151</v>
      </c>
      <c r="E47" s="6" t="s">
        <v>60</v>
      </c>
      <c r="F47" s="6" t="s">
        <v>56</v>
      </c>
      <c r="G47" s="5"/>
      <c r="H47" s="6" t="s">
        <v>57</v>
      </c>
      <c r="I47" s="6"/>
      <c r="J47" s="6" t="str">
        <f>IF(OR(I47="Sí",H47="Alta",AND(Parámetros!$B$4&lt;&gt;"Alta",H47="Media"),AND(Parámetros!$B$4="Baja",H47="Baja")),"Sí","")</f>
        <v/>
      </c>
      <c r="K47" s="6"/>
      <c r="L47" s="6"/>
      <c r="M47" s="6"/>
      <c r="N47" s="6"/>
      <c r="O47" s="6"/>
      <c r="P47" s="6">
        <f t="shared" si="0"/>
        <v>0</v>
      </c>
      <c r="Q47" s="5" t="str">
        <f t="shared" si="1"/>
        <v/>
      </c>
      <c r="R47" s="5" t="s">
        <v>98</v>
      </c>
      <c r="S47" s="5"/>
      <c r="T47" s="5"/>
    </row>
    <row r="48" spans="1:20" ht="39.6" x14ac:dyDescent="0.3">
      <c r="A48" s="6">
        <v>624</v>
      </c>
      <c r="B48" s="1" t="s">
        <v>152</v>
      </c>
      <c r="C48" s="5" t="s">
        <v>148</v>
      </c>
      <c r="D48" s="5" t="s">
        <v>151</v>
      </c>
      <c r="E48" s="6" t="s">
        <v>60</v>
      </c>
      <c r="F48" s="6" t="s">
        <v>61</v>
      </c>
      <c r="G48" s="5" t="s">
        <v>153</v>
      </c>
      <c r="H48" s="6" t="s">
        <v>73</v>
      </c>
      <c r="I48" s="6"/>
      <c r="J48" s="6" t="str">
        <f>IF(OR(I48="Sí",H48="Alta",AND(Parámetros!$B$4&lt;&gt;"Alta",H48="Media"),AND(Parámetros!$B$4="Baja",H48="Baja")),"Sí","")</f>
        <v/>
      </c>
      <c r="K48" s="6"/>
      <c r="L48" s="6"/>
      <c r="M48" s="6"/>
      <c r="N48" s="6"/>
      <c r="O48" s="6"/>
      <c r="P48" s="6">
        <f t="shared" si="0"/>
        <v>0</v>
      </c>
      <c r="Q48" s="5" t="str">
        <f t="shared" si="1"/>
        <v/>
      </c>
      <c r="R48" s="5" t="s">
        <v>154</v>
      </c>
      <c r="S48" s="5" t="s">
        <v>155</v>
      </c>
      <c r="T48" s="5"/>
    </row>
    <row r="49" spans="1:20" ht="26.4" x14ac:dyDescent="0.3">
      <c r="A49" s="6">
        <v>637</v>
      </c>
      <c r="B49" s="1" t="s">
        <v>156</v>
      </c>
      <c r="C49" s="5" t="s">
        <v>148</v>
      </c>
      <c r="D49" s="5" t="s">
        <v>157</v>
      </c>
      <c r="E49" s="6" t="s">
        <v>60</v>
      </c>
      <c r="F49" s="6" t="s">
        <v>76</v>
      </c>
      <c r="G49" s="5"/>
      <c r="H49" s="6" t="s">
        <v>57</v>
      </c>
      <c r="I49" s="6"/>
      <c r="J49" s="6" t="str">
        <f>IF(OR(I49="Sí",H49="Alta",AND(Parámetros!$B$4&lt;&gt;"Alta",H49="Media"),AND(Parámetros!$B$4="Baja",H49="Baja")),"Sí","")</f>
        <v/>
      </c>
      <c r="K49" s="6"/>
      <c r="L49" s="6"/>
      <c r="M49" s="6"/>
      <c r="N49" s="6"/>
      <c r="O49" s="6"/>
      <c r="P49" s="6">
        <f t="shared" si="0"/>
        <v>0</v>
      </c>
      <c r="Q49" s="5" t="str">
        <f t="shared" si="1"/>
        <v/>
      </c>
      <c r="R49" s="5"/>
      <c r="S49" s="5"/>
      <c r="T49" s="5"/>
    </row>
    <row r="50" spans="1:20" ht="26.4" x14ac:dyDescent="0.3">
      <c r="A50" s="6">
        <v>638</v>
      </c>
      <c r="B50" s="1" t="s">
        <v>158</v>
      </c>
      <c r="C50" s="5" t="s">
        <v>148</v>
      </c>
      <c r="D50" s="5" t="s">
        <v>157</v>
      </c>
      <c r="E50" s="6" t="s">
        <v>60</v>
      </c>
      <c r="F50" s="6" t="s">
        <v>76</v>
      </c>
      <c r="G50" s="5"/>
      <c r="H50" s="6" t="s">
        <v>57</v>
      </c>
      <c r="I50" s="6"/>
      <c r="J50" s="6" t="str">
        <f>IF(OR(I50="Sí",H50="Alta",AND(Parámetros!$B$4&lt;&gt;"Alta",H50="Media"),AND(Parámetros!$B$4="Baja",H50="Baja")),"Sí","")</f>
        <v/>
      </c>
      <c r="K50" s="6"/>
      <c r="L50" s="6"/>
      <c r="M50" s="6"/>
      <c r="N50" s="6"/>
      <c r="O50" s="6"/>
      <c r="P50" s="6">
        <f t="shared" si="0"/>
        <v>0</v>
      </c>
      <c r="Q50" s="5" t="str">
        <f t="shared" si="1"/>
        <v/>
      </c>
      <c r="R50" s="5"/>
      <c r="S50" s="5"/>
      <c r="T50" s="5"/>
    </row>
    <row r="51" spans="1:20" ht="26.4" x14ac:dyDescent="0.3">
      <c r="A51" s="6">
        <v>639</v>
      </c>
      <c r="B51" s="1" t="s">
        <v>159</v>
      </c>
      <c r="C51" s="5" t="s">
        <v>148</v>
      </c>
      <c r="D51" s="5" t="s">
        <v>151</v>
      </c>
      <c r="E51" s="6" t="s">
        <v>60</v>
      </c>
      <c r="F51" s="6" t="s">
        <v>56</v>
      </c>
      <c r="G51" s="5"/>
      <c r="H51" s="6" t="s">
        <v>57</v>
      </c>
      <c r="I51" s="6"/>
      <c r="J51" s="6" t="str">
        <f>IF(OR(I51="Sí",H51="Alta",AND(Parámetros!$B$4&lt;&gt;"Alta",H51="Media"),AND(Parámetros!$B$4="Baja",H51="Baja")),"Sí","")</f>
        <v/>
      </c>
      <c r="K51" s="6"/>
      <c r="L51" s="6"/>
      <c r="M51" s="6"/>
      <c r="N51" s="6"/>
      <c r="O51" s="6"/>
      <c r="P51" s="6">
        <f t="shared" si="0"/>
        <v>0</v>
      </c>
      <c r="Q51" s="5" t="str">
        <f t="shared" si="1"/>
        <v/>
      </c>
      <c r="R51" s="5" t="s">
        <v>98</v>
      </c>
      <c r="S51" s="5"/>
      <c r="T51" s="5"/>
    </row>
    <row r="52" spans="1:20" ht="26.4" x14ac:dyDescent="0.3">
      <c r="A52" s="6">
        <v>640</v>
      </c>
      <c r="B52" s="1" t="s">
        <v>160</v>
      </c>
      <c r="C52" s="5" t="s">
        <v>148</v>
      </c>
      <c r="D52" s="5" t="s">
        <v>161</v>
      </c>
      <c r="E52" s="6" t="s">
        <v>60</v>
      </c>
      <c r="F52" s="6" t="s">
        <v>56</v>
      </c>
      <c r="G52" s="5"/>
      <c r="H52" s="6" t="s">
        <v>57</v>
      </c>
      <c r="I52" s="6"/>
      <c r="J52" s="6" t="str">
        <f>IF(OR(I52="Sí",H52="Alta",AND(Parámetros!$B$4&lt;&gt;"Alta",H52="Media"),AND(Parámetros!$B$4="Baja",H52="Baja")),"Sí","")</f>
        <v/>
      </c>
      <c r="K52" s="6"/>
      <c r="L52" s="6"/>
      <c r="M52" s="6"/>
      <c r="N52" s="6"/>
      <c r="O52" s="6"/>
      <c r="P52" s="6">
        <f t="shared" si="0"/>
        <v>0</v>
      </c>
      <c r="Q52" s="5" t="str">
        <f t="shared" si="1"/>
        <v/>
      </c>
      <c r="R52" s="5" t="s">
        <v>131</v>
      </c>
      <c r="S52" s="5"/>
      <c r="T52" s="5"/>
    </row>
    <row r="53" spans="1:20" ht="26.4" x14ac:dyDescent="0.3">
      <c r="A53" s="6">
        <v>641</v>
      </c>
      <c r="B53" s="1" t="s">
        <v>162</v>
      </c>
      <c r="C53" s="5" t="s">
        <v>148</v>
      </c>
      <c r="D53" s="5" t="s">
        <v>161</v>
      </c>
      <c r="E53" s="6" t="s">
        <v>60</v>
      </c>
      <c r="F53" s="6" t="s">
        <v>56</v>
      </c>
      <c r="G53" s="5"/>
      <c r="H53" s="6" t="s">
        <v>57</v>
      </c>
      <c r="I53" s="6"/>
      <c r="J53" s="6" t="str">
        <f>IF(OR(I53="Sí",H53="Alta",AND(Parámetros!$B$4&lt;&gt;"Alta",H53="Media"),AND(Parámetros!$B$4="Baja",H53="Baja")),"Sí","")</f>
        <v/>
      </c>
      <c r="K53" s="6"/>
      <c r="L53" s="6"/>
      <c r="M53" s="6"/>
      <c r="N53" s="6"/>
      <c r="O53" s="6"/>
      <c r="P53" s="6">
        <f t="shared" si="0"/>
        <v>0</v>
      </c>
      <c r="Q53" s="5" t="str">
        <f t="shared" si="1"/>
        <v/>
      </c>
      <c r="R53" s="5"/>
      <c r="S53" s="5"/>
      <c r="T53" s="5"/>
    </row>
    <row r="54" spans="1:20" ht="26.4" x14ac:dyDescent="0.3">
      <c r="A54" s="6">
        <v>251</v>
      </c>
      <c r="B54" s="1" t="s">
        <v>163</v>
      </c>
      <c r="C54" s="5" t="s">
        <v>164</v>
      </c>
      <c r="D54" s="5" t="s">
        <v>165</v>
      </c>
      <c r="E54" s="6" t="s">
        <v>60</v>
      </c>
      <c r="F54" s="6" t="s">
        <v>61</v>
      </c>
      <c r="G54" s="5"/>
      <c r="H54" s="6" t="s">
        <v>57</v>
      </c>
      <c r="I54" s="6"/>
      <c r="J54" s="6" t="str">
        <f>IF(OR(I54="Sí",H54="Alta",AND(Parámetros!$B$4&lt;&gt;"Alta",H54="Media"),AND(Parámetros!$B$4="Baja",H54="Baja")),"Sí","")</f>
        <v/>
      </c>
      <c r="K54" s="6"/>
      <c r="L54" s="6"/>
      <c r="M54" s="6"/>
      <c r="N54" s="6"/>
      <c r="O54" s="6"/>
      <c r="P54" s="6">
        <f t="shared" si="0"/>
        <v>0</v>
      </c>
      <c r="Q54" s="5" t="str">
        <f t="shared" si="1"/>
        <v/>
      </c>
      <c r="R54" s="5"/>
      <c r="S54" s="5"/>
      <c r="T54" s="5"/>
    </row>
    <row r="55" spans="1:20" ht="26.4" x14ac:dyDescent="0.3">
      <c r="A55" s="6">
        <v>306</v>
      </c>
      <c r="B55" s="1" t="s">
        <v>166</v>
      </c>
      <c r="C55" s="5" t="s">
        <v>164</v>
      </c>
      <c r="D55" s="5" t="s">
        <v>165</v>
      </c>
      <c r="E55" s="6" t="s">
        <v>60</v>
      </c>
      <c r="F55" s="6" t="s">
        <v>61</v>
      </c>
      <c r="G55" s="5"/>
      <c r="H55" s="6" t="s">
        <v>65</v>
      </c>
      <c r="I55" s="6"/>
      <c r="J55" s="6" t="str">
        <f>IF(OR(I55="Sí",H55="Alta",AND(Parámetros!$B$4&lt;&gt;"Alta",H55="Media"),AND(Parámetros!$B$4="Baja",H55="Baja")),"Sí","")</f>
        <v/>
      </c>
      <c r="K55" s="6"/>
      <c r="L55" s="6"/>
      <c r="M55" s="6"/>
      <c r="N55" s="6"/>
      <c r="O55" s="6"/>
      <c r="P55" s="6">
        <f t="shared" si="0"/>
        <v>0</v>
      </c>
      <c r="Q55" s="5" t="str">
        <f t="shared" si="1"/>
        <v/>
      </c>
      <c r="R55" s="5"/>
      <c r="S55" s="5"/>
      <c r="T55" s="5"/>
    </row>
    <row r="56" spans="1:20" ht="26.4" x14ac:dyDescent="0.3">
      <c r="A56" s="6">
        <v>492</v>
      </c>
      <c r="B56" s="1" t="s">
        <v>167</v>
      </c>
      <c r="C56" s="5" t="s">
        <v>164</v>
      </c>
      <c r="D56" s="5" t="s">
        <v>165</v>
      </c>
      <c r="E56" s="6" t="s">
        <v>55</v>
      </c>
      <c r="F56" s="6" t="s">
        <v>56</v>
      </c>
      <c r="G56" s="5"/>
      <c r="H56" s="6" t="s">
        <v>57</v>
      </c>
      <c r="I56" s="6"/>
      <c r="J56" s="6" t="str">
        <f>IF(OR(I56="Sí",H56="Alta",AND(Parámetros!$B$4&lt;&gt;"Alta",H56="Media"),AND(Parámetros!$B$4="Baja",H56="Baja")),"Sí","")</f>
        <v/>
      </c>
      <c r="K56" s="6"/>
      <c r="L56" s="6"/>
      <c r="M56" s="6"/>
      <c r="N56" s="6"/>
      <c r="O56" s="6"/>
      <c r="P56" s="6">
        <f t="shared" si="0"/>
        <v>0</v>
      </c>
      <c r="Q56" s="5" t="str">
        <f t="shared" si="1"/>
        <v/>
      </c>
      <c r="R56" s="5" t="s">
        <v>58</v>
      </c>
      <c r="S56" s="5"/>
      <c r="T56" s="5"/>
    </row>
    <row r="57" spans="1:20" ht="26.4" x14ac:dyDescent="0.3">
      <c r="A57" s="6">
        <v>607</v>
      </c>
      <c r="B57" s="1" t="s">
        <v>168</v>
      </c>
      <c r="C57" s="5" t="s">
        <v>164</v>
      </c>
      <c r="D57" s="5" t="s">
        <v>165</v>
      </c>
      <c r="E57" s="6" t="s">
        <v>60</v>
      </c>
      <c r="F57" s="6" t="s">
        <v>56</v>
      </c>
      <c r="G57" s="5"/>
      <c r="H57" s="6" t="s">
        <v>65</v>
      </c>
      <c r="I57" s="6"/>
      <c r="J57" s="6" t="str">
        <f>IF(OR(I57="Sí",H57="Alta",AND(Parámetros!$B$4&lt;&gt;"Alta",H57="Media"),AND(Parámetros!$B$4="Baja",H57="Baja")),"Sí","")</f>
        <v/>
      </c>
      <c r="K57" s="6"/>
      <c r="L57" s="6"/>
      <c r="M57" s="6"/>
      <c r="N57" s="6"/>
      <c r="O57" s="6"/>
      <c r="P57" s="6">
        <f t="shared" si="0"/>
        <v>0</v>
      </c>
      <c r="Q57" s="5" t="str">
        <f t="shared" si="1"/>
        <v/>
      </c>
      <c r="R57" s="5"/>
      <c r="S57" s="5"/>
      <c r="T57" s="5"/>
    </row>
    <row r="58" spans="1:20" ht="26.4" x14ac:dyDescent="0.3">
      <c r="A58" s="6">
        <v>608</v>
      </c>
      <c r="B58" s="1" t="s">
        <v>169</v>
      </c>
      <c r="C58" s="5" t="s">
        <v>164</v>
      </c>
      <c r="D58" s="5" t="s">
        <v>165</v>
      </c>
      <c r="E58" s="6" t="s">
        <v>60</v>
      </c>
      <c r="F58" s="6" t="s">
        <v>61</v>
      </c>
      <c r="G58" s="5"/>
      <c r="H58" s="6" t="s">
        <v>57</v>
      </c>
      <c r="I58" s="6"/>
      <c r="J58" s="6" t="str">
        <f>IF(OR(I58="Sí",H58="Alta",AND(Parámetros!$B$4&lt;&gt;"Alta",H58="Media"),AND(Parámetros!$B$4="Baja",H58="Baja")),"Sí","")</f>
        <v/>
      </c>
      <c r="K58" s="6"/>
      <c r="L58" s="6"/>
      <c r="M58" s="6"/>
      <c r="N58" s="6"/>
      <c r="O58" s="6"/>
      <c r="P58" s="6">
        <f t="shared" si="0"/>
        <v>0</v>
      </c>
      <c r="Q58" s="5" t="str">
        <f t="shared" si="1"/>
        <v/>
      </c>
      <c r="R58" s="5" t="s">
        <v>154</v>
      </c>
      <c r="S58" s="5"/>
      <c r="T58" s="5"/>
    </row>
    <row r="59" spans="1:20" ht="26.4" x14ac:dyDescent="0.3">
      <c r="A59" s="6">
        <v>397</v>
      </c>
      <c r="B59" s="1" t="s">
        <v>170</v>
      </c>
      <c r="C59" s="5" t="s">
        <v>171</v>
      </c>
      <c r="D59" s="5" t="s">
        <v>172</v>
      </c>
      <c r="E59" s="6" t="s">
        <v>60</v>
      </c>
      <c r="F59" s="6" t="s">
        <v>56</v>
      </c>
      <c r="G59" s="5"/>
      <c r="H59" s="6" t="s">
        <v>57</v>
      </c>
      <c r="I59" s="6"/>
      <c r="J59" s="6" t="str">
        <f>IF(OR(I59="Sí",H59="Alta",AND(Parámetros!$B$4&lt;&gt;"Alta",H59="Media"),AND(Parámetros!$B$4="Baja",H59="Baja")),"Sí","")</f>
        <v/>
      </c>
      <c r="K59" s="6"/>
      <c r="L59" s="6"/>
      <c r="M59" s="6"/>
      <c r="N59" s="6"/>
      <c r="O59" s="6"/>
      <c r="P59" s="6">
        <f t="shared" si="0"/>
        <v>0</v>
      </c>
      <c r="Q59" s="5" t="str">
        <f t="shared" si="1"/>
        <v/>
      </c>
      <c r="R59" s="5" t="s">
        <v>154</v>
      </c>
      <c r="S59" s="5"/>
      <c r="T59" s="5"/>
    </row>
    <row r="60" spans="1:20" ht="26.4" x14ac:dyDescent="0.3">
      <c r="A60" s="6">
        <v>453</v>
      </c>
      <c r="B60" s="1" t="s">
        <v>173</v>
      </c>
      <c r="C60" s="5" t="s">
        <v>171</v>
      </c>
      <c r="D60" s="5" t="s">
        <v>174</v>
      </c>
      <c r="E60" s="6" t="s">
        <v>60</v>
      </c>
      <c r="F60" s="6" t="s">
        <v>61</v>
      </c>
      <c r="G60" s="5" t="s">
        <v>72</v>
      </c>
      <c r="H60" s="6" t="s">
        <v>73</v>
      </c>
      <c r="I60" s="6"/>
      <c r="J60" s="6" t="str">
        <f>IF(OR(I60="Sí",H60="Alta",AND(Parámetros!$B$4&lt;&gt;"Alta",H60="Media"),AND(Parámetros!$B$4="Baja",H60="Baja")),"Sí","")</f>
        <v/>
      </c>
      <c r="K60" s="6"/>
      <c r="L60" s="6"/>
      <c r="M60" s="6"/>
      <c r="N60" s="6"/>
      <c r="O60" s="6"/>
      <c r="P60" s="6">
        <f t="shared" si="0"/>
        <v>0</v>
      </c>
      <c r="Q60" s="5" t="str">
        <f t="shared" si="1"/>
        <v/>
      </c>
      <c r="R60" s="5"/>
      <c r="S60" s="5"/>
      <c r="T60" s="5"/>
    </row>
    <row r="61" spans="1:20" ht="26.4" x14ac:dyDescent="0.3">
      <c r="A61" s="6">
        <v>508</v>
      </c>
      <c r="B61" s="1" t="s">
        <v>175</v>
      </c>
      <c r="C61" s="5" t="s">
        <v>171</v>
      </c>
      <c r="D61" s="5" t="s">
        <v>176</v>
      </c>
      <c r="E61" s="6" t="s">
        <v>55</v>
      </c>
      <c r="F61" s="6" t="s">
        <v>56</v>
      </c>
      <c r="G61" s="5"/>
      <c r="H61" s="6" t="s">
        <v>57</v>
      </c>
      <c r="I61" s="6"/>
      <c r="J61" s="6" t="str">
        <f>IF(OR(I61="Sí",H61="Alta",AND(Parámetros!$B$4&lt;&gt;"Alta",H61="Media"),AND(Parámetros!$B$4="Baja",H61="Baja")),"Sí","")</f>
        <v/>
      </c>
      <c r="K61" s="6"/>
      <c r="L61" s="6"/>
      <c r="M61" s="6"/>
      <c r="N61" s="6"/>
      <c r="O61" s="6"/>
      <c r="P61" s="6">
        <f t="shared" si="0"/>
        <v>0</v>
      </c>
      <c r="Q61" s="5" t="str">
        <f t="shared" si="1"/>
        <v/>
      </c>
      <c r="R61" s="5" t="s">
        <v>58</v>
      </c>
      <c r="S61" s="5"/>
      <c r="T61" s="5"/>
    </row>
    <row r="62" spans="1:20" ht="26.4" x14ac:dyDescent="0.3">
      <c r="A62" s="6">
        <v>612</v>
      </c>
      <c r="B62" s="1" t="s">
        <v>177</v>
      </c>
      <c r="C62" s="5" t="s">
        <v>171</v>
      </c>
      <c r="D62" s="5" t="s">
        <v>176</v>
      </c>
      <c r="E62" s="6" t="s">
        <v>55</v>
      </c>
      <c r="F62" s="6" t="s">
        <v>178</v>
      </c>
      <c r="G62" s="5"/>
      <c r="H62" s="6" t="s">
        <v>57</v>
      </c>
      <c r="I62" s="6"/>
      <c r="J62" s="6" t="str">
        <f>IF(OR(I62="Sí",H62="Alta",AND(Parámetros!$B$4&lt;&gt;"Alta",H62="Media"),AND(Parámetros!$B$4="Baja",H62="Baja")),"Sí","")</f>
        <v/>
      </c>
      <c r="K62" s="6"/>
      <c r="L62" s="6"/>
      <c r="M62" s="6"/>
      <c r="N62" s="6"/>
      <c r="O62" s="6"/>
      <c r="P62" s="6">
        <f t="shared" si="0"/>
        <v>0</v>
      </c>
      <c r="Q62" s="5" t="str">
        <f t="shared" si="1"/>
        <v/>
      </c>
      <c r="R62" s="5" t="s">
        <v>131</v>
      </c>
      <c r="S62" s="5"/>
      <c r="T62" s="5"/>
    </row>
    <row r="63" spans="1:20" ht="26.4" x14ac:dyDescent="0.3">
      <c r="A63" s="6">
        <v>616</v>
      </c>
      <c r="B63" s="1" t="s">
        <v>179</v>
      </c>
      <c r="C63" s="5" t="s">
        <v>171</v>
      </c>
      <c r="D63" s="5" t="s">
        <v>176</v>
      </c>
      <c r="E63" s="6" t="s">
        <v>60</v>
      </c>
      <c r="F63" s="6" t="s">
        <v>56</v>
      </c>
      <c r="G63" s="5" t="s">
        <v>72</v>
      </c>
      <c r="H63" s="6" t="s">
        <v>73</v>
      </c>
      <c r="I63" s="6"/>
      <c r="J63" s="6" t="str">
        <f>IF(OR(I63="Sí",H63="Alta",AND(Parámetros!$B$4&lt;&gt;"Alta",H63="Media"),AND(Parámetros!$B$4="Baja",H63="Baja")),"Sí","")</f>
        <v/>
      </c>
      <c r="K63" s="6"/>
      <c r="L63" s="6"/>
      <c r="M63" s="6"/>
      <c r="N63" s="6"/>
      <c r="O63" s="6"/>
      <c r="P63" s="6">
        <f t="shared" si="0"/>
        <v>0</v>
      </c>
      <c r="Q63" s="5" t="str">
        <f t="shared" si="1"/>
        <v/>
      </c>
      <c r="R63" s="5" t="s">
        <v>154</v>
      </c>
      <c r="S63" s="5"/>
      <c r="T63" s="5"/>
    </row>
    <row r="64" spans="1:20" ht="26.4" x14ac:dyDescent="0.3">
      <c r="A64" s="6">
        <v>617</v>
      </c>
      <c r="B64" s="1" t="s">
        <v>180</v>
      </c>
      <c r="C64" s="5" t="s">
        <v>171</v>
      </c>
      <c r="D64" s="5" t="s">
        <v>176</v>
      </c>
      <c r="E64" s="6" t="s">
        <v>55</v>
      </c>
      <c r="F64" s="6" t="s">
        <v>56</v>
      </c>
      <c r="G64" s="5" t="s">
        <v>72</v>
      </c>
      <c r="H64" s="6" t="s">
        <v>73</v>
      </c>
      <c r="I64" s="6"/>
      <c r="J64" s="6" t="str">
        <f>IF(OR(I64="Sí",H64="Alta",AND(Parámetros!$B$4&lt;&gt;"Alta",H64="Media"),AND(Parámetros!$B$4="Baja",H64="Baja")),"Sí","")</f>
        <v/>
      </c>
      <c r="K64" s="6"/>
      <c r="L64" s="6"/>
      <c r="M64" s="6"/>
      <c r="N64" s="6"/>
      <c r="O64" s="6"/>
      <c r="P64" s="6">
        <f t="shared" si="0"/>
        <v>0</v>
      </c>
      <c r="Q64" s="5" t="str">
        <f t="shared" si="1"/>
        <v/>
      </c>
      <c r="R64" s="5" t="s">
        <v>131</v>
      </c>
      <c r="S64" s="5"/>
      <c r="T64" s="5"/>
    </row>
    <row r="65" spans="1:20" ht="26.4" x14ac:dyDescent="0.3">
      <c r="A65" s="6">
        <v>618</v>
      </c>
      <c r="B65" s="1" t="s">
        <v>181</v>
      </c>
      <c r="C65" s="5" t="s">
        <v>171</v>
      </c>
      <c r="D65" s="5" t="s">
        <v>176</v>
      </c>
      <c r="E65" s="6" t="s">
        <v>71</v>
      </c>
      <c r="F65" s="6" t="s">
        <v>56</v>
      </c>
      <c r="G65" s="5"/>
      <c r="H65" s="6" t="s">
        <v>57</v>
      </c>
      <c r="I65" s="6"/>
      <c r="J65" s="6" t="str">
        <f>IF(OR(I65="Sí",H65="Alta",AND(Parámetros!$B$4&lt;&gt;"Alta",H65="Media"),AND(Parámetros!$B$4="Baja",H65="Baja")),"Sí","")</f>
        <v/>
      </c>
      <c r="K65" s="6"/>
      <c r="L65" s="6"/>
      <c r="M65" s="6"/>
      <c r="N65" s="6"/>
      <c r="O65" s="6"/>
      <c r="P65" s="6">
        <f t="shared" si="0"/>
        <v>0</v>
      </c>
      <c r="Q65" s="5" t="str">
        <f t="shared" si="1"/>
        <v/>
      </c>
      <c r="R65" s="5"/>
      <c r="S65" s="5"/>
      <c r="T65" s="5"/>
    </row>
    <row r="66" spans="1:20" ht="26.4" x14ac:dyDescent="0.3">
      <c r="A66" s="6">
        <v>275</v>
      </c>
      <c r="B66" s="1" t="s">
        <v>182</v>
      </c>
      <c r="C66" s="5" t="s">
        <v>183</v>
      </c>
      <c r="D66" s="5" t="s">
        <v>184</v>
      </c>
      <c r="E66" s="6" t="s">
        <v>55</v>
      </c>
      <c r="F66" s="6" t="s">
        <v>56</v>
      </c>
      <c r="G66" s="5"/>
      <c r="H66" s="6" t="s">
        <v>57</v>
      </c>
      <c r="I66" s="6"/>
      <c r="J66" s="6" t="str">
        <f>IF(OR(I66="Sí",H66="Alta",AND(Parámetros!$B$4&lt;&gt;"Alta",H66="Media"),AND(Parámetros!$B$4="Baja",H66="Baja")),"Sí","")</f>
        <v/>
      </c>
      <c r="K66" s="6"/>
      <c r="L66" s="6"/>
      <c r="M66" s="6"/>
      <c r="N66" s="6"/>
      <c r="O66" s="6"/>
      <c r="P66" s="6">
        <f t="shared" ref="P66:P129" si="2">COUNTIF(J66:O66,"Sí*")</f>
        <v>0</v>
      </c>
      <c r="Q66" s="5" t="str">
        <f t="shared" ref="Q66:Q129" si="3">MID(IF(J66="Sí",", 1","")&amp;IF(LEFT(K66,2)="Sí",", 2","")&amp;IF(LEFT(L66,2)="Sí",", 3","")&amp;IF(M66="Sí",", 4","")&amp;IF(N66="Sí",", 5","")&amp;IF(O66="Sí",", 6",""),3,40)</f>
        <v/>
      </c>
      <c r="R66" s="5" t="s">
        <v>185</v>
      </c>
      <c r="S66" s="5"/>
      <c r="T66" s="5"/>
    </row>
    <row r="67" spans="1:20" ht="26.4" x14ac:dyDescent="0.3">
      <c r="A67" s="6">
        <v>359</v>
      </c>
      <c r="B67" s="1" t="s">
        <v>186</v>
      </c>
      <c r="C67" s="5" t="s">
        <v>183</v>
      </c>
      <c r="D67" s="5" t="s">
        <v>184</v>
      </c>
      <c r="E67" s="6" t="s">
        <v>55</v>
      </c>
      <c r="F67" s="6" t="s">
        <v>56</v>
      </c>
      <c r="G67" s="5"/>
      <c r="H67" s="6" t="s">
        <v>57</v>
      </c>
      <c r="I67" s="6"/>
      <c r="J67" s="6" t="str">
        <f>IF(OR(I67="Sí",H67="Alta",AND(Parámetros!$B$4&lt;&gt;"Alta",H67="Media"),AND(Parámetros!$B$4="Baja",H67="Baja")),"Sí","")</f>
        <v/>
      </c>
      <c r="K67" s="6" t="s">
        <v>83</v>
      </c>
      <c r="L67" s="6" t="s">
        <v>83</v>
      </c>
      <c r="M67" s="6"/>
      <c r="N67" s="6"/>
      <c r="O67" s="6"/>
      <c r="P67" s="6">
        <f t="shared" si="2"/>
        <v>2</v>
      </c>
      <c r="Q67" s="5" t="str">
        <f t="shared" si="3"/>
        <v>2, 3</v>
      </c>
      <c r="R67" s="5" t="s">
        <v>185</v>
      </c>
      <c r="S67" s="5"/>
      <c r="T67" s="5" t="s">
        <v>187</v>
      </c>
    </row>
    <row r="68" spans="1:20" ht="26.4" x14ac:dyDescent="0.3">
      <c r="A68" s="6">
        <v>466</v>
      </c>
      <c r="B68" s="1" t="s">
        <v>188</v>
      </c>
      <c r="C68" s="5" t="s">
        <v>183</v>
      </c>
      <c r="D68" s="5" t="s">
        <v>184</v>
      </c>
      <c r="E68" s="6" t="s">
        <v>60</v>
      </c>
      <c r="F68" s="6" t="s">
        <v>56</v>
      </c>
      <c r="G68" s="5"/>
      <c r="H68" s="6" t="s">
        <v>57</v>
      </c>
      <c r="I68" s="6"/>
      <c r="J68" s="6" t="str">
        <f>IF(OR(I68="Sí",H68="Alta",AND(Parámetros!$B$4&lt;&gt;"Alta",H68="Media"),AND(Parámetros!$B$4="Baja",H68="Baja")),"Sí","")</f>
        <v/>
      </c>
      <c r="K68" s="6"/>
      <c r="L68" s="6" t="s">
        <v>83</v>
      </c>
      <c r="M68" s="6"/>
      <c r="N68" s="6"/>
      <c r="O68" s="6"/>
      <c r="P68" s="6">
        <f t="shared" si="2"/>
        <v>1</v>
      </c>
      <c r="Q68" s="5" t="str">
        <f t="shared" si="3"/>
        <v>3</v>
      </c>
      <c r="R68" s="5" t="s">
        <v>185</v>
      </c>
      <c r="S68" s="5"/>
      <c r="T68" s="5"/>
    </row>
    <row r="69" spans="1:20" ht="26.4" x14ac:dyDescent="0.3">
      <c r="A69" s="6">
        <v>467</v>
      </c>
      <c r="B69" s="1" t="s">
        <v>189</v>
      </c>
      <c r="C69" s="5" t="s">
        <v>183</v>
      </c>
      <c r="D69" s="5" t="s">
        <v>184</v>
      </c>
      <c r="E69" s="6" t="s">
        <v>60</v>
      </c>
      <c r="F69" s="6" t="s">
        <v>56</v>
      </c>
      <c r="G69" s="5"/>
      <c r="H69" s="6" t="s">
        <v>57</v>
      </c>
      <c r="I69" s="6"/>
      <c r="J69" s="6" t="str">
        <f>IF(OR(I69="Sí",H69="Alta",AND(Parámetros!$B$4&lt;&gt;"Alta",H69="Media"),AND(Parámetros!$B$4="Baja",H69="Baja")),"Sí","")</f>
        <v/>
      </c>
      <c r="K69" s="6"/>
      <c r="L69" s="6" t="s">
        <v>83</v>
      </c>
      <c r="M69" s="6"/>
      <c r="N69" s="6"/>
      <c r="O69" s="6"/>
      <c r="P69" s="6">
        <f t="shared" si="2"/>
        <v>1</v>
      </c>
      <c r="Q69" s="5" t="str">
        <f t="shared" si="3"/>
        <v>3</v>
      </c>
      <c r="R69" s="5" t="s">
        <v>185</v>
      </c>
      <c r="S69" s="5"/>
      <c r="T69" s="5"/>
    </row>
    <row r="70" spans="1:20" ht="26.4" x14ac:dyDescent="0.3">
      <c r="A70" s="6">
        <v>468</v>
      </c>
      <c r="B70" s="1" t="s">
        <v>190</v>
      </c>
      <c r="C70" s="5" t="s">
        <v>183</v>
      </c>
      <c r="D70" s="5" t="s">
        <v>184</v>
      </c>
      <c r="E70" s="6" t="s">
        <v>60</v>
      </c>
      <c r="F70" s="6" t="s">
        <v>56</v>
      </c>
      <c r="G70" s="5"/>
      <c r="H70" s="6" t="s">
        <v>57</v>
      </c>
      <c r="I70" s="6"/>
      <c r="J70" s="6" t="str">
        <f>IF(OR(I70="Sí",H70="Alta",AND(Parámetros!$B$4&lt;&gt;"Alta",H70="Media"),AND(Parámetros!$B$4="Baja",H70="Baja")),"Sí","")</f>
        <v/>
      </c>
      <c r="K70" s="6"/>
      <c r="L70" s="6" t="s">
        <v>83</v>
      </c>
      <c r="M70" s="6"/>
      <c r="N70" s="6"/>
      <c r="O70" s="6"/>
      <c r="P70" s="6">
        <f t="shared" si="2"/>
        <v>1</v>
      </c>
      <c r="Q70" s="5" t="str">
        <f t="shared" si="3"/>
        <v>3</v>
      </c>
      <c r="R70" s="5" t="s">
        <v>185</v>
      </c>
      <c r="S70" s="5"/>
      <c r="T70" s="5" t="s">
        <v>191</v>
      </c>
    </row>
    <row r="71" spans="1:20" ht="26.4" x14ac:dyDescent="0.3">
      <c r="A71" s="6">
        <v>159</v>
      </c>
      <c r="B71" s="1" t="s">
        <v>192</v>
      </c>
      <c r="C71" s="5" t="s">
        <v>193</v>
      </c>
      <c r="D71" s="5" t="s">
        <v>194</v>
      </c>
      <c r="E71" s="6" t="s">
        <v>55</v>
      </c>
      <c r="F71" s="6" t="s">
        <v>56</v>
      </c>
      <c r="G71" s="5"/>
      <c r="H71" s="6" t="s">
        <v>57</v>
      </c>
      <c r="I71" s="6"/>
      <c r="J71" s="6" t="str">
        <f>IF(OR(I71="Sí",H71="Alta",AND(Parámetros!$B$4&lt;&gt;"Alta",H71="Media"),AND(Parámetros!$B$4="Baja",H71="Baja")),"Sí","")</f>
        <v/>
      </c>
      <c r="K71" s="6"/>
      <c r="L71" s="6"/>
      <c r="M71" s="6"/>
      <c r="N71" s="6"/>
      <c r="O71" s="6"/>
      <c r="P71" s="6">
        <f t="shared" si="2"/>
        <v>0</v>
      </c>
      <c r="Q71" s="5" t="str">
        <f t="shared" si="3"/>
        <v/>
      </c>
      <c r="R71" s="5" t="s">
        <v>58</v>
      </c>
      <c r="S71" s="5"/>
      <c r="T71" s="5"/>
    </row>
    <row r="72" spans="1:20" ht="26.4" x14ac:dyDescent="0.3">
      <c r="A72" s="6">
        <v>255</v>
      </c>
      <c r="B72" s="1" t="s">
        <v>195</v>
      </c>
      <c r="C72" s="5" t="s">
        <v>193</v>
      </c>
      <c r="D72" s="5" t="s">
        <v>194</v>
      </c>
      <c r="E72" s="6" t="s">
        <v>75</v>
      </c>
      <c r="F72" s="6" t="s">
        <v>76</v>
      </c>
      <c r="G72" s="5" t="s">
        <v>196</v>
      </c>
      <c r="H72" s="6" t="s">
        <v>78</v>
      </c>
      <c r="I72" s="6"/>
      <c r="J72" s="6" t="str">
        <f>IF(OR(I72="Sí",H72="Alta",AND(Parámetros!$B$4&lt;&gt;"Alta",H72="Media"),AND(Parámetros!$B$4="Baja",H72="Baja")),"Sí","")</f>
        <v/>
      </c>
      <c r="K72" s="6"/>
      <c r="L72" s="6"/>
      <c r="M72" s="6"/>
      <c r="N72" s="6"/>
      <c r="O72" s="6"/>
      <c r="P72" s="6">
        <f t="shared" si="2"/>
        <v>0</v>
      </c>
      <c r="Q72" s="5" t="str">
        <f t="shared" si="3"/>
        <v/>
      </c>
      <c r="R72" s="5"/>
      <c r="S72" s="5"/>
      <c r="T72" s="5"/>
    </row>
    <row r="73" spans="1:20" ht="26.4" x14ac:dyDescent="0.3">
      <c r="A73" s="6">
        <v>256</v>
      </c>
      <c r="B73" s="1" t="s">
        <v>197</v>
      </c>
      <c r="C73" s="5" t="s">
        <v>193</v>
      </c>
      <c r="D73" s="5" t="s">
        <v>194</v>
      </c>
      <c r="E73" s="6" t="s">
        <v>60</v>
      </c>
      <c r="F73" s="6" t="s">
        <v>56</v>
      </c>
      <c r="G73" s="5" t="s">
        <v>196</v>
      </c>
      <c r="H73" s="6" t="s">
        <v>73</v>
      </c>
      <c r="I73" s="6"/>
      <c r="J73" s="6" t="str">
        <f>IF(OR(I73="Sí",H73="Alta",AND(Parámetros!$B$4&lt;&gt;"Alta",H73="Media"),AND(Parámetros!$B$4="Baja",H73="Baja")),"Sí","")</f>
        <v/>
      </c>
      <c r="K73" s="6"/>
      <c r="L73" s="6"/>
      <c r="M73" s="6"/>
      <c r="N73" s="6"/>
      <c r="O73" s="6"/>
      <c r="P73" s="6">
        <f t="shared" si="2"/>
        <v>0</v>
      </c>
      <c r="Q73" s="5" t="str">
        <f t="shared" si="3"/>
        <v/>
      </c>
      <c r="R73" s="5"/>
      <c r="S73" s="5"/>
      <c r="T73" s="5"/>
    </row>
    <row r="74" spans="1:20" x14ac:dyDescent="0.3">
      <c r="A74" s="6">
        <v>543</v>
      </c>
      <c r="B74" s="1" t="s">
        <v>198</v>
      </c>
      <c r="C74" s="5" t="s">
        <v>193</v>
      </c>
      <c r="D74" s="5" t="s">
        <v>194</v>
      </c>
      <c r="E74" s="6" t="s">
        <v>60</v>
      </c>
      <c r="F74" s="6" t="s">
        <v>56</v>
      </c>
      <c r="G74" s="5"/>
      <c r="H74" s="6" t="s">
        <v>57</v>
      </c>
      <c r="I74" s="6"/>
      <c r="J74" s="6" t="str">
        <f>IF(OR(I74="Sí",H74="Alta",AND(Parámetros!$B$4&lt;&gt;"Alta",H74="Media"),AND(Parámetros!$B$4="Baja",H74="Baja")),"Sí","")</f>
        <v/>
      </c>
      <c r="K74" s="6"/>
      <c r="L74" s="6"/>
      <c r="M74" s="6"/>
      <c r="N74" s="6"/>
      <c r="O74" s="6"/>
      <c r="P74" s="6">
        <f t="shared" si="2"/>
        <v>0</v>
      </c>
      <c r="Q74" s="5" t="str">
        <f t="shared" si="3"/>
        <v/>
      </c>
      <c r="R74" s="5"/>
      <c r="S74" s="5"/>
      <c r="T74" s="5"/>
    </row>
    <row r="75" spans="1:20" x14ac:dyDescent="0.3">
      <c r="A75" s="6">
        <v>595</v>
      </c>
      <c r="B75" s="1" t="s">
        <v>199</v>
      </c>
      <c r="C75" s="5" t="s">
        <v>193</v>
      </c>
      <c r="D75" s="5" t="s">
        <v>194</v>
      </c>
      <c r="E75" s="6" t="s">
        <v>60</v>
      </c>
      <c r="F75" s="6" t="s">
        <v>76</v>
      </c>
      <c r="G75" s="5"/>
      <c r="H75" s="6" t="s">
        <v>57</v>
      </c>
      <c r="I75" s="6"/>
      <c r="J75" s="6" t="str">
        <f>IF(OR(I75="Sí",H75="Alta",AND(Parámetros!$B$4&lt;&gt;"Alta",H75="Media"),AND(Parámetros!$B$4="Baja",H75="Baja")),"Sí","")</f>
        <v/>
      </c>
      <c r="K75" s="6"/>
      <c r="L75" s="6"/>
      <c r="M75" s="6"/>
      <c r="N75" s="6"/>
      <c r="O75" s="6"/>
      <c r="P75" s="6">
        <f t="shared" si="2"/>
        <v>0</v>
      </c>
      <c r="Q75" s="5" t="str">
        <f t="shared" si="3"/>
        <v/>
      </c>
      <c r="R75" s="5"/>
      <c r="S75" s="5"/>
      <c r="T75" s="5"/>
    </row>
    <row r="76" spans="1:20" ht="39.6" x14ac:dyDescent="0.3">
      <c r="A76" s="6">
        <v>398</v>
      </c>
      <c r="B76" s="1" t="s">
        <v>200</v>
      </c>
      <c r="C76" s="5" t="s">
        <v>201</v>
      </c>
      <c r="D76" s="5" t="s">
        <v>202</v>
      </c>
      <c r="E76" s="6" t="s">
        <v>60</v>
      </c>
      <c r="F76" s="6" t="s">
        <v>56</v>
      </c>
      <c r="G76" s="5" t="s">
        <v>203</v>
      </c>
      <c r="H76" s="6" t="s">
        <v>36</v>
      </c>
      <c r="I76" s="6"/>
      <c r="J76" s="6" t="str">
        <f>IF(OR(I76="Sí",H76="Alta",AND(Parámetros!$B$4&lt;&gt;"Alta",H76="Media"),AND(Parámetros!$B$4="Baja",H76="Baja")),"Sí","")</f>
        <v>Sí</v>
      </c>
      <c r="K76" s="6"/>
      <c r="L76" s="6"/>
      <c r="M76" s="6"/>
      <c r="N76" s="6"/>
      <c r="O76" s="6"/>
      <c r="P76" s="6">
        <f t="shared" si="2"/>
        <v>1</v>
      </c>
      <c r="Q76" s="5" t="str">
        <f t="shared" si="3"/>
        <v>1</v>
      </c>
      <c r="R76" s="5"/>
      <c r="S76" s="5"/>
      <c r="T76" s="5"/>
    </row>
    <row r="77" spans="1:20" ht="26.4" x14ac:dyDescent="0.3">
      <c r="A77" s="6">
        <v>399</v>
      </c>
      <c r="B77" s="1" t="s">
        <v>204</v>
      </c>
      <c r="C77" s="5" t="s">
        <v>201</v>
      </c>
      <c r="D77" s="5" t="s">
        <v>202</v>
      </c>
      <c r="E77" s="6" t="s">
        <v>60</v>
      </c>
      <c r="F77" s="6" t="s">
        <v>56</v>
      </c>
      <c r="G77" s="5" t="s">
        <v>205</v>
      </c>
      <c r="H77" s="6" t="s">
        <v>78</v>
      </c>
      <c r="I77" s="6"/>
      <c r="J77" s="6" t="str">
        <f>IF(OR(I77="Sí",H77="Alta",AND(Parámetros!$B$4&lt;&gt;"Alta",H77="Media"),AND(Parámetros!$B$4="Baja",H77="Baja")),"Sí","")</f>
        <v/>
      </c>
      <c r="K77" s="6"/>
      <c r="L77" s="6"/>
      <c r="M77" s="6"/>
      <c r="N77" s="6"/>
      <c r="O77" s="6"/>
      <c r="P77" s="6">
        <f t="shared" si="2"/>
        <v>0</v>
      </c>
      <c r="Q77" s="5" t="str">
        <f t="shared" si="3"/>
        <v/>
      </c>
      <c r="R77" s="5"/>
      <c r="S77" s="5"/>
      <c r="T77" s="5"/>
    </row>
    <row r="78" spans="1:20" ht="26.4" x14ac:dyDescent="0.3">
      <c r="A78" s="6">
        <v>550</v>
      </c>
      <c r="B78" s="1" t="s">
        <v>206</v>
      </c>
      <c r="C78" s="5" t="s">
        <v>201</v>
      </c>
      <c r="D78" s="5" t="s">
        <v>202</v>
      </c>
      <c r="E78" s="6" t="s">
        <v>55</v>
      </c>
      <c r="F78" s="6" t="s">
        <v>56</v>
      </c>
      <c r="G78" s="5"/>
      <c r="H78" s="6" t="s">
        <v>57</v>
      </c>
      <c r="I78" s="6"/>
      <c r="J78" s="6" t="str">
        <f>IF(OR(I78="Sí",H78="Alta",AND(Parámetros!$B$4&lt;&gt;"Alta",H78="Media"),AND(Parámetros!$B$4="Baja",H78="Baja")),"Sí","")</f>
        <v/>
      </c>
      <c r="K78" s="6"/>
      <c r="L78" s="6"/>
      <c r="M78" s="6"/>
      <c r="N78" s="6"/>
      <c r="O78" s="6"/>
      <c r="P78" s="6">
        <f t="shared" si="2"/>
        <v>0</v>
      </c>
      <c r="Q78" s="5" t="str">
        <f t="shared" si="3"/>
        <v/>
      </c>
      <c r="R78" s="5" t="s">
        <v>58</v>
      </c>
      <c r="S78" s="5"/>
      <c r="T78" s="5"/>
    </row>
    <row r="79" spans="1:20" ht="26.4" x14ac:dyDescent="0.3">
      <c r="A79" s="6">
        <v>551</v>
      </c>
      <c r="B79" s="1" t="s">
        <v>207</v>
      </c>
      <c r="C79" s="5" t="s">
        <v>201</v>
      </c>
      <c r="D79" s="5" t="s">
        <v>202</v>
      </c>
      <c r="E79" s="6" t="s">
        <v>60</v>
      </c>
      <c r="F79" s="6" t="s">
        <v>56</v>
      </c>
      <c r="G79" s="5"/>
      <c r="H79" s="6" t="s">
        <v>57</v>
      </c>
      <c r="I79" s="6"/>
      <c r="J79" s="6" t="str">
        <f>IF(OR(I79="Sí",H79="Alta",AND(Parámetros!$B$4&lt;&gt;"Alta",H79="Media"),AND(Parámetros!$B$4="Baja",H79="Baja")),"Sí","")</f>
        <v/>
      </c>
      <c r="K79" s="6"/>
      <c r="L79" s="6"/>
      <c r="M79" s="6"/>
      <c r="N79" s="6"/>
      <c r="O79" s="6"/>
      <c r="P79" s="6">
        <f t="shared" si="2"/>
        <v>0</v>
      </c>
      <c r="Q79" s="5" t="str">
        <f t="shared" si="3"/>
        <v/>
      </c>
      <c r="R79" s="5"/>
      <c r="S79" s="5"/>
      <c r="T79" s="5"/>
    </row>
    <row r="80" spans="1:20" ht="39.6" x14ac:dyDescent="0.3">
      <c r="A80" s="6">
        <v>586</v>
      </c>
      <c r="B80" s="1" t="s">
        <v>208</v>
      </c>
      <c r="C80" s="5" t="s">
        <v>201</v>
      </c>
      <c r="D80" s="5" t="s">
        <v>202</v>
      </c>
      <c r="E80" s="6" t="s">
        <v>55</v>
      </c>
      <c r="F80" s="6" t="s">
        <v>56</v>
      </c>
      <c r="G80" s="5" t="s">
        <v>209</v>
      </c>
      <c r="H80" s="6" t="s">
        <v>36</v>
      </c>
      <c r="I80" s="6"/>
      <c r="J80" s="6" t="str">
        <f>IF(OR(I80="Sí",H80="Alta",AND(Parámetros!$B$4&lt;&gt;"Alta",H80="Media"),AND(Parámetros!$B$4="Baja",H80="Baja")),"Sí","")</f>
        <v>Sí</v>
      </c>
      <c r="K80" s="6"/>
      <c r="L80" s="6"/>
      <c r="M80" s="6"/>
      <c r="N80" s="6"/>
      <c r="O80" s="6"/>
      <c r="P80" s="6">
        <f t="shared" si="2"/>
        <v>1</v>
      </c>
      <c r="Q80" s="5" t="str">
        <f t="shared" si="3"/>
        <v>1</v>
      </c>
      <c r="R80" s="5"/>
      <c r="S80" s="5"/>
      <c r="T80" s="5"/>
    </row>
    <row r="81" spans="1:20" ht="26.4" x14ac:dyDescent="0.3">
      <c r="A81" s="6">
        <v>560</v>
      </c>
      <c r="B81" s="1" t="s">
        <v>210</v>
      </c>
      <c r="C81" s="5" t="s">
        <v>211</v>
      </c>
      <c r="D81" s="5" t="s">
        <v>212</v>
      </c>
      <c r="E81" s="6" t="s">
        <v>55</v>
      </c>
      <c r="F81" s="6" t="s">
        <v>56</v>
      </c>
      <c r="G81" s="5"/>
      <c r="H81" s="6" t="s">
        <v>57</v>
      </c>
      <c r="I81" s="6"/>
      <c r="J81" s="6" t="str">
        <f>IF(OR(I81="Sí",H81="Alta",AND(Parámetros!$B$4&lt;&gt;"Alta",H81="Media"),AND(Parámetros!$B$4="Baja",H81="Baja")),"Sí","")</f>
        <v/>
      </c>
      <c r="K81" s="6"/>
      <c r="L81" s="6"/>
      <c r="M81" s="6"/>
      <c r="N81" s="6"/>
      <c r="O81" s="6"/>
      <c r="P81" s="6">
        <f t="shared" si="2"/>
        <v>0</v>
      </c>
      <c r="Q81" s="5" t="str">
        <f t="shared" si="3"/>
        <v/>
      </c>
      <c r="R81" s="5" t="s">
        <v>58</v>
      </c>
      <c r="S81" s="5"/>
      <c r="T81" s="5"/>
    </row>
    <row r="82" spans="1:20" ht="26.4" x14ac:dyDescent="0.3">
      <c r="A82" s="6">
        <v>579</v>
      </c>
      <c r="B82" s="1" t="s">
        <v>213</v>
      </c>
      <c r="C82" s="5" t="s">
        <v>211</v>
      </c>
      <c r="D82" s="5" t="s">
        <v>212</v>
      </c>
      <c r="E82" s="6" t="s">
        <v>60</v>
      </c>
      <c r="F82" s="6" t="s">
        <v>61</v>
      </c>
      <c r="G82" s="5"/>
      <c r="H82" s="6" t="s">
        <v>57</v>
      </c>
      <c r="I82" s="6"/>
      <c r="J82" s="6" t="str">
        <f>IF(OR(I82="Sí",H82="Alta",AND(Parámetros!$B$4&lt;&gt;"Alta",H82="Media"),AND(Parámetros!$B$4="Baja",H82="Baja")),"Sí","")</f>
        <v/>
      </c>
      <c r="K82" s="6"/>
      <c r="L82" s="6"/>
      <c r="M82" s="6"/>
      <c r="N82" s="6"/>
      <c r="O82" s="6"/>
      <c r="P82" s="6">
        <f t="shared" si="2"/>
        <v>0</v>
      </c>
      <c r="Q82" s="5" t="str">
        <f t="shared" si="3"/>
        <v/>
      </c>
      <c r="R82" s="5"/>
      <c r="S82" s="5"/>
      <c r="T82" s="5"/>
    </row>
    <row r="83" spans="1:20" ht="26.4" x14ac:dyDescent="0.3">
      <c r="A83" s="6">
        <v>580</v>
      </c>
      <c r="B83" s="1" t="s">
        <v>214</v>
      </c>
      <c r="C83" s="5" t="s">
        <v>211</v>
      </c>
      <c r="D83" s="5" t="s">
        <v>212</v>
      </c>
      <c r="E83" s="6" t="s">
        <v>60</v>
      </c>
      <c r="F83" s="6" t="s">
        <v>61</v>
      </c>
      <c r="G83" s="5"/>
      <c r="H83" s="6" t="s">
        <v>57</v>
      </c>
      <c r="I83" s="6"/>
      <c r="J83" s="6" t="str">
        <f>IF(OR(I83="Sí",H83="Alta",AND(Parámetros!$B$4&lt;&gt;"Alta",H83="Media"),AND(Parámetros!$B$4="Baja",H83="Baja")),"Sí","")</f>
        <v/>
      </c>
      <c r="K83" s="6"/>
      <c r="L83" s="6"/>
      <c r="M83" s="6"/>
      <c r="N83" s="6"/>
      <c r="O83" s="6"/>
      <c r="P83" s="6">
        <f t="shared" si="2"/>
        <v>0</v>
      </c>
      <c r="Q83" s="5" t="str">
        <f t="shared" si="3"/>
        <v/>
      </c>
      <c r="R83" s="5"/>
      <c r="S83" s="5"/>
      <c r="T83" s="5"/>
    </row>
    <row r="84" spans="1:20" ht="39.6" x14ac:dyDescent="0.3">
      <c r="A84" s="6">
        <v>145</v>
      </c>
      <c r="B84" s="1" t="s">
        <v>215</v>
      </c>
      <c r="C84" s="5" t="s">
        <v>216</v>
      </c>
      <c r="D84" s="5" t="s">
        <v>217</v>
      </c>
      <c r="E84" s="6" t="s">
        <v>60</v>
      </c>
      <c r="F84" s="6" t="s">
        <v>56</v>
      </c>
      <c r="G84" s="5" t="s">
        <v>218</v>
      </c>
      <c r="H84" s="6" t="s">
        <v>78</v>
      </c>
      <c r="I84" s="6"/>
      <c r="J84" s="6" t="str">
        <f>IF(OR(I84="Sí",H84="Alta",AND(Parámetros!$B$4&lt;&gt;"Alta",H84="Media"),AND(Parámetros!$B$4="Baja",H84="Baja")),"Sí","")</f>
        <v/>
      </c>
      <c r="K84" s="6"/>
      <c r="L84" s="6"/>
      <c r="M84" s="6"/>
      <c r="N84" s="6"/>
      <c r="O84" s="6"/>
      <c r="P84" s="6">
        <f t="shared" si="2"/>
        <v>0</v>
      </c>
      <c r="Q84" s="5" t="str">
        <f t="shared" si="3"/>
        <v/>
      </c>
      <c r="R84" s="5"/>
      <c r="S84" s="5"/>
      <c r="T84" s="5"/>
    </row>
    <row r="85" spans="1:20" ht="39.6" x14ac:dyDescent="0.3">
      <c r="A85" s="6">
        <v>148</v>
      </c>
      <c r="B85" s="1" t="s">
        <v>219</v>
      </c>
      <c r="C85" s="5" t="s">
        <v>216</v>
      </c>
      <c r="D85" s="5" t="s">
        <v>217</v>
      </c>
      <c r="E85" s="6" t="s">
        <v>60</v>
      </c>
      <c r="F85" s="6" t="s">
        <v>56</v>
      </c>
      <c r="G85" s="5" t="s">
        <v>218</v>
      </c>
      <c r="H85" s="6" t="s">
        <v>78</v>
      </c>
      <c r="I85" s="6"/>
      <c r="J85" s="6" t="str">
        <f>IF(OR(I85="Sí",H85="Alta",AND(Parámetros!$B$4&lt;&gt;"Alta",H85="Media"),AND(Parámetros!$B$4="Baja",H85="Baja")),"Sí","")</f>
        <v/>
      </c>
      <c r="K85" s="6" t="s">
        <v>83</v>
      </c>
      <c r="L85" s="6"/>
      <c r="M85" s="6"/>
      <c r="N85" s="6"/>
      <c r="O85" s="6"/>
      <c r="P85" s="6">
        <f t="shared" si="2"/>
        <v>1</v>
      </c>
      <c r="Q85" s="5" t="str">
        <f t="shared" si="3"/>
        <v>2</v>
      </c>
      <c r="R85" s="5"/>
      <c r="S85" s="5"/>
      <c r="T85" s="5"/>
    </row>
    <row r="86" spans="1:20" ht="39.6" x14ac:dyDescent="0.3">
      <c r="A86" s="6">
        <v>502</v>
      </c>
      <c r="B86" s="1" t="s">
        <v>220</v>
      </c>
      <c r="C86" s="5" t="s">
        <v>216</v>
      </c>
      <c r="D86" s="5" t="s">
        <v>221</v>
      </c>
      <c r="E86" s="6" t="s">
        <v>55</v>
      </c>
      <c r="F86" s="6" t="s">
        <v>56</v>
      </c>
      <c r="G86" s="5"/>
      <c r="H86" s="6" t="s">
        <v>57</v>
      </c>
      <c r="I86" s="6"/>
      <c r="J86" s="6" t="str">
        <f>IF(OR(I86="Sí",H86="Alta",AND(Parámetros!$B$4&lt;&gt;"Alta",H86="Media"),AND(Parámetros!$B$4="Baja",H86="Baja")),"Sí","")</f>
        <v/>
      </c>
      <c r="K86" s="6"/>
      <c r="L86" s="6"/>
      <c r="M86" s="6"/>
      <c r="N86" s="6"/>
      <c r="O86" s="6"/>
      <c r="P86" s="6">
        <f t="shared" si="2"/>
        <v>0</v>
      </c>
      <c r="Q86" s="5" t="str">
        <f t="shared" si="3"/>
        <v/>
      </c>
      <c r="R86" s="5" t="s">
        <v>58</v>
      </c>
      <c r="S86" s="5"/>
      <c r="T86" s="5"/>
    </row>
    <row r="87" spans="1:20" ht="26.4" x14ac:dyDescent="0.3">
      <c r="A87" s="6">
        <v>213</v>
      </c>
      <c r="B87" s="1" t="s">
        <v>222</v>
      </c>
      <c r="C87" s="5" t="s">
        <v>223</v>
      </c>
      <c r="D87" s="5" t="s">
        <v>224</v>
      </c>
      <c r="E87" s="6" t="s">
        <v>60</v>
      </c>
      <c r="F87" s="6" t="s">
        <v>61</v>
      </c>
      <c r="G87" s="5" t="s">
        <v>225</v>
      </c>
      <c r="H87" s="6" t="s">
        <v>78</v>
      </c>
      <c r="I87" s="6"/>
      <c r="J87" s="6" t="str">
        <f>IF(OR(I87="Sí",H87="Alta",AND(Parámetros!$B$4&lt;&gt;"Alta",H87="Media"),AND(Parámetros!$B$4="Baja",H87="Baja")),"Sí","")</f>
        <v/>
      </c>
      <c r="K87" s="6"/>
      <c r="L87" s="6"/>
      <c r="M87" s="6"/>
      <c r="N87" s="6"/>
      <c r="O87" s="6"/>
      <c r="P87" s="6">
        <f t="shared" si="2"/>
        <v>0</v>
      </c>
      <c r="Q87" s="5" t="str">
        <f t="shared" si="3"/>
        <v/>
      </c>
      <c r="R87" s="5"/>
      <c r="S87" s="5" t="s">
        <v>226</v>
      </c>
      <c r="T87" s="5"/>
    </row>
    <row r="88" spans="1:20" ht="39.6" x14ac:dyDescent="0.3">
      <c r="A88" s="6">
        <v>215</v>
      </c>
      <c r="B88" s="1" t="s">
        <v>227</v>
      </c>
      <c r="C88" s="5" t="s">
        <v>223</v>
      </c>
      <c r="D88" s="5" t="s">
        <v>224</v>
      </c>
      <c r="E88" s="6" t="s">
        <v>71</v>
      </c>
      <c r="F88" s="6" t="s">
        <v>56</v>
      </c>
      <c r="G88" s="5" t="s">
        <v>228</v>
      </c>
      <c r="H88" s="6" t="s">
        <v>36</v>
      </c>
      <c r="I88" s="6"/>
      <c r="J88" s="6" t="str">
        <f>IF(OR(I88="Sí",H88="Alta",AND(Parámetros!$B$4&lt;&gt;"Alta",H88="Media"),AND(Parámetros!$B$4="Baja",H88="Baja")),"Sí","")</f>
        <v>Sí</v>
      </c>
      <c r="K88" s="6"/>
      <c r="L88" s="6"/>
      <c r="M88" s="6"/>
      <c r="N88" s="6"/>
      <c r="O88" s="6"/>
      <c r="P88" s="6">
        <f t="shared" si="2"/>
        <v>1</v>
      </c>
      <c r="Q88" s="5" t="str">
        <f t="shared" si="3"/>
        <v>1</v>
      </c>
      <c r="R88" s="5"/>
      <c r="S88" s="5"/>
      <c r="T88" s="5"/>
    </row>
    <row r="89" spans="1:20" ht="39.6" x14ac:dyDescent="0.3">
      <c r="A89" s="6">
        <v>217</v>
      </c>
      <c r="B89" s="1" t="s">
        <v>229</v>
      </c>
      <c r="C89" s="5" t="s">
        <v>223</v>
      </c>
      <c r="D89" s="5" t="s">
        <v>224</v>
      </c>
      <c r="E89" s="6" t="s">
        <v>71</v>
      </c>
      <c r="F89" s="6" t="s">
        <v>230</v>
      </c>
      <c r="G89" s="5" t="s">
        <v>228</v>
      </c>
      <c r="H89" s="6" t="s">
        <v>36</v>
      </c>
      <c r="I89" s="6"/>
      <c r="J89" s="6" t="str">
        <f>IF(OR(I89="Sí",H89="Alta",AND(Parámetros!$B$4&lt;&gt;"Alta",H89="Media"),AND(Parámetros!$B$4="Baja",H89="Baja")),"Sí","")</f>
        <v>Sí</v>
      </c>
      <c r="K89" s="6"/>
      <c r="L89" s="6"/>
      <c r="M89" s="6"/>
      <c r="N89" s="6"/>
      <c r="O89" s="6"/>
      <c r="P89" s="6">
        <f t="shared" si="2"/>
        <v>1</v>
      </c>
      <c r="Q89" s="5" t="str">
        <f t="shared" si="3"/>
        <v>1</v>
      </c>
      <c r="R89" s="5"/>
      <c r="S89" s="5"/>
      <c r="T89" s="5"/>
    </row>
    <row r="90" spans="1:20" ht="39.6" x14ac:dyDescent="0.3">
      <c r="A90" s="6">
        <v>219</v>
      </c>
      <c r="B90" s="1" t="s">
        <v>231</v>
      </c>
      <c r="C90" s="5" t="s">
        <v>223</v>
      </c>
      <c r="D90" s="5" t="s">
        <v>224</v>
      </c>
      <c r="E90" s="6" t="s">
        <v>71</v>
      </c>
      <c r="F90" s="6" t="s">
        <v>56</v>
      </c>
      <c r="G90" s="5" t="s">
        <v>232</v>
      </c>
      <c r="H90" s="6" t="s">
        <v>36</v>
      </c>
      <c r="I90" s="6"/>
      <c r="J90" s="6" t="str">
        <f>IF(OR(I90="Sí",H90="Alta",AND(Parámetros!$B$4&lt;&gt;"Alta",H90="Media"),AND(Parámetros!$B$4="Baja",H90="Baja")),"Sí","")</f>
        <v>Sí</v>
      </c>
      <c r="K90" s="6"/>
      <c r="L90" s="6"/>
      <c r="M90" s="6"/>
      <c r="N90" s="6"/>
      <c r="O90" s="6"/>
      <c r="P90" s="6">
        <f t="shared" si="2"/>
        <v>1</v>
      </c>
      <c r="Q90" s="5" t="str">
        <f t="shared" si="3"/>
        <v>1</v>
      </c>
      <c r="R90" s="5"/>
      <c r="S90" s="5"/>
      <c r="T90" s="5"/>
    </row>
    <row r="91" spans="1:20" ht="39.6" x14ac:dyDescent="0.3">
      <c r="A91" s="6">
        <v>220</v>
      </c>
      <c r="B91" s="1" t="s">
        <v>233</v>
      </c>
      <c r="C91" s="5" t="s">
        <v>223</v>
      </c>
      <c r="D91" s="5" t="s">
        <v>224</v>
      </c>
      <c r="E91" s="6" t="s">
        <v>71</v>
      </c>
      <c r="F91" s="6" t="s">
        <v>56</v>
      </c>
      <c r="G91" s="5" t="s">
        <v>234</v>
      </c>
      <c r="H91" s="6" t="s">
        <v>36</v>
      </c>
      <c r="I91" s="6"/>
      <c r="J91" s="6" t="str">
        <f>IF(OR(I91="Sí",H91="Alta",AND(Parámetros!$B$4&lt;&gt;"Alta",H91="Media"),AND(Parámetros!$B$4="Baja",H91="Baja")),"Sí","")</f>
        <v>Sí</v>
      </c>
      <c r="K91" s="6"/>
      <c r="L91" s="6"/>
      <c r="M91" s="6"/>
      <c r="N91" s="6"/>
      <c r="O91" s="6"/>
      <c r="P91" s="6">
        <f t="shared" si="2"/>
        <v>1</v>
      </c>
      <c r="Q91" s="5" t="str">
        <f t="shared" si="3"/>
        <v>1</v>
      </c>
      <c r="R91" s="5"/>
      <c r="S91" s="5"/>
      <c r="T91" s="5"/>
    </row>
    <row r="92" spans="1:20" ht="26.4" x14ac:dyDescent="0.3">
      <c r="A92" s="6">
        <v>221</v>
      </c>
      <c r="B92" s="1" t="s">
        <v>235</v>
      </c>
      <c r="C92" s="5" t="s">
        <v>223</v>
      </c>
      <c r="D92" s="5" t="s">
        <v>224</v>
      </c>
      <c r="E92" s="6" t="s">
        <v>71</v>
      </c>
      <c r="F92" s="6" t="s">
        <v>76</v>
      </c>
      <c r="G92" s="5" t="s">
        <v>236</v>
      </c>
      <c r="H92" s="6" t="s">
        <v>36</v>
      </c>
      <c r="I92" s="6"/>
      <c r="J92" s="6"/>
      <c r="K92" s="6"/>
      <c r="L92" s="6"/>
      <c r="M92" s="6"/>
      <c r="N92" s="6"/>
      <c r="O92" s="6"/>
      <c r="P92" s="6">
        <f t="shared" si="2"/>
        <v>0</v>
      </c>
      <c r="Q92" s="5" t="str">
        <f t="shared" si="3"/>
        <v/>
      </c>
      <c r="R92" s="5"/>
      <c r="S92" s="5"/>
      <c r="T92" s="5"/>
    </row>
    <row r="93" spans="1:20" ht="26.4" x14ac:dyDescent="0.3">
      <c r="A93" s="6">
        <v>222</v>
      </c>
      <c r="B93" s="1" t="s">
        <v>237</v>
      </c>
      <c r="C93" s="5" t="s">
        <v>223</v>
      </c>
      <c r="D93" s="5" t="s">
        <v>224</v>
      </c>
      <c r="E93" s="6" t="s">
        <v>71</v>
      </c>
      <c r="F93" s="6" t="s">
        <v>76</v>
      </c>
      <c r="G93" s="5" t="s">
        <v>238</v>
      </c>
      <c r="H93" s="6" t="s">
        <v>36</v>
      </c>
      <c r="I93" s="6"/>
      <c r="J93" s="6" t="str">
        <f>IF(OR(I93="Sí",H93="Alta",AND(Parámetros!$B$4&lt;&gt;"Alta",H93="Media"),AND(Parámetros!$B$4="Baja",H93="Baja")),"Sí","")</f>
        <v>Sí</v>
      </c>
      <c r="K93" s="6"/>
      <c r="L93" s="6"/>
      <c r="M93" s="6"/>
      <c r="N93" s="6"/>
      <c r="O93" s="6"/>
      <c r="P93" s="6">
        <f t="shared" si="2"/>
        <v>1</v>
      </c>
      <c r="Q93" s="5" t="str">
        <f t="shared" si="3"/>
        <v>1</v>
      </c>
      <c r="R93" s="5"/>
      <c r="S93" s="5" t="s">
        <v>239</v>
      </c>
      <c r="T93" s="5"/>
    </row>
    <row r="94" spans="1:20" ht="26.4" x14ac:dyDescent="0.3">
      <c r="A94" s="6">
        <v>223</v>
      </c>
      <c r="B94" s="1" t="s">
        <v>240</v>
      </c>
      <c r="C94" s="5" t="s">
        <v>223</v>
      </c>
      <c r="D94" s="5" t="s">
        <v>224</v>
      </c>
      <c r="E94" s="6" t="s">
        <v>60</v>
      </c>
      <c r="F94" s="6" t="s">
        <v>76</v>
      </c>
      <c r="G94" s="5"/>
      <c r="H94" s="6" t="s">
        <v>65</v>
      </c>
      <c r="I94" s="6"/>
      <c r="J94" s="6" t="str">
        <f>IF(OR(I94="Sí",H94="Alta",AND(Parámetros!$B$4&lt;&gt;"Alta",H94="Media"),AND(Parámetros!$B$4="Baja",H94="Baja")),"Sí","")</f>
        <v/>
      </c>
      <c r="K94" s="6"/>
      <c r="L94" s="6"/>
      <c r="M94" s="6"/>
      <c r="N94" s="6"/>
      <c r="O94" s="6"/>
      <c r="P94" s="6">
        <f t="shared" si="2"/>
        <v>0</v>
      </c>
      <c r="Q94" s="5" t="str">
        <f t="shared" si="3"/>
        <v/>
      </c>
      <c r="R94" s="5"/>
      <c r="S94" s="5"/>
      <c r="T94" s="5"/>
    </row>
    <row r="95" spans="1:20" ht="26.4" x14ac:dyDescent="0.3">
      <c r="A95" s="6">
        <v>224</v>
      </c>
      <c r="B95" s="1" t="s">
        <v>241</v>
      </c>
      <c r="C95" s="5" t="s">
        <v>223</v>
      </c>
      <c r="D95" s="5" t="s">
        <v>224</v>
      </c>
      <c r="E95" s="6" t="s">
        <v>71</v>
      </c>
      <c r="F95" s="6" t="s">
        <v>76</v>
      </c>
      <c r="G95" s="5" t="s">
        <v>242</v>
      </c>
      <c r="H95" s="6" t="s">
        <v>73</v>
      </c>
      <c r="I95" s="6"/>
      <c r="J95" s="6" t="str">
        <f>IF(OR(I95="Sí",H95="Alta",AND(Parámetros!$B$4&lt;&gt;"Alta",H95="Media"),AND(Parámetros!$B$4="Baja",H95="Baja")),"Sí","")</f>
        <v/>
      </c>
      <c r="K95" s="6"/>
      <c r="L95" s="6"/>
      <c r="M95" s="6"/>
      <c r="N95" s="6"/>
      <c r="O95" s="6"/>
      <c r="P95" s="6">
        <f t="shared" si="2"/>
        <v>0</v>
      </c>
      <c r="Q95" s="5" t="str">
        <f t="shared" si="3"/>
        <v/>
      </c>
      <c r="R95" s="5"/>
      <c r="S95" s="5" t="s">
        <v>239</v>
      </c>
      <c r="T95" s="5"/>
    </row>
    <row r="96" spans="1:20" ht="39.6" x14ac:dyDescent="0.3">
      <c r="A96" s="6">
        <v>225</v>
      </c>
      <c r="B96" s="1" t="s">
        <v>243</v>
      </c>
      <c r="C96" s="5" t="s">
        <v>223</v>
      </c>
      <c r="D96" s="5" t="s">
        <v>224</v>
      </c>
      <c r="E96" s="6" t="s">
        <v>71</v>
      </c>
      <c r="F96" s="6" t="s">
        <v>230</v>
      </c>
      <c r="G96" s="5" t="s">
        <v>244</v>
      </c>
      <c r="H96" s="6" t="s">
        <v>36</v>
      </c>
      <c r="I96" s="6"/>
      <c r="J96" s="6" t="str">
        <f>IF(OR(I96="Sí",H96="Alta",AND(Parámetros!$B$4&lt;&gt;"Alta",H96="Media"),AND(Parámetros!$B$4="Baja",H96="Baja")),"Sí","")</f>
        <v>Sí</v>
      </c>
      <c r="K96" s="6"/>
      <c r="L96" s="6"/>
      <c r="M96" s="6"/>
      <c r="N96" s="6"/>
      <c r="O96" s="6"/>
      <c r="P96" s="6">
        <f t="shared" si="2"/>
        <v>1</v>
      </c>
      <c r="Q96" s="5" t="str">
        <f t="shared" si="3"/>
        <v>1</v>
      </c>
      <c r="R96" s="5"/>
      <c r="S96" s="5" t="s">
        <v>226</v>
      </c>
      <c r="T96" s="5"/>
    </row>
    <row r="97" spans="1:20" ht="26.4" x14ac:dyDescent="0.3">
      <c r="A97" s="6">
        <v>226</v>
      </c>
      <c r="B97" s="1" t="s">
        <v>245</v>
      </c>
      <c r="C97" s="5" t="s">
        <v>223</v>
      </c>
      <c r="D97" s="5" t="s">
        <v>224</v>
      </c>
      <c r="E97" s="6" t="s">
        <v>71</v>
      </c>
      <c r="F97" s="6" t="s">
        <v>76</v>
      </c>
      <c r="G97" s="5" t="s">
        <v>246</v>
      </c>
      <c r="H97" s="6" t="s">
        <v>36</v>
      </c>
      <c r="I97" s="6"/>
      <c r="J97" s="6" t="str">
        <f>IF(OR(I97="Sí",H97="Alta",AND(Parámetros!$B$4&lt;&gt;"Alta",H97="Media"),AND(Parámetros!$B$4="Baja",H97="Baja")),"Sí","")</f>
        <v>Sí</v>
      </c>
      <c r="K97" s="6"/>
      <c r="L97" s="6"/>
      <c r="M97" s="6"/>
      <c r="N97" s="6"/>
      <c r="O97" s="6"/>
      <c r="P97" s="6">
        <f t="shared" si="2"/>
        <v>1</v>
      </c>
      <c r="Q97" s="5" t="str">
        <f t="shared" si="3"/>
        <v>1</v>
      </c>
      <c r="R97" s="5"/>
      <c r="S97" s="5"/>
      <c r="T97" s="5"/>
    </row>
    <row r="98" spans="1:20" ht="26.4" x14ac:dyDescent="0.3">
      <c r="A98" s="6">
        <v>227</v>
      </c>
      <c r="B98" s="1" t="s">
        <v>247</v>
      </c>
      <c r="C98" s="5" t="s">
        <v>223</v>
      </c>
      <c r="D98" s="5" t="s">
        <v>224</v>
      </c>
      <c r="E98" s="6" t="s">
        <v>71</v>
      </c>
      <c r="F98" s="6" t="s">
        <v>76</v>
      </c>
      <c r="G98" s="5" t="s">
        <v>246</v>
      </c>
      <c r="H98" s="6" t="s">
        <v>36</v>
      </c>
      <c r="I98" s="6"/>
      <c r="J98" s="6"/>
      <c r="K98" s="6"/>
      <c r="L98" s="6"/>
      <c r="M98" s="6"/>
      <c r="N98" s="6"/>
      <c r="O98" s="6"/>
      <c r="P98" s="6">
        <f t="shared" si="2"/>
        <v>0</v>
      </c>
      <c r="Q98" s="5" t="str">
        <f t="shared" si="3"/>
        <v/>
      </c>
      <c r="R98" s="5"/>
      <c r="S98" s="5"/>
      <c r="T98" s="5"/>
    </row>
    <row r="99" spans="1:20" ht="26.4" x14ac:dyDescent="0.3">
      <c r="A99" s="6">
        <v>228</v>
      </c>
      <c r="B99" s="1" t="s">
        <v>248</v>
      </c>
      <c r="C99" s="5" t="s">
        <v>223</v>
      </c>
      <c r="D99" s="5" t="s">
        <v>224</v>
      </c>
      <c r="E99" s="6" t="s">
        <v>60</v>
      </c>
      <c r="F99" s="6" t="s">
        <v>76</v>
      </c>
      <c r="G99" s="5" t="s">
        <v>246</v>
      </c>
      <c r="H99" s="6" t="s">
        <v>36</v>
      </c>
      <c r="I99" s="6"/>
      <c r="J99" s="6"/>
      <c r="K99" s="6"/>
      <c r="L99" s="6"/>
      <c r="M99" s="6"/>
      <c r="N99" s="6"/>
      <c r="O99" s="6"/>
      <c r="P99" s="6">
        <f t="shared" si="2"/>
        <v>0</v>
      </c>
      <c r="Q99" s="5" t="str">
        <f t="shared" si="3"/>
        <v/>
      </c>
      <c r="R99" s="5"/>
      <c r="S99" s="5"/>
      <c r="T99" s="5"/>
    </row>
    <row r="100" spans="1:20" ht="52.8" x14ac:dyDescent="0.3">
      <c r="A100" s="6">
        <v>231</v>
      </c>
      <c r="B100" s="1" t="s">
        <v>249</v>
      </c>
      <c r="C100" s="5" t="s">
        <v>223</v>
      </c>
      <c r="D100" s="5" t="s">
        <v>224</v>
      </c>
      <c r="E100" s="6" t="s">
        <v>60</v>
      </c>
      <c r="F100" s="6" t="s">
        <v>56</v>
      </c>
      <c r="G100" s="5" t="s">
        <v>250</v>
      </c>
      <c r="H100" s="6" t="s">
        <v>36</v>
      </c>
      <c r="I100" s="6"/>
      <c r="J100" s="6" t="str">
        <f>IF(OR(I100="Sí",H100="Alta",AND(Parámetros!$B$4&lt;&gt;"Alta",H100="Media"),AND(Parámetros!$B$4="Baja",H100="Baja")),"Sí","")</f>
        <v>Sí</v>
      </c>
      <c r="K100" s="6"/>
      <c r="L100" s="6"/>
      <c r="M100" s="6"/>
      <c r="N100" s="6"/>
      <c r="O100" s="6"/>
      <c r="P100" s="6">
        <f t="shared" si="2"/>
        <v>1</v>
      </c>
      <c r="Q100" s="5" t="str">
        <f t="shared" si="3"/>
        <v>1</v>
      </c>
      <c r="R100" s="5"/>
      <c r="S100" s="5"/>
      <c r="T100" s="5"/>
    </row>
    <row r="101" spans="1:20" ht="39.6" x14ac:dyDescent="0.3">
      <c r="A101" s="6">
        <v>232</v>
      </c>
      <c r="B101" s="1" t="s">
        <v>251</v>
      </c>
      <c r="C101" s="5" t="s">
        <v>223</v>
      </c>
      <c r="D101" s="5" t="s">
        <v>224</v>
      </c>
      <c r="E101" s="6" t="s">
        <v>60</v>
      </c>
      <c r="F101" s="6" t="s">
        <v>56</v>
      </c>
      <c r="G101" s="5" t="s">
        <v>252</v>
      </c>
      <c r="H101" s="6" t="s">
        <v>78</v>
      </c>
      <c r="I101" s="6"/>
      <c r="J101" s="6" t="str">
        <f>IF(OR(I101="Sí",H101="Alta",AND(Parámetros!$B$4&lt;&gt;"Alta",H101="Media"),AND(Parámetros!$B$4="Baja",H101="Baja")),"Sí","")</f>
        <v/>
      </c>
      <c r="K101" s="6"/>
      <c r="L101" s="6"/>
      <c r="M101" s="6"/>
      <c r="N101" s="6"/>
      <c r="O101" s="6"/>
      <c r="P101" s="6">
        <f t="shared" si="2"/>
        <v>0</v>
      </c>
      <c r="Q101" s="5" t="str">
        <f t="shared" si="3"/>
        <v/>
      </c>
      <c r="R101" s="5"/>
      <c r="S101" s="5"/>
      <c r="T101" s="5"/>
    </row>
    <row r="102" spans="1:20" ht="26.4" x14ac:dyDescent="0.3">
      <c r="A102" s="6">
        <v>233</v>
      </c>
      <c r="B102" s="1" t="s">
        <v>253</v>
      </c>
      <c r="C102" s="5" t="s">
        <v>223</v>
      </c>
      <c r="D102" s="5" t="s">
        <v>224</v>
      </c>
      <c r="E102" s="6" t="s">
        <v>60</v>
      </c>
      <c r="F102" s="6" t="s">
        <v>61</v>
      </c>
      <c r="G102" s="5"/>
      <c r="H102" s="6" t="s">
        <v>65</v>
      </c>
      <c r="I102" s="6"/>
      <c r="J102" s="6" t="str">
        <f>IF(OR(I102="Sí",H102="Alta",AND(Parámetros!$B$4&lt;&gt;"Alta",H102="Media"),AND(Parámetros!$B$4="Baja",H102="Baja")),"Sí","")</f>
        <v/>
      </c>
      <c r="K102" s="6"/>
      <c r="L102" s="6"/>
      <c r="M102" s="6"/>
      <c r="N102" s="6"/>
      <c r="O102" s="6"/>
      <c r="P102" s="6">
        <f t="shared" si="2"/>
        <v>0</v>
      </c>
      <c r="Q102" s="5" t="str">
        <f t="shared" si="3"/>
        <v/>
      </c>
      <c r="R102" s="5"/>
      <c r="S102" s="5"/>
      <c r="T102" s="5"/>
    </row>
    <row r="103" spans="1:20" ht="39.6" x14ac:dyDescent="0.3">
      <c r="A103" s="6">
        <v>234</v>
      </c>
      <c r="B103" s="1" t="s">
        <v>254</v>
      </c>
      <c r="C103" s="5" t="s">
        <v>223</v>
      </c>
      <c r="D103" s="5" t="s">
        <v>224</v>
      </c>
      <c r="E103" s="6" t="s">
        <v>60</v>
      </c>
      <c r="F103" s="6" t="s">
        <v>61</v>
      </c>
      <c r="G103" s="5" t="s">
        <v>252</v>
      </c>
      <c r="H103" s="6" t="s">
        <v>73</v>
      </c>
      <c r="I103" s="6"/>
      <c r="J103" s="6" t="str">
        <f>IF(OR(I103="Sí",H103="Alta",AND(Parámetros!$B$4&lt;&gt;"Alta",H103="Media"),AND(Parámetros!$B$4="Baja",H103="Baja")),"Sí","")</f>
        <v/>
      </c>
      <c r="K103" s="6"/>
      <c r="L103" s="6"/>
      <c r="M103" s="6"/>
      <c r="N103" s="6"/>
      <c r="O103" s="6"/>
      <c r="P103" s="6">
        <f t="shared" si="2"/>
        <v>0</v>
      </c>
      <c r="Q103" s="5" t="str">
        <f t="shared" si="3"/>
        <v/>
      </c>
      <c r="R103" s="5"/>
      <c r="S103" s="5"/>
      <c r="T103" s="5"/>
    </row>
    <row r="104" spans="1:20" ht="26.4" x14ac:dyDescent="0.3">
      <c r="A104" s="6">
        <v>235</v>
      </c>
      <c r="B104" s="1" t="s">
        <v>255</v>
      </c>
      <c r="C104" s="5" t="s">
        <v>223</v>
      </c>
      <c r="D104" s="5" t="s">
        <v>224</v>
      </c>
      <c r="E104" s="6" t="s">
        <v>60</v>
      </c>
      <c r="F104" s="6" t="s">
        <v>76</v>
      </c>
      <c r="G104" s="5" t="s">
        <v>225</v>
      </c>
      <c r="H104" s="6" t="s">
        <v>78</v>
      </c>
      <c r="I104" s="6"/>
      <c r="J104" s="6" t="str">
        <f>IF(OR(I104="Sí",H104="Alta",AND(Parámetros!$B$4&lt;&gt;"Alta",H104="Media"),AND(Parámetros!$B$4="Baja",H104="Baja")),"Sí","")</f>
        <v/>
      </c>
      <c r="K104" s="6"/>
      <c r="L104" s="6"/>
      <c r="M104" s="6"/>
      <c r="N104" s="6"/>
      <c r="O104" s="6" t="s">
        <v>83</v>
      </c>
      <c r="P104" s="6">
        <f t="shared" si="2"/>
        <v>1</v>
      </c>
      <c r="Q104" s="5" t="str">
        <f t="shared" si="3"/>
        <v>6</v>
      </c>
      <c r="R104" s="5"/>
      <c r="S104" s="5"/>
      <c r="T104" s="5"/>
    </row>
    <row r="105" spans="1:20" ht="52.8" x14ac:dyDescent="0.3">
      <c r="A105" s="6">
        <v>238</v>
      </c>
      <c r="B105" s="1" t="s">
        <v>256</v>
      </c>
      <c r="C105" s="5" t="s">
        <v>223</v>
      </c>
      <c r="D105" s="5" t="s">
        <v>224</v>
      </c>
      <c r="E105" s="6" t="s">
        <v>60</v>
      </c>
      <c r="F105" s="6" t="s">
        <v>61</v>
      </c>
      <c r="G105" s="5" t="s">
        <v>257</v>
      </c>
      <c r="H105" s="6" t="s">
        <v>78</v>
      </c>
      <c r="I105" s="6" t="s">
        <v>83</v>
      </c>
      <c r="J105" s="6"/>
      <c r="K105" s="6"/>
      <c r="L105" s="6"/>
      <c r="M105" s="6" t="s">
        <v>83</v>
      </c>
      <c r="N105" s="6"/>
      <c r="O105" s="6"/>
      <c r="P105" s="6">
        <f t="shared" si="2"/>
        <v>1</v>
      </c>
      <c r="Q105" s="5" t="str">
        <f t="shared" si="3"/>
        <v>4</v>
      </c>
      <c r="R105" s="5"/>
      <c r="S105" s="5"/>
      <c r="T105" s="5" t="s">
        <v>258</v>
      </c>
    </row>
    <row r="106" spans="1:20" ht="92.4" x14ac:dyDescent="0.3">
      <c r="A106" s="6">
        <v>244</v>
      </c>
      <c r="B106" s="1" t="s">
        <v>259</v>
      </c>
      <c r="C106" s="5" t="s">
        <v>223</v>
      </c>
      <c r="D106" s="5" t="s">
        <v>224</v>
      </c>
      <c r="E106" s="6" t="s">
        <v>60</v>
      </c>
      <c r="F106" s="6" t="s">
        <v>76</v>
      </c>
      <c r="G106" s="5" t="s">
        <v>260</v>
      </c>
      <c r="H106" s="6" t="s">
        <v>78</v>
      </c>
      <c r="I106" s="6" t="s">
        <v>83</v>
      </c>
      <c r="J106" s="6" t="str">
        <f>IF(OR(I106="Sí",H106="Alta",AND(Parámetros!$B$4&lt;&gt;"Alta",H106="Media"),AND(Parámetros!$B$4="Baja",H106="Baja")),"Sí","")</f>
        <v>Sí</v>
      </c>
      <c r="K106" s="6"/>
      <c r="L106" s="6"/>
      <c r="M106" s="6"/>
      <c r="N106" s="6"/>
      <c r="O106" s="6"/>
      <c r="P106" s="6">
        <f t="shared" si="2"/>
        <v>1</v>
      </c>
      <c r="Q106" s="5" t="str">
        <f t="shared" si="3"/>
        <v>1</v>
      </c>
      <c r="R106" s="5"/>
      <c r="S106" s="5"/>
      <c r="T106" s="5" t="s">
        <v>261</v>
      </c>
    </row>
    <row r="107" spans="1:20" ht="26.4" x14ac:dyDescent="0.3">
      <c r="A107" s="6">
        <v>427</v>
      </c>
      <c r="B107" s="1" t="s">
        <v>262</v>
      </c>
      <c r="C107" s="5" t="s">
        <v>223</v>
      </c>
      <c r="D107" s="5" t="s">
        <v>224</v>
      </c>
      <c r="E107" s="6" t="s">
        <v>71</v>
      </c>
      <c r="F107" s="6" t="s">
        <v>56</v>
      </c>
      <c r="G107" s="5" t="s">
        <v>238</v>
      </c>
      <c r="H107" s="6" t="s">
        <v>36</v>
      </c>
      <c r="I107" s="6"/>
      <c r="J107" s="6" t="str">
        <f>IF(OR(I107="Sí",H107="Alta",AND(Parámetros!$B$4&lt;&gt;"Alta",H107="Media"),AND(Parámetros!$B$4="Baja",H107="Baja")),"Sí","")</f>
        <v>Sí</v>
      </c>
      <c r="K107" s="6"/>
      <c r="L107" s="6"/>
      <c r="M107" s="6"/>
      <c r="N107" s="6"/>
      <c r="O107" s="6"/>
      <c r="P107" s="6">
        <f t="shared" si="2"/>
        <v>1</v>
      </c>
      <c r="Q107" s="5" t="str">
        <f t="shared" si="3"/>
        <v>1</v>
      </c>
      <c r="R107" s="5"/>
      <c r="S107" s="5"/>
      <c r="T107" s="5"/>
    </row>
    <row r="108" spans="1:20" ht="39.6" x14ac:dyDescent="0.3">
      <c r="A108" s="6">
        <v>428</v>
      </c>
      <c r="B108" s="1" t="s">
        <v>263</v>
      </c>
      <c r="C108" s="5" t="s">
        <v>223</v>
      </c>
      <c r="D108" s="5" t="s">
        <v>224</v>
      </c>
      <c r="E108" s="6" t="s">
        <v>71</v>
      </c>
      <c r="F108" s="6" t="s">
        <v>56</v>
      </c>
      <c r="G108" s="5" t="s">
        <v>232</v>
      </c>
      <c r="H108" s="6" t="s">
        <v>36</v>
      </c>
      <c r="I108" s="6"/>
      <c r="J108" s="6" t="str">
        <f>IF(OR(I108="Sí",H108="Alta",AND(Parámetros!$B$4&lt;&gt;"Alta",H108="Media"),AND(Parámetros!$B$4="Baja",H108="Baja")),"Sí","")</f>
        <v>Sí</v>
      </c>
      <c r="K108" s="6"/>
      <c r="L108" s="6"/>
      <c r="M108" s="6"/>
      <c r="N108" s="6"/>
      <c r="O108" s="6"/>
      <c r="P108" s="6">
        <f t="shared" si="2"/>
        <v>1</v>
      </c>
      <c r="Q108" s="5" t="str">
        <f t="shared" si="3"/>
        <v>1</v>
      </c>
      <c r="R108" s="5"/>
      <c r="S108" s="5"/>
      <c r="T108" s="5"/>
    </row>
    <row r="109" spans="1:20" ht="39.6" x14ac:dyDescent="0.3">
      <c r="A109" s="6">
        <v>429</v>
      </c>
      <c r="B109" s="1" t="s">
        <v>264</v>
      </c>
      <c r="C109" s="5" t="s">
        <v>223</v>
      </c>
      <c r="D109" s="5" t="s">
        <v>224</v>
      </c>
      <c r="E109" s="6" t="s">
        <v>71</v>
      </c>
      <c r="F109" s="6" t="s">
        <v>56</v>
      </c>
      <c r="G109" s="5" t="s">
        <v>228</v>
      </c>
      <c r="H109" s="6" t="s">
        <v>36</v>
      </c>
      <c r="I109" s="6"/>
      <c r="J109" s="6" t="str">
        <f>IF(OR(I109="Sí",H109="Alta",AND(Parámetros!$B$4&lt;&gt;"Alta",H109="Media"),AND(Parámetros!$B$4="Baja",H109="Baja")),"Sí","")</f>
        <v>Sí</v>
      </c>
      <c r="K109" s="6"/>
      <c r="L109" s="6"/>
      <c r="M109" s="6"/>
      <c r="N109" s="6"/>
      <c r="O109" s="6"/>
      <c r="P109" s="6">
        <f t="shared" si="2"/>
        <v>1</v>
      </c>
      <c r="Q109" s="5" t="str">
        <f t="shared" si="3"/>
        <v>1</v>
      </c>
      <c r="R109" s="5"/>
      <c r="S109" s="5"/>
      <c r="T109" s="5"/>
    </row>
    <row r="110" spans="1:20" ht="39.6" x14ac:dyDescent="0.3">
      <c r="A110" s="6">
        <v>433</v>
      </c>
      <c r="B110" s="1" t="s">
        <v>265</v>
      </c>
      <c r="C110" s="5" t="s">
        <v>223</v>
      </c>
      <c r="D110" s="5" t="s">
        <v>224</v>
      </c>
      <c r="E110" s="6" t="s">
        <v>60</v>
      </c>
      <c r="F110" s="6" t="s">
        <v>56</v>
      </c>
      <c r="G110" s="5" t="s">
        <v>266</v>
      </c>
      <c r="H110" s="6" t="s">
        <v>36</v>
      </c>
      <c r="I110" s="6"/>
      <c r="J110" s="6" t="str">
        <f>IF(OR(I110="Sí",H110="Alta",AND(Parámetros!$B$4&lt;&gt;"Alta",H110="Media"),AND(Parámetros!$B$4="Baja",H110="Baja")),"Sí","")</f>
        <v>Sí</v>
      </c>
      <c r="K110" s="6"/>
      <c r="L110" s="6"/>
      <c r="M110" s="6"/>
      <c r="N110" s="6"/>
      <c r="O110" s="6"/>
      <c r="P110" s="6">
        <f t="shared" si="2"/>
        <v>1</v>
      </c>
      <c r="Q110" s="5" t="str">
        <f t="shared" si="3"/>
        <v>1</v>
      </c>
      <c r="R110" s="5"/>
      <c r="S110" s="5"/>
      <c r="T110" s="5"/>
    </row>
    <row r="111" spans="1:20" ht="39.6" x14ac:dyDescent="0.3">
      <c r="A111" s="6">
        <v>435</v>
      </c>
      <c r="B111" s="1" t="s">
        <v>267</v>
      </c>
      <c r="C111" s="5" t="s">
        <v>223</v>
      </c>
      <c r="D111" s="5" t="s">
        <v>224</v>
      </c>
      <c r="E111" s="6" t="s">
        <v>71</v>
      </c>
      <c r="F111" s="6" t="s">
        <v>56</v>
      </c>
      <c r="G111" s="5" t="s">
        <v>266</v>
      </c>
      <c r="H111" s="6" t="s">
        <v>36</v>
      </c>
      <c r="I111" s="6"/>
      <c r="J111" s="6" t="str">
        <f>IF(OR(I111="Sí",H111="Alta",AND(Parámetros!$B$4&lt;&gt;"Alta",H111="Media"),AND(Parámetros!$B$4="Baja",H111="Baja")),"Sí","")</f>
        <v>Sí</v>
      </c>
      <c r="K111" s="6"/>
      <c r="L111" s="6"/>
      <c r="M111" s="6"/>
      <c r="N111" s="6"/>
      <c r="O111" s="6"/>
      <c r="P111" s="6">
        <f t="shared" si="2"/>
        <v>1</v>
      </c>
      <c r="Q111" s="5" t="str">
        <f t="shared" si="3"/>
        <v>1</v>
      </c>
      <c r="R111" s="5"/>
      <c r="S111" s="5"/>
      <c r="T111" s="5"/>
    </row>
    <row r="112" spans="1:20" ht="39.6" x14ac:dyDescent="0.3">
      <c r="A112" s="6">
        <v>628</v>
      </c>
      <c r="B112" s="1" t="s">
        <v>227</v>
      </c>
      <c r="C112" s="5" t="s">
        <v>223</v>
      </c>
      <c r="D112" s="5" t="s">
        <v>224</v>
      </c>
      <c r="E112" s="6" t="s">
        <v>71</v>
      </c>
      <c r="F112" s="6" t="s">
        <v>56</v>
      </c>
      <c r="G112" s="5" t="s">
        <v>228</v>
      </c>
      <c r="H112" s="6" t="s">
        <v>36</v>
      </c>
      <c r="I112" s="6"/>
      <c r="J112" s="6" t="str">
        <f>IF(OR(I112="Sí",H112="Alta",AND(Parámetros!$B$4&lt;&gt;"Alta",H112="Media"),AND(Parámetros!$B$4="Baja",H112="Baja")),"Sí","")</f>
        <v>Sí</v>
      </c>
      <c r="K112" s="6"/>
      <c r="L112" s="6"/>
      <c r="M112" s="6"/>
      <c r="N112" s="6"/>
      <c r="O112" s="6"/>
      <c r="P112" s="6">
        <f t="shared" si="2"/>
        <v>1</v>
      </c>
      <c r="Q112" s="5" t="str">
        <f t="shared" si="3"/>
        <v>1</v>
      </c>
      <c r="R112" s="5"/>
      <c r="S112" s="5" t="s">
        <v>226</v>
      </c>
      <c r="T112" s="5"/>
    </row>
    <row r="113" spans="1:20" ht="39.6" x14ac:dyDescent="0.3">
      <c r="A113" s="6">
        <v>629</v>
      </c>
      <c r="B113" s="1" t="s">
        <v>231</v>
      </c>
      <c r="C113" s="5" t="s">
        <v>223</v>
      </c>
      <c r="D113" s="5" t="s">
        <v>224</v>
      </c>
      <c r="E113" s="6" t="s">
        <v>71</v>
      </c>
      <c r="F113" s="6" t="s">
        <v>56</v>
      </c>
      <c r="G113" s="5" t="s">
        <v>232</v>
      </c>
      <c r="H113" s="6" t="s">
        <v>36</v>
      </c>
      <c r="I113" s="6"/>
      <c r="J113" s="6" t="str">
        <f>IF(OR(I113="Sí",H113="Alta",AND(Parámetros!$B$4&lt;&gt;"Alta",H113="Media"),AND(Parámetros!$B$4="Baja",H113="Baja")),"Sí","")</f>
        <v>Sí</v>
      </c>
      <c r="K113" s="6"/>
      <c r="L113" s="6"/>
      <c r="M113" s="6"/>
      <c r="N113" s="6"/>
      <c r="O113" s="6"/>
      <c r="P113" s="6">
        <f t="shared" si="2"/>
        <v>1</v>
      </c>
      <c r="Q113" s="5" t="str">
        <f t="shared" si="3"/>
        <v>1</v>
      </c>
      <c r="R113" s="5"/>
      <c r="S113" s="5" t="s">
        <v>226</v>
      </c>
      <c r="T113" s="5"/>
    </row>
    <row r="114" spans="1:20" ht="26.4" x14ac:dyDescent="0.3">
      <c r="A114" s="6">
        <v>642</v>
      </c>
      <c r="B114" s="1" t="s">
        <v>268</v>
      </c>
      <c r="C114" s="5" t="s">
        <v>223</v>
      </c>
      <c r="D114" s="5" t="s">
        <v>224</v>
      </c>
      <c r="E114" s="6" t="s">
        <v>55</v>
      </c>
      <c r="F114" s="6" t="s">
        <v>56</v>
      </c>
      <c r="G114" s="5"/>
      <c r="H114" s="6" t="s">
        <v>57</v>
      </c>
      <c r="I114" s="6"/>
      <c r="J114" s="6" t="str">
        <f>IF(OR(I114="Sí",H114="Alta",AND(Parámetros!$B$4&lt;&gt;"Alta",H114="Media"),AND(Parámetros!$B$4="Baja",H114="Baja")),"Sí","")</f>
        <v/>
      </c>
      <c r="K114" s="6"/>
      <c r="L114" s="6"/>
      <c r="M114" s="6"/>
      <c r="N114" s="6"/>
      <c r="O114" s="6"/>
      <c r="P114" s="6">
        <f t="shared" si="2"/>
        <v>0</v>
      </c>
      <c r="Q114" s="5" t="str">
        <f t="shared" si="3"/>
        <v/>
      </c>
      <c r="R114" s="5" t="s">
        <v>58</v>
      </c>
      <c r="S114" s="5"/>
      <c r="T114" s="5"/>
    </row>
    <row r="115" spans="1:20" ht="39.6" x14ac:dyDescent="0.3">
      <c r="A115" s="6">
        <v>643</v>
      </c>
      <c r="B115" s="1" t="s">
        <v>229</v>
      </c>
      <c r="C115" s="5" t="s">
        <v>223</v>
      </c>
      <c r="D115" s="5" t="s">
        <v>224</v>
      </c>
      <c r="E115" s="6" t="s">
        <v>55</v>
      </c>
      <c r="F115" s="6" t="s">
        <v>56</v>
      </c>
      <c r="G115" s="5" t="s">
        <v>228</v>
      </c>
      <c r="H115" s="6" t="s">
        <v>36</v>
      </c>
      <c r="I115" s="6"/>
      <c r="J115" s="6" t="str">
        <f>IF(OR(I115="Sí",H115="Alta",AND(Parámetros!$B$4&lt;&gt;"Alta",H115="Media"),AND(Parámetros!$B$4="Baja",H115="Baja")),"Sí","")</f>
        <v>Sí</v>
      </c>
      <c r="K115" s="6"/>
      <c r="L115" s="6"/>
      <c r="M115" s="6"/>
      <c r="N115" s="6"/>
      <c r="O115" s="6"/>
      <c r="P115" s="6">
        <f t="shared" si="2"/>
        <v>1</v>
      </c>
      <c r="Q115" s="5" t="str">
        <f t="shared" si="3"/>
        <v>1</v>
      </c>
      <c r="R115" s="5"/>
      <c r="S115" s="5" t="s">
        <v>226</v>
      </c>
      <c r="T115" s="5"/>
    </row>
    <row r="116" spans="1:20" ht="39.6" x14ac:dyDescent="0.3">
      <c r="A116" s="6">
        <v>644</v>
      </c>
      <c r="B116" s="1" t="s">
        <v>233</v>
      </c>
      <c r="C116" s="5" t="s">
        <v>223</v>
      </c>
      <c r="D116" s="5" t="s">
        <v>224</v>
      </c>
      <c r="E116" s="6" t="s">
        <v>55</v>
      </c>
      <c r="F116" s="6" t="s">
        <v>56</v>
      </c>
      <c r="G116" s="5" t="s">
        <v>234</v>
      </c>
      <c r="H116" s="6" t="s">
        <v>36</v>
      </c>
      <c r="I116" s="6"/>
      <c r="J116" s="6" t="str">
        <f>IF(OR(I116="Sí",H116="Alta",AND(Parámetros!$B$4&lt;&gt;"Alta",H116="Media"),AND(Parámetros!$B$4="Baja",H116="Baja")),"Sí","")</f>
        <v>Sí</v>
      </c>
      <c r="K116" s="6"/>
      <c r="L116" s="6"/>
      <c r="M116" s="6"/>
      <c r="N116" s="6"/>
      <c r="O116" s="6"/>
      <c r="P116" s="6">
        <f t="shared" si="2"/>
        <v>1</v>
      </c>
      <c r="Q116" s="5" t="str">
        <f t="shared" si="3"/>
        <v>1</v>
      </c>
      <c r="R116" s="5"/>
      <c r="S116" s="5" t="s">
        <v>226</v>
      </c>
      <c r="T116" s="5"/>
    </row>
    <row r="117" spans="1:20" ht="26.4" x14ac:dyDescent="0.3">
      <c r="A117" s="6">
        <v>645</v>
      </c>
      <c r="B117" s="1" t="s">
        <v>247</v>
      </c>
      <c r="C117" s="5" t="s">
        <v>223</v>
      </c>
      <c r="D117" s="5" t="s">
        <v>224</v>
      </c>
      <c r="E117" s="6" t="s">
        <v>55</v>
      </c>
      <c r="F117" s="6" t="s">
        <v>76</v>
      </c>
      <c r="G117" s="5" t="s">
        <v>246</v>
      </c>
      <c r="H117" s="6" t="s">
        <v>36</v>
      </c>
      <c r="I117" s="6"/>
      <c r="J117" s="6" t="str">
        <f>IF(OR(I117="Sí",H117="Alta",AND(Parámetros!$B$4&lt;&gt;"Alta",H117="Media"),AND(Parámetros!$B$4="Baja",H117="Baja")),"Sí","")</f>
        <v>Sí</v>
      </c>
      <c r="K117" s="6"/>
      <c r="L117" s="6"/>
      <c r="M117" s="6"/>
      <c r="N117" s="6"/>
      <c r="O117" s="6"/>
      <c r="P117" s="6">
        <f t="shared" si="2"/>
        <v>1</v>
      </c>
      <c r="Q117" s="5" t="str">
        <f t="shared" si="3"/>
        <v>1</v>
      </c>
      <c r="R117" s="5"/>
      <c r="S117" s="5" t="s">
        <v>226</v>
      </c>
      <c r="T117" s="5"/>
    </row>
    <row r="118" spans="1:20" ht="26.4" x14ac:dyDescent="0.3">
      <c r="A118" s="6">
        <v>646</v>
      </c>
      <c r="B118" s="1" t="s">
        <v>248</v>
      </c>
      <c r="C118" s="5" t="s">
        <v>223</v>
      </c>
      <c r="D118" s="5" t="s">
        <v>224</v>
      </c>
      <c r="E118" s="6" t="s">
        <v>60</v>
      </c>
      <c r="F118" s="6" t="s">
        <v>76</v>
      </c>
      <c r="G118" s="5" t="s">
        <v>246</v>
      </c>
      <c r="H118" s="6" t="s">
        <v>36</v>
      </c>
      <c r="I118" s="6"/>
      <c r="J118" s="6" t="str">
        <f>IF(OR(I118="Sí",H118="Alta",AND(Parámetros!$B$4&lt;&gt;"Alta",H118="Media"),AND(Parámetros!$B$4="Baja",H118="Baja")),"Sí","")</f>
        <v>Sí</v>
      </c>
      <c r="K118" s="6"/>
      <c r="L118" s="6"/>
      <c r="M118" s="6"/>
      <c r="N118" s="6"/>
      <c r="O118" s="6"/>
      <c r="P118" s="6">
        <f t="shared" si="2"/>
        <v>1</v>
      </c>
      <c r="Q118" s="5" t="str">
        <f t="shared" si="3"/>
        <v>1</v>
      </c>
      <c r="R118" s="5"/>
      <c r="S118" s="5" t="s">
        <v>226</v>
      </c>
      <c r="T118" s="5"/>
    </row>
    <row r="119" spans="1:20" ht="52.8" x14ac:dyDescent="0.3">
      <c r="A119" s="6">
        <v>647</v>
      </c>
      <c r="B119" s="1" t="s">
        <v>269</v>
      </c>
      <c r="C119" s="5" t="s">
        <v>223</v>
      </c>
      <c r="D119" s="5" t="s">
        <v>224</v>
      </c>
      <c r="E119" s="6" t="s">
        <v>60</v>
      </c>
      <c r="F119" s="6" t="s">
        <v>56</v>
      </c>
      <c r="G119" s="5" t="s">
        <v>250</v>
      </c>
      <c r="H119" s="6" t="s">
        <v>36</v>
      </c>
      <c r="I119" s="6"/>
      <c r="J119" s="6" t="str">
        <f>IF(OR(I119="Sí",H119="Alta",AND(Parámetros!$B$4&lt;&gt;"Alta",H119="Media"),AND(Parámetros!$B$4="Baja",H119="Baja")),"Sí","")</f>
        <v>Sí</v>
      </c>
      <c r="K119" s="6"/>
      <c r="L119" s="6"/>
      <c r="M119" s="6"/>
      <c r="N119" s="6"/>
      <c r="O119" s="6"/>
      <c r="P119" s="6">
        <f t="shared" si="2"/>
        <v>1</v>
      </c>
      <c r="Q119" s="5" t="str">
        <f t="shared" si="3"/>
        <v>1</v>
      </c>
      <c r="R119" s="5"/>
      <c r="S119" s="5"/>
      <c r="T119" s="5"/>
    </row>
    <row r="120" spans="1:20" ht="52.8" x14ac:dyDescent="0.3">
      <c r="A120" s="6">
        <v>648</v>
      </c>
      <c r="B120" s="1" t="s">
        <v>270</v>
      </c>
      <c r="C120" s="5" t="s">
        <v>223</v>
      </c>
      <c r="D120" s="5" t="s">
        <v>224</v>
      </c>
      <c r="E120" s="6" t="s">
        <v>60</v>
      </c>
      <c r="F120" s="6" t="s">
        <v>56</v>
      </c>
      <c r="G120" s="5" t="s">
        <v>250</v>
      </c>
      <c r="H120" s="6" t="s">
        <v>36</v>
      </c>
      <c r="I120" s="6"/>
      <c r="J120" s="6" t="str">
        <f>IF(OR(I120="Sí",H120="Alta",AND(Parámetros!$B$4&lt;&gt;"Alta",H120="Media"),AND(Parámetros!$B$4="Baja",H120="Baja")),"Sí","")</f>
        <v>Sí</v>
      </c>
      <c r="K120" s="6"/>
      <c r="L120" s="6"/>
      <c r="M120" s="6"/>
      <c r="N120" s="6"/>
      <c r="O120" s="6"/>
      <c r="P120" s="6">
        <f t="shared" si="2"/>
        <v>1</v>
      </c>
      <c r="Q120" s="5" t="str">
        <f t="shared" si="3"/>
        <v>1</v>
      </c>
      <c r="R120" s="5"/>
      <c r="S120" s="5"/>
      <c r="T120" s="5"/>
    </row>
    <row r="121" spans="1:20" ht="26.4" x14ac:dyDescent="0.3">
      <c r="A121" s="6">
        <v>649</v>
      </c>
      <c r="B121" s="1" t="s">
        <v>262</v>
      </c>
      <c r="C121" s="5" t="s">
        <v>223</v>
      </c>
      <c r="D121" s="5" t="s">
        <v>224</v>
      </c>
      <c r="E121" s="6" t="s">
        <v>71</v>
      </c>
      <c r="F121" s="6" t="s">
        <v>56</v>
      </c>
      <c r="G121" s="5" t="s">
        <v>238</v>
      </c>
      <c r="H121" s="6" t="s">
        <v>36</v>
      </c>
      <c r="I121" s="6"/>
      <c r="J121" s="6" t="str">
        <f>IF(OR(I121="Sí",H121="Alta",AND(Parámetros!$B$4&lt;&gt;"Alta",H121="Media"),AND(Parámetros!$B$4="Baja",H121="Baja")),"Sí","")</f>
        <v>Sí</v>
      </c>
      <c r="K121" s="6"/>
      <c r="L121" s="6"/>
      <c r="M121" s="6"/>
      <c r="N121" s="6"/>
      <c r="O121" s="6"/>
      <c r="P121" s="6">
        <f t="shared" si="2"/>
        <v>1</v>
      </c>
      <c r="Q121" s="5" t="str">
        <f t="shared" si="3"/>
        <v>1</v>
      </c>
      <c r="R121" s="5"/>
      <c r="S121" s="5"/>
      <c r="T121" s="5"/>
    </row>
    <row r="122" spans="1:20" ht="39.6" x14ac:dyDescent="0.3">
      <c r="A122" s="6">
        <v>650</v>
      </c>
      <c r="B122" s="1" t="s">
        <v>263</v>
      </c>
      <c r="C122" s="5" t="s">
        <v>223</v>
      </c>
      <c r="D122" s="5" t="s">
        <v>224</v>
      </c>
      <c r="E122" s="6" t="s">
        <v>60</v>
      </c>
      <c r="F122" s="6" t="s">
        <v>56</v>
      </c>
      <c r="G122" s="5" t="s">
        <v>232</v>
      </c>
      <c r="H122" s="6" t="s">
        <v>36</v>
      </c>
      <c r="I122" s="6"/>
      <c r="J122" s="6" t="str">
        <f>IF(OR(I122="Sí",H122="Alta",AND(Parámetros!$B$4&lt;&gt;"Alta",H122="Media"),AND(Parámetros!$B$4="Baja",H122="Baja")),"Sí","")</f>
        <v>Sí</v>
      </c>
      <c r="K122" s="6"/>
      <c r="L122" s="6"/>
      <c r="M122" s="6"/>
      <c r="N122" s="6"/>
      <c r="O122" s="6"/>
      <c r="P122" s="6">
        <f t="shared" si="2"/>
        <v>1</v>
      </c>
      <c r="Q122" s="5" t="str">
        <f t="shared" si="3"/>
        <v>1</v>
      </c>
      <c r="R122" s="5"/>
      <c r="S122" s="5"/>
      <c r="T122" s="5"/>
    </row>
    <row r="123" spans="1:20" ht="39.6" x14ac:dyDescent="0.3">
      <c r="A123" s="6">
        <v>651</v>
      </c>
      <c r="B123" s="1" t="s">
        <v>264</v>
      </c>
      <c r="C123" s="5" t="s">
        <v>223</v>
      </c>
      <c r="D123" s="5" t="s">
        <v>224</v>
      </c>
      <c r="E123" s="6" t="s">
        <v>71</v>
      </c>
      <c r="F123" s="6" t="s">
        <v>56</v>
      </c>
      <c r="G123" s="5" t="s">
        <v>228</v>
      </c>
      <c r="H123" s="6" t="s">
        <v>36</v>
      </c>
      <c r="I123" s="6"/>
      <c r="J123" s="6" t="str">
        <f>IF(OR(I123="Sí",H123="Alta",AND(Parámetros!$B$4&lt;&gt;"Alta",H123="Media"),AND(Parámetros!$B$4="Baja",H123="Baja")),"Sí","")</f>
        <v>Sí</v>
      </c>
      <c r="K123" s="6"/>
      <c r="L123" s="6"/>
      <c r="M123" s="6"/>
      <c r="N123" s="6"/>
      <c r="O123" s="6"/>
      <c r="P123" s="6">
        <f t="shared" si="2"/>
        <v>1</v>
      </c>
      <c r="Q123" s="5" t="str">
        <f t="shared" si="3"/>
        <v>1</v>
      </c>
      <c r="R123" s="5"/>
      <c r="S123" s="5"/>
      <c r="T123" s="5"/>
    </row>
    <row r="124" spans="1:20" ht="39.6" x14ac:dyDescent="0.3">
      <c r="A124" s="6">
        <v>652</v>
      </c>
      <c r="B124" s="1" t="s">
        <v>265</v>
      </c>
      <c r="C124" s="5" t="s">
        <v>223</v>
      </c>
      <c r="D124" s="5" t="s">
        <v>224</v>
      </c>
      <c r="E124" s="6" t="s">
        <v>71</v>
      </c>
      <c r="F124" s="6" t="s">
        <v>56</v>
      </c>
      <c r="G124" s="5" t="s">
        <v>266</v>
      </c>
      <c r="H124" s="6" t="s">
        <v>36</v>
      </c>
      <c r="I124" s="6"/>
      <c r="J124" s="6" t="str">
        <f>IF(OR(I124="Sí",H124="Alta",AND(Parámetros!$B$4&lt;&gt;"Alta",H124="Media"),AND(Parámetros!$B$4="Baja",H124="Baja")),"Sí","")</f>
        <v>Sí</v>
      </c>
      <c r="K124" s="6"/>
      <c r="L124" s="6"/>
      <c r="M124" s="6"/>
      <c r="N124" s="6"/>
      <c r="O124" s="6"/>
      <c r="P124" s="6">
        <f t="shared" si="2"/>
        <v>1</v>
      </c>
      <c r="Q124" s="5" t="str">
        <f t="shared" si="3"/>
        <v>1</v>
      </c>
      <c r="R124" s="5"/>
      <c r="S124" s="5"/>
      <c r="T124" s="5"/>
    </row>
    <row r="125" spans="1:20" ht="39.6" x14ac:dyDescent="0.3">
      <c r="A125" s="6">
        <v>653</v>
      </c>
      <c r="B125" s="1" t="s">
        <v>267</v>
      </c>
      <c r="C125" s="5" t="s">
        <v>223</v>
      </c>
      <c r="D125" s="5" t="s">
        <v>224</v>
      </c>
      <c r="E125" s="6" t="s">
        <v>71</v>
      </c>
      <c r="F125" s="6" t="s">
        <v>56</v>
      </c>
      <c r="G125" s="5" t="s">
        <v>266</v>
      </c>
      <c r="H125" s="6" t="s">
        <v>36</v>
      </c>
      <c r="I125" s="6"/>
      <c r="J125" s="6" t="str">
        <f>IF(OR(I125="Sí",H125="Alta",AND(Parámetros!$B$4&lt;&gt;"Alta",H125="Media"),AND(Parámetros!$B$4="Baja",H125="Baja")),"Sí","")</f>
        <v>Sí</v>
      </c>
      <c r="K125" s="6"/>
      <c r="L125" s="6"/>
      <c r="M125" s="6"/>
      <c r="N125" s="6"/>
      <c r="O125" s="6"/>
      <c r="P125" s="6">
        <f t="shared" si="2"/>
        <v>1</v>
      </c>
      <c r="Q125" s="5" t="str">
        <f t="shared" si="3"/>
        <v>1</v>
      </c>
      <c r="R125" s="5"/>
      <c r="S125" s="5" t="s">
        <v>226</v>
      </c>
      <c r="T125" s="5"/>
    </row>
    <row r="126" spans="1:20" ht="26.4" x14ac:dyDescent="0.3">
      <c r="A126" s="6">
        <v>654</v>
      </c>
      <c r="B126" s="1" t="s">
        <v>253</v>
      </c>
      <c r="C126" s="5" t="s">
        <v>223</v>
      </c>
      <c r="D126" s="5" t="s">
        <v>224</v>
      </c>
      <c r="E126" s="6" t="s">
        <v>60</v>
      </c>
      <c r="F126" s="6" t="s">
        <v>56</v>
      </c>
      <c r="G126" s="5"/>
      <c r="H126" s="6" t="s">
        <v>65</v>
      </c>
      <c r="I126" s="6"/>
      <c r="J126" s="6" t="str">
        <f>IF(OR(I126="Sí",H126="Alta",AND(Parámetros!$B$4&lt;&gt;"Alta",H126="Media"),AND(Parámetros!$B$4="Baja",H126="Baja")),"Sí","")</f>
        <v/>
      </c>
      <c r="K126" s="6"/>
      <c r="L126" s="6"/>
      <c r="M126" s="6"/>
      <c r="N126" s="6"/>
      <c r="O126" s="6"/>
      <c r="P126" s="6">
        <f t="shared" si="2"/>
        <v>0</v>
      </c>
      <c r="Q126" s="5" t="str">
        <f t="shared" si="3"/>
        <v/>
      </c>
      <c r="R126" s="5"/>
      <c r="S126" s="5"/>
      <c r="T126" s="5"/>
    </row>
    <row r="127" spans="1:20" ht="39.6" x14ac:dyDescent="0.3">
      <c r="A127" s="6">
        <v>655</v>
      </c>
      <c r="B127" s="1" t="s">
        <v>254</v>
      </c>
      <c r="C127" s="5" t="s">
        <v>223</v>
      </c>
      <c r="D127" s="5" t="s">
        <v>224</v>
      </c>
      <c r="E127" s="6" t="s">
        <v>60</v>
      </c>
      <c r="F127" s="6" t="s">
        <v>56</v>
      </c>
      <c r="G127" s="5" t="s">
        <v>252</v>
      </c>
      <c r="H127" s="6" t="s">
        <v>73</v>
      </c>
      <c r="I127" s="6"/>
      <c r="J127" s="6" t="str">
        <f>IF(OR(I127="Sí",H127="Alta",AND(Parámetros!$B$4&lt;&gt;"Alta",H127="Media"),AND(Parámetros!$B$4="Baja",H127="Baja")),"Sí","")</f>
        <v/>
      </c>
      <c r="K127" s="6"/>
      <c r="L127" s="6"/>
      <c r="M127" s="6"/>
      <c r="N127" s="6"/>
      <c r="O127" s="6"/>
      <c r="P127" s="6">
        <f t="shared" si="2"/>
        <v>0</v>
      </c>
      <c r="Q127" s="5" t="str">
        <f t="shared" si="3"/>
        <v/>
      </c>
      <c r="R127" s="5"/>
      <c r="S127" s="5"/>
      <c r="T127" s="5"/>
    </row>
    <row r="128" spans="1:20" ht="26.4" x14ac:dyDescent="0.3">
      <c r="A128" s="6">
        <v>68</v>
      </c>
      <c r="B128" s="1" t="s">
        <v>271</v>
      </c>
      <c r="C128" s="5" t="s">
        <v>272</v>
      </c>
      <c r="D128" s="5" t="s">
        <v>273</v>
      </c>
      <c r="E128" s="6" t="s">
        <v>60</v>
      </c>
      <c r="F128" s="6" t="s">
        <v>56</v>
      </c>
      <c r="G128" s="5"/>
      <c r="H128" s="6" t="s">
        <v>57</v>
      </c>
      <c r="I128" s="6"/>
      <c r="J128" s="6" t="str">
        <f>IF(OR(I128="Sí",H128="Alta",AND(Parámetros!$B$4&lt;&gt;"Alta",H128="Media"),AND(Parámetros!$B$4="Baja",H128="Baja")),"Sí","")</f>
        <v/>
      </c>
      <c r="K128" s="6"/>
      <c r="L128" s="6"/>
      <c r="M128" s="6"/>
      <c r="N128" s="6"/>
      <c r="O128" s="6"/>
      <c r="P128" s="6">
        <f t="shared" si="2"/>
        <v>0</v>
      </c>
      <c r="Q128" s="5" t="str">
        <f t="shared" si="3"/>
        <v/>
      </c>
      <c r="R128" s="5" t="s">
        <v>131</v>
      </c>
      <c r="S128" s="5"/>
      <c r="T128" s="5"/>
    </row>
    <row r="129" spans="1:20" ht="26.4" x14ac:dyDescent="0.3">
      <c r="A129" s="6">
        <v>69</v>
      </c>
      <c r="B129" s="1" t="s">
        <v>274</v>
      </c>
      <c r="C129" s="5" t="s">
        <v>272</v>
      </c>
      <c r="D129" s="5" t="s">
        <v>273</v>
      </c>
      <c r="E129" s="6" t="s">
        <v>60</v>
      </c>
      <c r="F129" s="6" t="s">
        <v>61</v>
      </c>
      <c r="G129" s="5"/>
      <c r="H129" s="6" t="s">
        <v>57</v>
      </c>
      <c r="I129" s="6"/>
      <c r="J129" s="6" t="str">
        <f>IF(OR(I129="Sí",H129="Alta",AND(Parámetros!$B$4&lt;&gt;"Alta",H129="Media"),AND(Parámetros!$B$4="Baja",H129="Baja")),"Sí","")</f>
        <v/>
      </c>
      <c r="K129" s="6"/>
      <c r="L129" s="6"/>
      <c r="M129" s="6"/>
      <c r="N129" s="6"/>
      <c r="O129" s="6"/>
      <c r="P129" s="6">
        <f t="shared" si="2"/>
        <v>0</v>
      </c>
      <c r="Q129" s="5" t="str">
        <f t="shared" si="3"/>
        <v/>
      </c>
      <c r="R129" s="5" t="s">
        <v>154</v>
      </c>
      <c r="S129" s="5"/>
      <c r="T129" s="5"/>
    </row>
    <row r="130" spans="1:20" ht="26.4" x14ac:dyDescent="0.3">
      <c r="A130" s="6">
        <v>111</v>
      </c>
      <c r="B130" s="1" t="s">
        <v>192</v>
      </c>
      <c r="C130" s="5" t="s">
        <v>272</v>
      </c>
      <c r="D130" s="5" t="s">
        <v>273</v>
      </c>
      <c r="E130" s="6" t="s">
        <v>55</v>
      </c>
      <c r="F130" s="6" t="s">
        <v>61</v>
      </c>
      <c r="G130" s="5"/>
      <c r="H130" s="6" t="s">
        <v>57</v>
      </c>
      <c r="I130" s="6"/>
      <c r="J130" s="6" t="str">
        <f>IF(OR(I130="Sí",H130="Alta",AND(Parámetros!$B$4&lt;&gt;"Alta",H130="Media"),AND(Parámetros!$B$4="Baja",H130="Baja")),"Sí","")</f>
        <v/>
      </c>
      <c r="K130" s="6"/>
      <c r="L130" s="6"/>
      <c r="M130" s="6"/>
      <c r="N130" s="6"/>
      <c r="O130" s="6"/>
      <c r="P130" s="6">
        <f t="shared" ref="P130:P193" si="4">COUNTIF(J130:O130,"Sí*")</f>
        <v>0</v>
      </c>
      <c r="Q130" s="5" t="str">
        <f t="shared" ref="Q130:Q193" si="5">MID(IF(J130="Sí",", 1","")&amp;IF(LEFT(K130,2)="Sí",", 2","")&amp;IF(LEFT(L130,2)="Sí",", 3","")&amp;IF(M130="Sí",", 4","")&amp;IF(N130="Sí",", 5","")&amp;IF(O130="Sí",", 6",""),3,40)</f>
        <v/>
      </c>
      <c r="R130" s="5" t="s">
        <v>58</v>
      </c>
      <c r="S130" s="5"/>
      <c r="T130" s="5"/>
    </row>
    <row r="131" spans="1:20" ht="26.4" x14ac:dyDescent="0.3">
      <c r="A131" s="6">
        <v>341</v>
      </c>
      <c r="B131" s="1" t="s">
        <v>275</v>
      </c>
      <c r="C131" s="5" t="s">
        <v>272</v>
      </c>
      <c r="D131" s="5" t="s">
        <v>273</v>
      </c>
      <c r="E131" s="6" t="s">
        <v>71</v>
      </c>
      <c r="F131" s="6" t="s">
        <v>56</v>
      </c>
      <c r="G131" s="5"/>
      <c r="H131" s="6" t="s">
        <v>57</v>
      </c>
      <c r="I131" s="6"/>
      <c r="J131" s="6" t="str">
        <f>IF(OR(I131="Sí",H131="Alta",AND(Parámetros!$B$4&lt;&gt;"Alta",H131="Media"),AND(Parámetros!$B$4="Baja",H131="Baja")),"Sí","")</f>
        <v/>
      </c>
      <c r="K131" s="6"/>
      <c r="L131" s="6"/>
      <c r="M131" s="6"/>
      <c r="N131" s="6"/>
      <c r="O131" s="6"/>
      <c r="P131" s="6">
        <f t="shared" si="4"/>
        <v>0</v>
      </c>
      <c r="Q131" s="5" t="str">
        <f t="shared" si="5"/>
        <v/>
      </c>
      <c r="R131" s="5"/>
      <c r="S131" s="5"/>
      <c r="T131" s="5"/>
    </row>
    <row r="132" spans="1:20" ht="39.6" x14ac:dyDescent="0.3">
      <c r="A132" s="6">
        <v>77</v>
      </c>
      <c r="B132" s="1" t="s">
        <v>276</v>
      </c>
      <c r="C132" s="5" t="s">
        <v>277</v>
      </c>
      <c r="D132" s="5" t="s">
        <v>278</v>
      </c>
      <c r="E132" s="6" t="s">
        <v>55</v>
      </c>
      <c r="F132" s="6" t="s">
        <v>230</v>
      </c>
      <c r="G132" s="5"/>
      <c r="H132" s="6" t="s">
        <v>65</v>
      </c>
      <c r="I132" s="6"/>
      <c r="J132" s="6" t="str">
        <f>IF(OR(I132="Sí",H132="Alta",AND(Parámetros!$B$4&lt;&gt;"Alta",H132="Media"),AND(Parámetros!$B$4="Baja",H132="Baja")),"Sí","")</f>
        <v/>
      </c>
      <c r="K132" s="6"/>
      <c r="L132" s="6" t="s">
        <v>83</v>
      </c>
      <c r="M132" s="6"/>
      <c r="N132" s="6"/>
      <c r="O132" s="6"/>
      <c r="P132" s="6">
        <f t="shared" si="4"/>
        <v>1</v>
      </c>
      <c r="Q132" s="5" t="str">
        <f t="shared" si="5"/>
        <v>3</v>
      </c>
      <c r="R132" s="5" t="s">
        <v>279</v>
      </c>
      <c r="S132" s="5"/>
      <c r="T132" s="5"/>
    </row>
    <row r="133" spans="1:20" ht="39.6" x14ac:dyDescent="0.3">
      <c r="A133" s="6">
        <v>515</v>
      </c>
      <c r="B133" s="1" t="s">
        <v>280</v>
      </c>
      <c r="C133" s="5" t="s">
        <v>277</v>
      </c>
      <c r="D133" s="5" t="s">
        <v>281</v>
      </c>
      <c r="E133" s="6" t="s">
        <v>60</v>
      </c>
      <c r="F133" s="6" t="s">
        <v>56</v>
      </c>
      <c r="G133" s="5"/>
      <c r="H133" s="6" t="s">
        <v>57</v>
      </c>
      <c r="I133" s="6"/>
      <c r="J133" s="6" t="str">
        <f>IF(OR(I133="Sí",H133="Alta",AND(Parámetros!$B$4&lt;&gt;"Alta",H133="Media"),AND(Parámetros!$B$4="Baja",H133="Baja")),"Sí","")</f>
        <v/>
      </c>
      <c r="K133" s="6"/>
      <c r="L133" s="6"/>
      <c r="M133" s="6"/>
      <c r="N133" s="6"/>
      <c r="O133" s="6"/>
      <c r="P133" s="6">
        <f t="shared" si="4"/>
        <v>0</v>
      </c>
      <c r="Q133" s="5" t="str">
        <f t="shared" si="5"/>
        <v/>
      </c>
      <c r="R133" s="5"/>
      <c r="S133" s="5"/>
      <c r="T133" s="5"/>
    </row>
    <row r="134" spans="1:20" ht="39.6" x14ac:dyDescent="0.3">
      <c r="A134" s="6">
        <v>516</v>
      </c>
      <c r="B134" s="1" t="s">
        <v>282</v>
      </c>
      <c r="C134" s="5" t="s">
        <v>277</v>
      </c>
      <c r="D134" s="5" t="s">
        <v>281</v>
      </c>
      <c r="E134" s="6" t="s">
        <v>60</v>
      </c>
      <c r="F134" s="6" t="s">
        <v>56</v>
      </c>
      <c r="G134" s="5"/>
      <c r="H134" s="6" t="s">
        <v>57</v>
      </c>
      <c r="I134" s="6"/>
      <c r="J134" s="6" t="str">
        <f>IF(OR(I134="Sí",H134="Alta",AND(Parámetros!$B$4&lt;&gt;"Alta",H134="Media"),AND(Parámetros!$B$4="Baja",H134="Baja")),"Sí","")</f>
        <v/>
      </c>
      <c r="K134" s="6"/>
      <c r="L134" s="6"/>
      <c r="M134" s="6"/>
      <c r="N134" s="6"/>
      <c r="O134" s="6"/>
      <c r="P134" s="6">
        <f t="shared" si="4"/>
        <v>0</v>
      </c>
      <c r="Q134" s="5" t="str">
        <f t="shared" si="5"/>
        <v/>
      </c>
      <c r="R134" s="5"/>
      <c r="S134" s="5"/>
      <c r="T134" s="5"/>
    </row>
    <row r="135" spans="1:20" ht="39.6" x14ac:dyDescent="0.3">
      <c r="A135" s="6">
        <v>619</v>
      </c>
      <c r="B135" s="1" t="s">
        <v>283</v>
      </c>
      <c r="C135" s="5" t="s">
        <v>277</v>
      </c>
      <c r="D135" s="5" t="s">
        <v>284</v>
      </c>
      <c r="E135" s="6" t="s">
        <v>55</v>
      </c>
      <c r="F135" s="6" t="s">
        <v>56</v>
      </c>
      <c r="G135" s="5"/>
      <c r="H135" s="6" t="s">
        <v>57</v>
      </c>
      <c r="I135" s="6"/>
      <c r="J135" s="6" t="str">
        <f>IF(OR(I135="Sí",H135="Alta",AND(Parámetros!$B$4&lt;&gt;"Alta",H135="Media"),AND(Parámetros!$B$4="Baja",H135="Baja")),"Sí","")</f>
        <v/>
      </c>
      <c r="K135" s="6"/>
      <c r="L135" s="6"/>
      <c r="M135" s="6"/>
      <c r="N135" s="6"/>
      <c r="O135" s="6"/>
      <c r="P135" s="6">
        <f t="shared" si="4"/>
        <v>0</v>
      </c>
      <c r="Q135" s="5" t="str">
        <f t="shared" si="5"/>
        <v/>
      </c>
      <c r="R135" s="5" t="s">
        <v>58</v>
      </c>
      <c r="S135" s="5"/>
      <c r="T135" s="5"/>
    </row>
    <row r="136" spans="1:20" ht="39.6" x14ac:dyDescent="0.3">
      <c r="A136" s="6">
        <v>656</v>
      </c>
      <c r="B136" s="1" t="s">
        <v>285</v>
      </c>
      <c r="C136" s="5" t="s">
        <v>277</v>
      </c>
      <c r="D136" s="5" t="s">
        <v>286</v>
      </c>
      <c r="E136" s="6" t="s">
        <v>60</v>
      </c>
      <c r="F136" s="6" t="s">
        <v>56</v>
      </c>
      <c r="G136" s="5"/>
      <c r="H136" s="6" t="s">
        <v>57</v>
      </c>
      <c r="I136" s="6"/>
      <c r="J136" s="6" t="str">
        <f>IF(OR(I136="Sí",H136="Alta",AND(Parámetros!$B$4&lt;&gt;"Alta",H136="Media"),AND(Parámetros!$B$4="Baja",H136="Baja")),"Sí","")</f>
        <v/>
      </c>
      <c r="K136" s="6"/>
      <c r="L136" s="6"/>
      <c r="M136" s="6"/>
      <c r="N136" s="6"/>
      <c r="O136" s="6"/>
      <c r="P136" s="6">
        <f t="shared" si="4"/>
        <v>0</v>
      </c>
      <c r="Q136" s="5" t="str">
        <f t="shared" si="5"/>
        <v/>
      </c>
      <c r="R136" s="5"/>
      <c r="S136" s="5"/>
      <c r="T136" s="5"/>
    </row>
    <row r="137" spans="1:20" ht="39.6" x14ac:dyDescent="0.3">
      <c r="A137" s="6">
        <v>657</v>
      </c>
      <c r="B137" s="1" t="s">
        <v>287</v>
      </c>
      <c r="C137" s="5" t="s">
        <v>277</v>
      </c>
      <c r="D137" s="5" t="s">
        <v>286</v>
      </c>
      <c r="E137" s="6" t="s">
        <v>60</v>
      </c>
      <c r="F137" s="6" t="s">
        <v>56</v>
      </c>
      <c r="G137" s="5"/>
      <c r="H137" s="6" t="s">
        <v>57</v>
      </c>
      <c r="I137" s="6"/>
      <c r="J137" s="6" t="str">
        <f>IF(OR(I137="Sí",H137="Alta",AND(Parámetros!$B$4&lt;&gt;"Alta",H137="Media"),AND(Parámetros!$B$4="Baja",H137="Baja")),"Sí","")</f>
        <v/>
      </c>
      <c r="K137" s="6"/>
      <c r="L137" s="6"/>
      <c r="M137" s="6"/>
      <c r="N137" s="6"/>
      <c r="O137" s="6"/>
      <c r="P137" s="6">
        <f t="shared" si="4"/>
        <v>0</v>
      </c>
      <c r="Q137" s="5" t="str">
        <f t="shared" si="5"/>
        <v/>
      </c>
      <c r="R137" s="5" t="s">
        <v>131</v>
      </c>
      <c r="S137" s="5"/>
      <c r="T137" s="5"/>
    </row>
    <row r="138" spans="1:20" ht="39.6" x14ac:dyDescent="0.3">
      <c r="A138" s="6">
        <v>658</v>
      </c>
      <c r="B138" s="1" t="s">
        <v>288</v>
      </c>
      <c r="C138" s="5" t="s">
        <v>277</v>
      </c>
      <c r="D138" s="5" t="s">
        <v>284</v>
      </c>
      <c r="E138" s="6" t="s">
        <v>60</v>
      </c>
      <c r="F138" s="6" t="s">
        <v>76</v>
      </c>
      <c r="G138" s="5"/>
      <c r="H138" s="6" t="s">
        <v>57</v>
      </c>
      <c r="I138" s="6"/>
      <c r="J138" s="6" t="str">
        <f>IF(OR(I138="Sí",H138="Alta",AND(Parámetros!$B$4&lt;&gt;"Alta",H138="Media"),AND(Parámetros!$B$4="Baja",H138="Baja")),"Sí","")</f>
        <v/>
      </c>
      <c r="K138" s="6"/>
      <c r="L138" s="6"/>
      <c r="M138" s="6"/>
      <c r="N138" s="6"/>
      <c r="O138" s="6"/>
      <c r="P138" s="6">
        <f t="shared" si="4"/>
        <v>0</v>
      </c>
      <c r="Q138" s="5" t="str">
        <f t="shared" si="5"/>
        <v/>
      </c>
      <c r="R138" s="5"/>
      <c r="S138" s="5"/>
      <c r="T138" s="5"/>
    </row>
    <row r="139" spans="1:20" ht="26.4" x14ac:dyDescent="0.3">
      <c r="A139" s="6">
        <v>437</v>
      </c>
      <c r="B139" s="1" t="s">
        <v>289</v>
      </c>
      <c r="C139" s="5" t="s">
        <v>290</v>
      </c>
      <c r="D139" s="5" t="s">
        <v>291</v>
      </c>
      <c r="E139" s="6" t="s">
        <v>55</v>
      </c>
      <c r="F139" s="6" t="s">
        <v>56</v>
      </c>
      <c r="G139" s="5"/>
      <c r="H139" s="6" t="s">
        <v>57</v>
      </c>
      <c r="I139" s="6"/>
      <c r="J139" s="6" t="str">
        <f>IF(OR(I139="Sí",H139="Alta",AND(Parámetros!$B$4&lt;&gt;"Alta",H139="Media"),AND(Parámetros!$B$4="Baja",H139="Baja")),"Sí","")</f>
        <v/>
      </c>
      <c r="K139" s="6"/>
      <c r="L139" s="6"/>
      <c r="M139" s="6"/>
      <c r="N139" s="6"/>
      <c r="O139" s="6"/>
      <c r="P139" s="6">
        <f t="shared" si="4"/>
        <v>0</v>
      </c>
      <c r="Q139" s="5" t="str">
        <f t="shared" si="5"/>
        <v/>
      </c>
      <c r="R139" s="5" t="s">
        <v>58</v>
      </c>
      <c r="S139" s="5"/>
      <c r="T139" s="5"/>
    </row>
    <row r="140" spans="1:20" ht="26.4" x14ac:dyDescent="0.3">
      <c r="A140" s="6">
        <v>510</v>
      </c>
      <c r="B140" s="1" t="s">
        <v>292</v>
      </c>
      <c r="C140" s="5" t="s">
        <v>290</v>
      </c>
      <c r="D140" s="5" t="s">
        <v>291</v>
      </c>
      <c r="E140" s="6" t="s">
        <v>293</v>
      </c>
      <c r="F140" s="6" t="s">
        <v>61</v>
      </c>
      <c r="G140" s="5"/>
      <c r="H140" s="6" t="s">
        <v>57</v>
      </c>
      <c r="I140" s="6"/>
      <c r="J140" s="6" t="str">
        <f>IF(OR(I140="Sí",H140="Alta",AND(Parámetros!$B$4&lt;&gt;"Alta",H140="Media"),AND(Parámetros!$B$4="Baja",H140="Baja")),"Sí","")</f>
        <v/>
      </c>
      <c r="K140" s="6"/>
      <c r="L140" s="6"/>
      <c r="M140" s="6"/>
      <c r="N140" s="6"/>
      <c r="O140" s="6"/>
      <c r="P140" s="6">
        <f t="shared" si="4"/>
        <v>0</v>
      </c>
      <c r="Q140" s="5" t="str">
        <f t="shared" si="5"/>
        <v/>
      </c>
      <c r="R140" s="5"/>
      <c r="S140" s="5"/>
      <c r="T140" s="5"/>
    </row>
    <row r="141" spans="1:20" x14ac:dyDescent="0.3">
      <c r="A141" s="6">
        <v>511</v>
      </c>
      <c r="B141" s="1" t="s">
        <v>294</v>
      </c>
      <c r="C141" s="5" t="s">
        <v>290</v>
      </c>
      <c r="D141" s="5" t="s">
        <v>291</v>
      </c>
      <c r="E141" s="6" t="s">
        <v>60</v>
      </c>
      <c r="F141" s="6" t="s">
        <v>61</v>
      </c>
      <c r="G141" s="5"/>
      <c r="H141" s="6" t="s">
        <v>57</v>
      </c>
      <c r="I141" s="6"/>
      <c r="J141" s="6" t="str">
        <f>IF(OR(I141="Sí",H141="Alta",AND(Parámetros!$B$4&lt;&gt;"Alta",H141="Media"),AND(Parámetros!$B$4="Baja",H141="Baja")),"Sí","")</f>
        <v/>
      </c>
      <c r="K141" s="6"/>
      <c r="L141" s="6"/>
      <c r="M141" s="6"/>
      <c r="N141" s="6"/>
      <c r="O141" s="6"/>
      <c r="P141" s="6">
        <f t="shared" si="4"/>
        <v>0</v>
      </c>
      <c r="Q141" s="5" t="str">
        <f t="shared" si="5"/>
        <v/>
      </c>
      <c r="R141" s="5"/>
      <c r="S141" s="5"/>
      <c r="T141" s="5"/>
    </row>
    <row r="142" spans="1:20" ht="26.4" x14ac:dyDescent="0.3">
      <c r="A142" s="6">
        <v>513</v>
      </c>
      <c r="B142" s="1" t="s">
        <v>295</v>
      </c>
      <c r="C142" s="5" t="s">
        <v>290</v>
      </c>
      <c r="D142" s="5" t="s">
        <v>291</v>
      </c>
      <c r="E142" s="6" t="s">
        <v>60</v>
      </c>
      <c r="F142" s="6" t="s">
        <v>61</v>
      </c>
      <c r="G142" s="5"/>
      <c r="H142" s="6" t="s">
        <v>57</v>
      </c>
      <c r="I142" s="6"/>
      <c r="J142" s="6" t="str">
        <f>IF(OR(I142="Sí",H142="Alta",AND(Parámetros!$B$4&lt;&gt;"Alta",H142="Media"),AND(Parámetros!$B$4="Baja",H142="Baja")),"Sí","")</f>
        <v/>
      </c>
      <c r="K142" s="6"/>
      <c r="L142" s="6"/>
      <c r="M142" s="6"/>
      <c r="N142" s="6"/>
      <c r="O142" s="6"/>
      <c r="P142" s="6">
        <f t="shared" si="4"/>
        <v>0</v>
      </c>
      <c r="Q142" s="5" t="str">
        <f t="shared" si="5"/>
        <v/>
      </c>
      <c r="R142" s="5"/>
      <c r="S142" s="5"/>
      <c r="T142" s="5"/>
    </row>
    <row r="143" spans="1:20" ht="26.4" x14ac:dyDescent="0.3">
      <c r="A143" s="6">
        <v>514</v>
      </c>
      <c r="B143" s="1" t="s">
        <v>296</v>
      </c>
      <c r="C143" s="5" t="s">
        <v>290</v>
      </c>
      <c r="D143" s="5" t="s">
        <v>291</v>
      </c>
      <c r="E143" s="6" t="s">
        <v>60</v>
      </c>
      <c r="F143" s="6" t="s">
        <v>61</v>
      </c>
      <c r="G143" s="5"/>
      <c r="H143" s="6" t="s">
        <v>57</v>
      </c>
      <c r="I143" s="6"/>
      <c r="J143" s="6" t="str">
        <f>IF(OR(I143="Sí",H143="Alta",AND(Parámetros!$B$4&lt;&gt;"Alta",H143="Media"),AND(Parámetros!$B$4="Baja",H143="Baja")),"Sí","")</f>
        <v/>
      </c>
      <c r="K143" s="6"/>
      <c r="L143" s="6"/>
      <c r="M143" s="6"/>
      <c r="N143" s="6"/>
      <c r="O143" s="6"/>
      <c r="P143" s="6">
        <f t="shared" si="4"/>
        <v>0</v>
      </c>
      <c r="Q143" s="5" t="str">
        <f t="shared" si="5"/>
        <v/>
      </c>
      <c r="R143" s="5"/>
      <c r="S143" s="5"/>
      <c r="T143" s="5"/>
    </row>
    <row r="144" spans="1:20" ht="26.4" x14ac:dyDescent="0.3">
      <c r="A144" s="6">
        <v>566</v>
      </c>
      <c r="B144" s="1" t="s">
        <v>297</v>
      </c>
      <c r="C144" s="5" t="s">
        <v>290</v>
      </c>
      <c r="D144" s="5" t="s">
        <v>291</v>
      </c>
      <c r="E144" s="6" t="s">
        <v>55</v>
      </c>
      <c r="F144" s="6" t="s">
        <v>76</v>
      </c>
      <c r="G144" s="5"/>
      <c r="H144" s="6" t="s">
        <v>57</v>
      </c>
      <c r="I144" s="6"/>
      <c r="J144" s="6" t="str">
        <f>IF(OR(I144="Sí",H144="Alta",AND(Parámetros!$B$4&lt;&gt;"Alta",H144="Media"),AND(Parámetros!$B$4="Baja",H144="Baja")),"Sí","")</f>
        <v/>
      </c>
      <c r="K144" s="6"/>
      <c r="L144" s="6"/>
      <c r="M144" s="6"/>
      <c r="N144" s="6"/>
      <c r="O144" s="6"/>
      <c r="P144" s="6">
        <f t="shared" si="4"/>
        <v>0</v>
      </c>
      <c r="Q144" s="5" t="str">
        <f t="shared" si="5"/>
        <v/>
      </c>
      <c r="R144" s="5"/>
      <c r="S144" s="5"/>
      <c r="T144" s="5"/>
    </row>
    <row r="145" spans="1:20" ht="26.4" x14ac:dyDescent="0.3">
      <c r="A145" s="6">
        <v>84</v>
      </c>
      <c r="B145" s="1" t="s">
        <v>298</v>
      </c>
      <c r="C145" s="5" t="s">
        <v>299</v>
      </c>
      <c r="D145" s="5" t="s">
        <v>300</v>
      </c>
      <c r="E145" s="6" t="s">
        <v>60</v>
      </c>
      <c r="F145" s="6" t="s">
        <v>76</v>
      </c>
      <c r="G145" s="5" t="s">
        <v>205</v>
      </c>
      <c r="H145" s="6" t="s">
        <v>78</v>
      </c>
      <c r="I145" s="6"/>
      <c r="J145" s="6" t="str">
        <f>IF(OR(I145="Sí",H145="Alta",AND(Parámetros!$B$4&lt;&gt;"Alta",H145="Media"),AND(Parámetros!$B$4="Baja",H145="Baja")),"Sí","")</f>
        <v/>
      </c>
      <c r="K145" s="6"/>
      <c r="L145" s="6"/>
      <c r="M145" s="6"/>
      <c r="N145" s="6"/>
      <c r="O145" s="6"/>
      <c r="P145" s="6">
        <f t="shared" si="4"/>
        <v>0</v>
      </c>
      <c r="Q145" s="5" t="str">
        <f t="shared" si="5"/>
        <v/>
      </c>
      <c r="R145" s="5"/>
      <c r="S145" s="5"/>
      <c r="T145" s="5"/>
    </row>
    <row r="146" spans="1:20" ht="39.6" x14ac:dyDescent="0.3">
      <c r="A146" s="6">
        <v>85</v>
      </c>
      <c r="B146" s="1" t="s">
        <v>301</v>
      </c>
      <c r="C146" s="5" t="s">
        <v>299</v>
      </c>
      <c r="D146" s="5" t="s">
        <v>300</v>
      </c>
      <c r="E146" s="6" t="s">
        <v>60</v>
      </c>
      <c r="F146" s="6" t="s">
        <v>76</v>
      </c>
      <c r="G146" s="5" t="s">
        <v>302</v>
      </c>
      <c r="H146" s="6" t="s">
        <v>78</v>
      </c>
      <c r="I146" s="6"/>
      <c r="J146" s="6" t="str">
        <f>IF(OR(I146="Sí",H146="Alta",AND(Parámetros!$B$4&lt;&gt;"Alta",H146="Media"),AND(Parámetros!$B$4="Baja",H146="Baja")),"Sí","")</f>
        <v/>
      </c>
      <c r="K146" s="6"/>
      <c r="L146" s="6"/>
      <c r="M146" s="6"/>
      <c r="N146" s="6"/>
      <c r="O146" s="6"/>
      <c r="P146" s="6">
        <f t="shared" si="4"/>
        <v>0</v>
      </c>
      <c r="Q146" s="5" t="str">
        <f t="shared" si="5"/>
        <v/>
      </c>
      <c r="R146" s="5"/>
      <c r="S146" s="5"/>
      <c r="T146" s="5"/>
    </row>
    <row r="147" spans="1:20" ht="26.4" x14ac:dyDescent="0.3">
      <c r="A147" s="6">
        <v>86</v>
      </c>
      <c r="B147" s="1" t="s">
        <v>303</v>
      </c>
      <c r="C147" s="5" t="s">
        <v>299</v>
      </c>
      <c r="D147" s="5" t="s">
        <v>300</v>
      </c>
      <c r="E147" s="6" t="s">
        <v>60</v>
      </c>
      <c r="F147" s="6" t="s">
        <v>56</v>
      </c>
      <c r="G147" s="5" t="s">
        <v>205</v>
      </c>
      <c r="H147" s="6" t="s">
        <v>78</v>
      </c>
      <c r="I147" s="6"/>
      <c r="J147" s="6" t="str">
        <f>IF(OR(I147="Sí",H147="Alta",AND(Parámetros!$B$4&lt;&gt;"Alta",H147="Media"),AND(Parámetros!$B$4="Baja",H147="Baja")),"Sí","")</f>
        <v/>
      </c>
      <c r="K147" s="6"/>
      <c r="L147" s="6"/>
      <c r="M147" s="6"/>
      <c r="N147" s="6"/>
      <c r="O147" s="6"/>
      <c r="P147" s="6">
        <f t="shared" si="4"/>
        <v>0</v>
      </c>
      <c r="Q147" s="5" t="str">
        <f t="shared" si="5"/>
        <v/>
      </c>
      <c r="R147" s="5"/>
      <c r="S147" s="5"/>
      <c r="T147" s="5"/>
    </row>
    <row r="148" spans="1:20" ht="26.4" x14ac:dyDescent="0.3">
      <c r="A148" s="6">
        <v>87</v>
      </c>
      <c r="B148" s="1" t="s">
        <v>304</v>
      </c>
      <c r="C148" s="5" t="s">
        <v>299</v>
      </c>
      <c r="D148" s="5" t="s">
        <v>300</v>
      </c>
      <c r="E148" s="6" t="s">
        <v>60</v>
      </c>
      <c r="F148" s="6" t="s">
        <v>76</v>
      </c>
      <c r="G148" s="5" t="s">
        <v>205</v>
      </c>
      <c r="H148" s="6" t="s">
        <v>78</v>
      </c>
      <c r="I148" s="6"/>
      <c r="J148" s="6" t="str">
        <f>IF(OR(I148="Sí",H148="Alta",AND(Parámetros!$B$4&lt;&gt;"Alta",H148="Media"),AND(Parámetros!$B$4="Baja",H148="Baja")),"Sí","")</f>
        <v/>
      </c>
      <c r="K148" s="6"/>
      <c r="L148" s="6"/>
      <c r="M148" s="6"/>
      <c r="N148" s="6"/>
      <c r="O148" s="6"/>
      <c r="P148" s="6">
        <f t="shared" si="4"/>
        <v>0</v>
      </c>
      <c r="Q148" s="5" t="str">
        <f t="shared" si="5"/>
        <v/>
      </c>
      <c r="R148" s="5"/>
      <c r="S148" s="5" t="s">
        <v>305</v>
      </c>
      <c r="T148" s="5"/>
    </row>
    <row r="149" spans="1:20" ht="26.4" x14ac:dyDescent="0.3">
      <c r="A149" s="6">
        <v>88</v>
      </c>
      <c r="B149" s="1" t="s">
        <v>306</v>
      </c>
      <c r="C149" s="5" t="s">
        <v>299</v>
      </c>
      <c r="D149" s="5" t="s">
        <v>300</v>
      </c>
      <c r="E149" s="6" t="s">
        <v>60</v>
      </c>
      <c r="F149" s="6" t="s">
        <v>76</v>
      </c>
      <c r="G149" s="5" t="s">
        <v>205</v>
      </c>
      <c r="H149" s="6" t="s">
        <v>78</v>
      </c>
      <c r="I149" s="6"/>
      <c r="J149" s="6" t="str">
        <f>IF(OR(I149="Sí",H149="Alta",AND(Parámetros!$B$4&lt;&gt;"Alta",H149="Media"),AND(Parámetros!$B$4="Baja",H149="Baja")),"Sí","")</f>
        <v/>
      </c>
      <c r="K149" s="6"/>
      <c r="L149" s="6"/>
      <c r="M149" s="6"/>
      <c r="N149" s="6"/>
      <c r="O149" s="6"/>
      <c r="P149" s="6">
        <f t="shared" si="4"/>
        <v>0</v>
      </c>
      <c r="Q149" s="5" t="str">
        <f t="shared" si="5"/>
        <v/>
      </c>
      <c r="R149" s="5"/>
      <c r="S149" s="5"/>
      <c r="T149" s="5"/>
    </row>
    <row r="150" spans="1:20" ht="26.4" x14ac:dyDescent="0.3">
      <c r="A150" s="6">
        <v>89</v>
      </c>
      <c r="B150" s="1" t="s">
        <v>307</v>
      </c>
      <c r="C150" s="5" t="s">
        <v>299</v>
      </c>
      <c r="D150" s="5" t="s">
        <v>300</v>
      </c>
      <c r="E150" s="6" t="s">
        <v>60</v>
      </c>
      <c r="F150" s="6" t="s">
        <v>76</v>
      </c>
      <c r="G150" s="5" t="s">
        <v>205</v>
      </c>
      <c r="H150" s="6" t="s">
        <v>78</v>
      </c>
      <c r="I150" s="6"/>
      <c r="J150" s="6" t="str">
        <f>IF(OR(I150="Sí",H150="Alta",AND(Parámetros!$B$4&lt;&gt;"Alta",H150="Media"),AND(Parámetros!$B$4="Baja",H150="Baja")),"Sí","")</f>
        <v/>
      </c>
      <c r="K150" s="6"/>
      <c r="L150" s="6"/>
      <c r="M150" s="6"/>
      <c r="N150" s="6"/>
      <c r="O150" s="6"/>
      <c r="P150" s="6">
        <f t="shared" si="4"/>
        <v>0</v>
      </c>
      <c r="Q150" s="5" t="str">
        <f t="shared" si="5"/>
        <v/>
      </c>
      <c r="R150" s="5"/>
      <c r="S150" s="5"/>
      <c r="T150" s="5"/>
    </row>
    <row r="151" spans="1:20" ht="39.6" x14ac:dyDescent="0.3">
      <c r="A151" s="6">
        <v>90</v>
      </c>
      <c r="B151" s="1" t="s">
        <v>308</v>
      </c>
      <c r="C151" s="5" t="s">
        <v>299</v>
      </c>
      <c r="D151" s="5" t="s">
        <v>300</v>
      </c>
      <c r="E151" s="6" t="s">
        <v>60</v>
      </c>
      <c r="F151" s="6" t="s">
        <v>76</v>
      </c>
      <c r="G151" s="5" t="s">
        <v>302</v>
      </c>
      <c r="H151" s="6" t="s">
        <v>73</v>
      </c>
      <c r="I151" s="6"/>
      <c r="J151" s="6" t="str">
        <f>IF(OR(I151="Sí",H151="Alta",AND(Parámetros!$B$4&lt;&gt;"Alta",H151="Media"),AND(Parámetros!$B$4="Baja",H151="Baja")),"Sí","")</f>
        <v/>
      </c>
      <c r="K151" s="6"/>
      <c r="L151" s="6"/>
      <c r="M151" s="6"/>
      <c r="N151" s="6"/>
      <c r="O151" s="6"/>
      <c r="P151" s="6">
        <f t="shared" si="4"/>
        <v>0</v>
      </c>
      <c r="Q151" s="5" t="str">
        <f t="shared" si="5"/>
        <v/>
      </c>
      <c r="R151" s="5"/>
      <c r="S151" s="5"/>
      <c r="T151" s="5"/>
    </row>
    <row r="152" spans="1:20" ht="26.4" x14ac:dyDescent="0.3">
      <c r="A152" s="6">
        <v>91</v>
      </c>
      <c r="B152" s="1" t="s">
        <v>309</v>
      </c>
      <c r="C152" s="5" t="s">
        <v>299</v>
      </c>
      <c r="D152" s="5" t="s">
        <v>300</v>
      </c>
      <c r="E152" s="6" t="s">
        <v>60</v>
      </c>
      <c r="F152" s="6" t="s">
        <v>76</v>
      </c>
      <c r="G152" s="5" t="s">
        <v>205</v>
      </c>
      <c r="H152" s="6" t="s">
        <v>78</v>
      </c>
      <c r="I152" s="6"/>
      <c r="J152" s="6" t="str">
        <f>IF(OR(I152="Sí",H152="Alta",AND(Parámetros!$B$4&lt;&gt;"Alta",H152="Media"),AND(Parámetros!$B$4="Baja",H152="Baja")),"Sí","")</f>
        <v/>
      </c>
      <c r="K152" s="6"/>
      <c r="L152" s="6"/>
      <c r="M152" s="6"/>
      <c r="N152" s="6"/>
      <c r="O152" s="6"/>
      <c r="P152" s="6">
        <f t="shared" si="4"/>
        <v>0</v>
      </c>
      <c r="Q152" s="5" t="str">
        <f t="shared" si="5"/>
        <v/>
      </c>
      <c r="R152" s="5"/>
      <c r="S152" s="5"/>
      <c r="T152" s="5"/>
    </row>
    <row r="153" spans="1:20" ht="26.4" x14ac:dyDescent="0.3">
      <c r="A153" s="6">
        <v>92</v>
      </c>
      <c r="B153" s="1" t="s">
        <v>310</v>
      </c>
      <c r="C153" s="5" t="s">
        <v>299</v>
      </c>
      <c r="D153" s="5" t="s">
        <v>300</v>
      </c>
      <c r="E153" s="6" t="s">
        <v>60</v>
      </c>
      <c r="F153" s="6" t="s">
        <v>76</v>
      </c>
      <c r="G153" s="5" t="s">
        <v>311</v>
      </c>
      <c r="H153" s="6" t="s">
        <v>78</v>
      </c>
      <c r="I153" s="6"/>
      <c r="J153" s="6" t="str">
        <f>IF(OR(I153="Sí",H153="Alta",AND(Parámetros!$B$4&lt;&gt;"Alta",H153="Media"),AND(Parámetros!$B$4="Baja",H153="Baja")),"Sí","")</f>
        <v/>
      </c>
      <c r="K153" s="6"/>
      <c r="L153" s="6"/>
      <c r="M153" s="6"/>
      <c r="N153" s="6"/>
      <c r="O153" s="6"/>
      <c r="P153" s="6">
        <f t="shared" si="4"/>
        <v>0</v>
      </c>
      <c r="Q153" s="5" t="str">
        <f t="shared" si="5"/>
        <v/>
      </c>
      <c r="R153" s="5"/>
      <c r="S153" s="5"/>
      <c r="T153" s="5"/>
    </row>
    <row r="154" spans="1:20" ht="26.4" x14ac:dyDescent="0.3">
      <c r="A154" s="6">
        <v>94</v>
      </c>
      <c r="B154" s="1" t="s">
        <v>312</v>
      </c>
      <c r="C154" s="5" t="s">
        <v>299</v>
      </c>
      <c r="D154" s="5" t="s">
        <v>300</v>
      </c>
      <c r="E154" s="6" t="s">
        <v>60</v>
      </c>
      <c r="F154" s="6" t="s">
        <v>76</v>
      </c>
      <c r="G154" s="5" t="s">
        <v>205</v>
      </c>
      <c r="H154" s="6" t="s">
        <v>78</v>
      </c>
      <c r="I154" s="6"/>
      <c r="J154" s="6" t="str">
        <f>IF(OR(I154="Sí",H154="Alta",AND(Parámetros!$B$4&lt;&gt;"Alta",H154="Media"),AND(Parámetros!$B$4="Baja",H154="Baja")),"Sí","")</f>
        <v/>
      </c>
      <c r="K154" s="6"/>
      <c r="L154" s="6"/>
      <c r="M154" s="6"/>
      <c r="N154" s="6"/>
      <c r="O154" s="6"/>
      <c r="P154" s="6">
        <f t="shared" si="4"/>
        <v>0</v>
      </c>
      <c r="Q154" s="5" t="str">
        <f t="shared" si="5"/>
        <v/>
      </c>
      <c r="R154" s="5"/>
      <c r="S154" s="5"/>
      <c r="T154" s="5"/>
    </row>
    <row r="155" spans="1:20" ht="26.4" x14ac:dyDescent="0.3">
      <c r="A155" s="6">
        <v>95</v>
      </c>
      <c r="B155" s="1" t="s">
        <v>313</v>
      </c>
      <c r="C155" s="5" t="s">
        <v>299</v>
      </c>
      <c r="D155" s="5" t="s">
        <v>300</v>
      </c>
      <c r="E155" s="6" t="s">
        <v>60</v>
      </c>
      <c r="F155" s="6" t="s">
        <v>56</v>
      </c>
      <c r="G155" s="5" t="s">
        <v>205</v>
      </c>
      <c r="H155" s="6" t="s">
        <v>73</v>
      </c>
      <c r="I155" s="6"/>
      <c r="J155" s="6" t="str">
        <f>IF(OR(I155="Sí",H155="Alta",AND(Parámetros!$B$4&lt;&gt;"Alta",H155="Media"),AND(Parámetros!$B$4="Baja",H155="Baja")),"Sí","")</f>
        <v/>
      </c>
      <c r="K155" s="6"/>
      <c r="L155" s="6"/>
      <c r="M155" s="6"/>
      <c r="N155" s="6"/>
      <c r="O155" s="6"/>
      <c r="P155" s="6">
        <f t="shared" si="4"/>
        <v>0</v>
      </c>
      <c r="Q155" s="5" t="str">
        <f t="shared" si="5"/>
        <v/>
      </c>
      <c r="R155" s="5"/>
      <c r="S155" s="5"/>
      <c r="T155" s="5"/>
    </row>
    <row r="156" spans="1:20" ht="26.4" x14ac:dyDescent="0.3">
      <c r="A156" s="6">
        <v>100</v>
      </c>
      <c r="B156" s="1" t="s">
        <v>314</v>
      </c>
      <c r="C156" s="5" t="s">
        <v>299</v>
      </c>
      <c r="D156" s="5" t="s">
        <v>300</v>
      </c>
      <c r="E156" s="6" t="s">
        <v>71</v>
      </c>
      <c r="F156" s="6" t="s">
        <v>76</v>
      </c>
      <c r="G156" s="5" t="s">
        <v>205</v>
      </c>
      <c r="H156" s="6" t="s">
        <v>78</v>
      </c>
      <c r="I156" s="6"/>
      <c r="J156" s="6" t="str">
        <f>IF(OR(I156="Sí",H156="Alta",AND(Parámetros!$B$4&lt;&gt;"Alta",H156="Media"),AND(Parámetros!$B$4="Baja",H156="Baja")),"Sí","")</f>
        <v/>
      </c>
      <c r="K156" s="6"/>
      <c r="L156" s="6"/>
      <c r="M156" s="6"/>
      <c r="N156" s="6"/>
      <c r="O156" s="6" t="s">
        <v>83</v>
      </c>
      <c r="P156" s="6">
        <f t="shared" si="4"/>
        <v>1</v>
      </c>
      <c r="Q156" s="5" t="str">
        <f t="shared" si="5"/>
        <v>6</v>
      </c>
      <c r="R156" s="5"/>
      <c r="S156" s="5"/>
      <c r="T156" s="5"/>
    </row>
    <row r="157" spans="1:20" ht="26.4" x14ac:dyDescent="0.3">
      <c r="A157" s="6">
        <v>104</v>
      </c>
      <c r="B157" s="1" t="s">
        <v>315</v>
      </c>
      <c r="C157" s="5" t="s">
        <v>299</v>
      </c>
      <c r="D157" s="5" t="s">
        <v>300</v>
      </c>
      <c r="E157" s="6" t="s">
        <v>71</v>
      </c>
      <c r="F157" s="6" t="s">
        <v>76</v>
      </c>
      <c r="G157" s="5" t="s">
        <v>205</v>
      </c>
      <c r="H157" s="6" t="s">
        <v>36</v>
      </c>
      <c r="I157" s="6"/>
      <c r="J157" s="6"/>
      <c r="K157" s="6"/>
      <c r="L157" s="6"/>
      <c r="M157" s="6"/>
      <c r="N157" s="6"/>
      <c r="O157" s="6"/>
      <c r="P157" s="6">
        <f t="shared" si="4"/>
        <v>0</v>
      </c>
      <c r="Q157" s="5" t="str">
        <f t="shared" si="5"/>
        <v/>
      </c>
      <c r="R157" s="5"/>
      <c r="S157" s="5"/>
      <c r="T157" s="5"/>
    </row>
    <row r="158" spans="1:20" ht="26.4" x14ac:dyDescent="0.3">
      <c r="A158" s="6">
        <v>124</v>
      </c>
      <c r="B158" s="1" t="s">
        <v>316</v>
      </c>
      <c r="C158" s="5" t="s">
        <v>299</v>
      </c>
      <c r="D158" s="5" t="s">
        <v>300</v>
      </c>
      <c r="E158" s="6" t="s">
        <v>60</v>
      </c>
      <c r="F158" s="6" t="s">
        <v>230</v>
      </c>
      <c r="G158" s="5" t="s">
        <v>205</v>
      </c>
      <c r="H158" s="6" t="s">
        <v>36</v>
      </c>
      <c r="I158" s="6"/>
      <c r="J158" s="6"/>
      <c r="K158" s="6"/>
      <c r="L158" s="6"/>
      <c r="M158" s="6"/>
      <c r="N158" s="6" t="s">
        <v>83</v>
      </c>
      <c r="O158" s="6"/>
      <c r="P158" s="6">
        <f t="shared" si="4"/>
        <v>1</v>
      </c>
      <c r="Q158" s="5" t="str">
        <f t="shared" si="5"/>
        <v>5</v>
      </c>
      <c r="R158" s="5"/>
      <c r="S158" s="5"/>
      <c r="T158" s="5"/>
    </row>
    <row r="159" spans="1:20" ht="26.4" x14ac:dyDescent="0.3">
      <c r="A159" s="6">
        <v>125</v>
      </c>
      <c r="B159" s="1" t="s">
        <v>317</v>
      </c>
      <c r="C159" s="5" t="s">
        <v>299</v>
      </c>
      <c r="D159" s="5" t="s">
        <v>300</v>
      </c>
      <c r="E159" s="6" t="s">
        <v>71</v>
      </c>
      <c r="F159" s="6" t="s">
        <v>230</v>
      </c>
      <c r="G159" s="5" t="s">
        <v>205</v>
      </c>
      <c r="H159" s="6" t="s">
        <v>36</v>
      </c>
      <c r="I159" s="6"/>
      <c r="J159" s="6"/>
      <c r="K159" s="6"/>
      <c r="L159" s="6"/>
      <c r="M159" s="6"/>
      <c r="N159" s="6" t="s">
        <v>83</v>
      </c>
      <c r="O159" s="6"/>
      <c r="P159" s="6">
        <f t="shared" si="4"/>
        <v>1</v>
      </c>
      <c r="Q159" s="5" t="str">
        <f t="shared" si="5"/>
        <v>5</v>
      </c>
      <c r="R159" s="5"/>
      <c r="S159" s="5"/>
      <c r="T159" s="5"/>
    </row>
    <row r="160" spans="1:20" ht="26.4" x14ac:dyDescent="0.3">
      <c r="A160" s="6">
        <v>126</v>
      </c>
      <c r="B160" s="1" t="s">
        <v>318</v>
      </c>
      <c r="C160" s="5" t="s">
        <v>299</v>
      </c>
      <c r="D160" s="5" t="s">
        <v>300</v>
      </c>
      <c r="E160" s="6" t="s">
        <v>71</v>
      </c>
      <c r="F160" s="6" t="s">
        <v>76</v>
      </c>
      <c r="G160" s="5" t="s">
        <v>311</v>
      </c>
      <c r="H160" s="6" t="s">
        <v>36</v>
      </c>
      <c r="I160" s="6"/>
      <c r="J160" s="6"/>
      <c r="K160" s="6"/>
      <c r="L160" s="6"/>
      <c r="M160" s="6"/>
      <c r="N160" s="6" t="s">
        <v>83</v>
      </c>
      <c r="O160" s="6"/>
      <c r="P160" s="6">
        <f t="shared" si="4"/>
        <v>1</v>
      </c>
      <c r="Q160" s="5" t="str">
        <f t="shared" si="5"/>
        <v>5</v>
      </c>
      <c r="R160" s="5"/>
      <c r="S160" s="5"/>
      <c r="T160" s="5"/>
    </row>
    <row r="161" spans="1:20" ht="26.4" x14ac:dyDescent="0.3">
      <c r="A161" s="6">
        <v>127</v>
      </c>
      <c r="B161" s="1" t="s">
        <v>319</v>
      </c>
      <c r="C161" s="5" t="s">
        <v>299</v>
      </c>
      <c r="D161" s="5" t="s">
        <v>300</v>
      </c>
      <c r="E161" s="6" t="s">
        <v>71</v>
      </c>
      <c r="F161" s="6" t="s">
        <v>76</v>
      </c>
      <c r="G161" s="5" t="s">
        <v>311</v>
      </c>
      <c r="H161" s="6" t="s">
        <v>36</v>
      </c>
      <c r="I161" s="6"/>
      <c r="J161" s="6"/>
      <c r="K161" s="6"/>
      <c r="L161" s="6"/>
      <c r="M161" s="6"/>
      <c r="N161" s="6" t="s">
        <v>83</v>
      </c>
      <c r="O161" s="6"/>
      <c r="P161" s="6">
        <f t="shared" si="4"/>
        <v>1</v>
      </c>
      <c r="Q161" s="5" t="str">
        <f t="shared" si="5"/>
        <v>5</v>
      </c>
      <c r="R161" s="5"/>
      <c r="S161" s="5"/>
      <c r="T161" s="5"/>
    </row>
    <row r="162" spans="1:20" ht="26.4" x14ac:dyDescent="0.3">
      <c r="A162" s="6">
        <v>128</v>
      </c>
      <c r="B162" s="1" t="s">
        <v>320</v>
      </c>
      <c r="C162" s="5" t="s">
        <v>299</v>
      </c>
      <c r="D162" s="5" t="s">
        <v>300</v>
      </c>
      <c r="E162" s="6" t="s">
        <v>71</v>
      </c>
      <c r="F162" s="6" t="s">
        <v>230</v>
      </c>
      <c r="G162" s="5" t="s">
        <v>311</v>
      </c>
      <c r="H162" s="6" t="s">
        <v>78</v>
      </c>
      <c r="I162" s="6"/>
      <c r="J162" s="6" t="str">
        <f>IF(OR(I162="Sí",H162="Alta",AND(Parámetros!$B$4&lt;&gt;"Alta",H162="Media"),AND(Parámetros!$B$4="Baja",H162="Baja")),"Sí","")</f>
        <v/>
      </c>
      <c r="K162" s="6"/>
      <c r="L162" s="6"/>
      <c r="M162" s="6"/>
      <c r="N162" s="6"/>
      <c r="O162" s="6"/>
      <c r="P162" s="6">
        <f t="shared" si="4"/>
        <v>0</v>
      </c>
      <c r="Q162" s="5" t="str">
        <f t="shared" si="5"/>
        <v/>
      </c>
      <c r="R162" s="5"/>
      <c r="S162" s="5" t="s">
        <v>321</v>
      </c>
      <c r="T162" s="5"/>
    </row>
    <row r="163" spans="1:20" ht="26.4" x14ac:dyDescent="0.3">
      <c r="A163" s="6">
        <v>272</v>
      </c>
      <c r="B163" s="1" t="s">
        <v>322</v>
      </c>
      <c r="C163" s="5" t="s">
        <v>299</v>
      </c>
      <c r="D163" s="5" t="s">
        <v>300</v>
      </c>
      <c r="E163" s="6" t="s">
        <v>60</v>
      </c>
      <c r="F163" s="6" t="s">
        <v>76</v>
      </c>
      <c r="G163" s="5" t="s">
        <v>205</v>
      </c>
      <c r="H163" s="6" t="s">
        <v>36</v>
      </c>
      <c r="I163" s="6"/>
      <c r="J163" s="6"/>
      <c r="K163" s="6"/>
      <c r="L163" s="6"/>
      <c r="M163" s="6"/>
      <c r="N163" s="6"/>
      <c r="O163" s="6"/>
      <c r="P163" s="6">
        <f t="shared" si="4"/>
        <v>0</v>
      </c>
      <c r="Q163" s="5" t="str">
        <f t="shared" si="5"/>
        <v/>
      </c>
      <c r="R163" s="5"/>
      <c r="S163" s="5" t="s">
        <v>321</v>
      </c>
      <c r="T163" s="5"/>
    </row>
    <row r="164" spans="1:20" ht="26.4" x14ac:dyDescent="0.3">
      <c r="A164" s="6">
        <v>431</v>
      </c>
      <c r="B164" s="1" t="s">
        <v>323</v>
      </c>
      <c r="C164" s="5" t="s">
        <v>299</v>
      </c>
      <c r="D164" s="5" t="s">
        <v>300</v>
      </c>
      <c r="E164" s="6" t="s">
        <v>60</v>
      </c>
      <c r="F164" s="6" t="s">
        <v>61</v>
      </c>
      <c r="G164" s="5" t="s">
        <v>311</v>
      </c>
      <c r="H164" s="6" t="s">
        <v>78</v>
      </c>
      <c r="I164" s="6"/>
      <c r="J164" s="6" t="str">
        <f>IF(OR(I164="Sí",H164="Alta",AND(Parámetros!$B$4&lt;&gt;"Alta",H164="Media"),AND(Parámetros!$B$4="Baja",H164="Baja")),"Sí","")</f>
        <v/>
      </c>
      <c r="K164" s="6"/>
      <c r="L164" s="6"/>
      <c r="M164" s="6"/>
      <c r="N164" s="6"/>
      <c r="O164" s="6"/>
      <c r="P164" s="6">
        <f t="shared" si="4"/>
        <v>0</v>
      </c>
      <c r="Q164" s="5" t="str">
        <f t="shared" si="5"/>
        <v/>
      </c>
      <c r="R164" s="5"/>
      <c r="S164" s="5"/>
      <c r="T164" s="5"/>
    </row>
    <row r="165" spans="1:20" ht="26.4" x14ac:dyDescent="0.3">
      <c r="A165" s="6">
        <v>432</v>
      </c>
      <c r="B165" s="1" t="s">
        <v>324</v>
      </c>
      <c r="C165" s="5" t="s">
        <v>299</v>
      </c>
      <c r="D165" s="5" t="s">
        <v>300</v>
      </c>
      <c r="E165" s="6" t="s">
        <v>60</v>
      </c>
      <c r="F165" s="6" t="s">
        <v>61</v>
      </c>
      <c r="G165" s="5" t="s">
        <v>205</v>
      </c>
      <c r="H165" s="6" t="s">
        <v>78</v>
      </c>
      <c r="I165" s="6"/>
      <c r="J165" s="6" t="str">
        <f>IF(OR(I165="Sí",H165="Alta",AND(Parámetros!$B$4&lt;&gt;"Alta",H165="Media"),AND(Parámetros!$B$4="Baja",H165="Baja")),"Sí","")</f>
        <v/>
      </c>
      <c r="K165" s="6"/>
      <c r="L165" s="6"/>
      <c r="M165" s="6"/>
      <c r="N165" s="6"/>
      <c r="O165" s="6"/>
      <c r="P165" s="6">
        <f t="shared" si="4"/>
        <v>0</v>
      </c>
      <c r="Q165" s="5" t="str">
        <f t="shared" si="5"/>
        <v/>
      </c>
      <c r="R165" s="5"/>
      <c r="S165" s="5" t="s">
        <v>321</v>
      </c>
      <c r="T165" s="5"/>
    </row>
    <row r="166" spans="1:20" ht="26.4" x14ac:dyDescent="0.3">
      <c r="A166" s="6">
        <v>484</v>
      </c>
      <c r="B166" s="1" t="s">
        <v>325</v>
      </c>
      <c r="C166" s="5" t="s">
        <v>299</v>
      </c>
      <c r="D166" s="5" t="s">
        <v>300</v>
      </c>
      <c r="E166" s="6" t="s">
        <v>60</v>
      </c>
      <c r="F166" s="6" t="s">
        <v>61</v>
      </c>
      <c r="G166" s="5" t="s">
        <v>311</v>
      </c>
      <c r="H166" s="6" t="s">
        <v>78</v>
      </c>
      <c r="I166" s="6"/>
      <c r="J166" s="6" t="str">
        <f>IF(OR(I166="Sí",H166="Alta",AND(Parámetros!$B$4&lt;&gt;"Alta",H166="Media"),AND(Parámetros!$B$4="Baja",H166="Baja")),"Sí","")</f>
        <v/>
      </c>
      <c r="K166" s="6"/>
      <c r="L166" s="6"/>
      <c r="M166" s="6"/>
      <c r="N166" s="6" t="s">
        <v>83</v>
      </c>
      <c r="O166" s="6"/>
      <c r="P166" s="6">
        <f t="shared" si="4"/>
        <v>1</v>
      </c>
      <c r="Q166" s="5" t="str">
        <f t="shared" si="5"/>
        <v>5</v>
      </c>
      <c r="R166" s="5"/>
      <c r="S166" s="5"/>
      <c r="T166" s="5"/>
    </row>
    <row r="167" spans="1:20" ht="26.4" x14ac:dyDescent="0.3">
      <c r="A167" s="6">
        <v>633</v>
      </c>
      <c r="B167" s="1" t="s">
        <v>326</v>
      </c>
      <c r="C167" s="5" t="s">
        <v>299</v>
      </c>
      <c r="D167" s="5" t="s">
        <v>300</v>
      </c>
      <c r="E167" s="6" t="s">
        <v>55</v>
      </c>
      <c r="F167" s="6" t="s">
        <v>56</v>
      </c>
      <c r="G167" s="5"/>
      <c r="H167" s="6" t="s">
        <v>57</v>
      </c>
      <c r="I167" s="6"/>
      <c r="J167" s="6" t="str">
        <f>IF(OR(I167="Sí",H167="Alta",AND(Parámetros!$B$4&lt;&gt;"Alta",H167="Media"),AND(Parámetros!$B$4="Baja",H167="Baja")),"Sí","")</f>
        <v/>
      </c>
      <c r="K167" s="6"/>
      <c r="L167" s="6"/>
      <c r="M167" s="6"/>
      <c r="N167" s="6"/>
      <c r="O167" s="6"/>
      <c r="P167" s="6">
        <f t="shared" si="4"/>
        <v>0</v>
      </c>
      <c r="Q167" s="5" t="str">
        <f t="shared" si="5"/>
        <v/>
      </c>
      <c r="R167" s="5" t="s">
        <v>58</v>
      </c>
      <c r="S167" s="5"/>
      <c r="T167" s="5"/>
    </row>
    <row r="168" spans="1:20" ht="26.4" x14ac:dyDescent="0.3">
      <c r="A168" s="6">
        <v>262</v>
      </c>
      <c r="B168" s="1" t="s">
        <v>327</v>
      </c>
      <c r="C168" s="5" t="s">
        <v>328</v>
      </c>
      <c r="D168" s="5" t="s">
        <v>329</v>
      </c>
      <c r="E168" s="6" t="s">
        <v>55</v>
      </c>
      <c r="F168" s="6" t="s">
        <v>56</v>
      </c>
      <c r="G168" s="5"/>
      <c r="H168" s="6" t="s">
        <v>57</v>
      </c>
      <c r="I168" s="6"/>
      <c r="J168" s="6" t="str">
        <f>IF(OR(I168="Sí",H168="Alta",AND(Parámetros!$B$4&lt;&gt;"Alta",H168="Media"),AND(Parámetros!$B$4="Baja",H168="Baja")),"Sí","")</f>
        <v/>
      </c>
      <c r="K168" s="6"/>
      <c r="L168" s="6"/>
      <c r="M168" s="6"/>
      <c r="N168" s="6"/>
      <c r="O168" s="6" t="s">
        <v>83</v>
      </c>
      <c r="P168" s="6">
        <f t="shared" si="4"/>
        <v>1</v>
      </c>
      <c r="Q168" s="5" t="str">
        <f t="shared" si="5"/>
        <v>6</v>
      </c>
      <c r="R168" s="5"/>
      <c r="S168" s="5"/>
      <c r="T168" s="5"/>
    </row>
    <row r="169" spans="1:20" ht="39.6" x14ac:dyDescent="0.3">
      <c r="A169" s="6">
        <v>263</v>
      </c>
      <c r="B169" s="1" t="s">
        <v>330</v>
      </c>
      <c r="C169" s="5" t="s">
        <v>328</v>
      </c>
      <c r="D169" s="5" t="s">
        <v>329</v>
      </c>
      <c r="E169" s="6" t="s">
        <v>71</v>
      </c>
      <c r="F169" s="6" t="s">
        <v>61</v>
      </c>
      <c r="G169" s="5" t="s">
        <v>331</v>
      </c>
      <c r="H169" s="6" t="s">
        <v>73</v>
      </c>
      <c r="I169" s="6"/>
      <c r="J169" s="6" t="str">
        <f>IF(OR(I169="Sí",H169="Alta",AND(Parámetros!$B$4&lt;&gt;"Alta",H169="Media"),AND(Parámetros!$B$4="Baja",H169="Baja")),"Sí","")</f>
        <v/>
      </c>
      <c r="K169" s="6"/>
      <c r="L169" s="6"/>
      <c r="M169" s="6"/>
      <c r="N169" s="6"/>
      <c r="O169" s="6"/>
      <c r="P169" s="6">
        <f t="shared" si="4"/>
        <v>0</v>
      </c>
      <c r="Q169" s="5" t="str">
        <f t="shared" si="5"/>
        <v/>
      </c>
      <c r="R169" s="5" t="s">
        <v>154</v>
      </c>
      <c r="S169" s="5" t="s">
        <v>332</v>
      </c>
      <c r="T169" s="5"/>
    </row>
    <row r="170" spans="1:20" ht="26.4" x14ac:dyDescent="0.3">
      <c r="A170" s="6">
        <v>265</v>
      </c>
      <c r="B170" s="1" t="s">
        <v>333</v>
      </c>
      <c r="C170" s="5" t="s">
        <v>328</v>
      </c>
      <c r="D170" s="5" t="s">
        <v>334</v>
      </c>
      <c r="E170" s="6" t="s">
        <v>71</v>
      </c>
      <c r="F170" s="6" t="s">
        <v>61</v>
      </c>
      <c r="G170" s="5"/>
      <c r="H170" s="6" t="s">
        <v>57</v>
      </c>
      <c r="I170" s="6"/>
      <c r="J170" s="6" t="str">
        <f>IF(OR(I170="Sí",H170="Alta",AND(Parámetros!$B$4&lt;&gt;"Alta",H170="Media"),AND(Parámetros!$B$4="Baja",H170="Baja")),"Sí","")</f>
        <v/>
      </c>
      <c r="K170" s="6"/>
      <c r="L170" s="6"/>
      <c r="M170" s="6"/>
      <c r="N170" s="6"/>
      <c r="O170" s="6"/>
      <c r="P170" s="6">
        <f t="shared" si="4"/>
        <v>0</v>
      </c>
      <c r="Q170" s="5" t="str">
        <f t="shared" si="5"/>
        <v/>
      </c>
      <c r="R170" s="5" t="s">
        <v>154</v>
      </c>
      <c r="S170" s="5"/>
      <c r="T170" s="5"/>
    </row>
    <row r="171" spans="1:20" ht="26.4" x14ac:dyDescent="0.3">
      <c r="A171" s="6">
        <v>266</v>
      </c>
      <c r="B171" s="1" t="s">
        <v>335</v>
      </c>
      <c r="C171" s="5" t="s">
        <v>328</v>
      </c>
      <c r="D171" s="5" t="s">
        <v>334</v>
      </c>
      <c r="E171" s="6" t="s">
        <v>71</v>
      </c>
      <c r="F171" s="6" t="s">
        <v>61</v>
      </c>
      <c r="G171" s="5"/>
      <c r="H171" s="6" t="s">
        <v>57</v>
      </c>
      <c r="I171" s="6"/>
      <c r="J171" s="6" t="str">
        <f>IF(OR(I171="Sí",H171="Alta",AND(Parámetros!$B$4&lt;&gt;"Alta",H171="Media"),AND(Parámetros!$B$4="Baja",H171="Baja")),"Sí","")</f>
        <v/>
      </c>
      <c r="K171" s="6"/>
      <c r="L171" s="6"/>
      <c r="M171" s="6"/>
      <c r="N171" s="6"/>
      <c r="O171" s="6"/>
      <c r="P171" s="6">
        <f t="shared" si="4"/>
        <v>0</v>
      </c>
      <c r="Q171" s="5" t="str">
        <f t="shared" si="5"/>
        <v/>
      </c>
      <c r="R171" s="5" t="s">
        <v>154</v>
      </c>
      <c r="S171" s="5"/>
      <c r="T171" s="5"/>
    </row>
    <row r="172" spans="1:20" ht="26.4" x14ac:dyDescent="0.3">
      <c r="A172" s="6">
        <v>493</v>
      </c>
      <c r="B172" s="1" t="s">
        <v>336</v>
      </c>
      <c r="C172" s="5" t="s">
        <v>328</v>
      </c>
      <c r="D172" s="5" t="s">
        <v>337</v>
      </c>
      <c r="E172" s="6" t="s">
        <v>55</v>
      </c>
      <c r="F172" s="6" t="s">
        <v>56</v>
      </c>
      <c r="G172" s="5"/>
      <c r="H172" s="6" t="s">
        <v>57</v>
      </c>
      <c r="I172" s="6"/>
      <c r="J172" s="6" t="str">
        <f>IF(OR(I172="Sí",H172="Alta",AND(Parámetros!$B$4&lt;&gt;"Alta",H172="Media"),AND(Parámetros!$B$4="Baja",H172="Baja")),"Sí","")</f>
        <v/>
      </c>
      <c r="K172" s="6"/>
      <c r="L172" s="6"/>
      <c r="M172" s="6"/>
      <c r="N172" s="6"/>
      <c r="O172" s="6"/>
      <c r="P172" s="6">
        <f t="shared" si="4"/>
        <v>0</v>
      </c>
      <c r="Q172" s="5" t="str">
        <f t="shared" si="5"/>
        <v/>
      </c>
      <c r="R172" s="5" t="s">
        <v>58</v>
      </c>
      <c r="S172" s="5"/>
      <c r="T172" s="5"/>
    </row>
    <row r="173" spans="1:20" ht="26.4" x14ac:dyDescent="0.3">
      <c r="A173" s="6">
        <v>596</v>
      </c>
      <c r="B173" s="1" t="s">
        <v>338</v>
      </c>
      <c r="C173" s="5" t="s">
        <v>328</v>
      </c>
      <c r="D173" s="5" t="s">
        <v>339</v>
      </c>
      <c r="E173" s="6" t="s">
        <v>71</v>
      </c>
      <c r="F173" s="6" t="s">
        <v>61</v>
      </c>
      <c r="G173" s="5"/>
      <c r="H173" s="6" t="s">
        <v>57</v>
      </c>
      <c r="I173" s="6"/>
      <c r="J173" s="6" t="str">
        <f>IF(OR(I173="Sí",H173="Alta",AND(Parámetros!$B$4&lt;&gt;"Alta",H173="Media"),AND(Parámetros!$B$4="Baja",H173="Baja")),"Sí","")</f>
        <v/>
      </c>
      <c r="K173" s="6"/>
      <c r="L173" s="6"/>
      <c r="M173" s="6"/>
      <c r="N173" s="6"/>
      <c r="O173" s="6"/>
      <c r="P173" s="6">
        <f t="shared" si="4"/>
        <v>0</v>
      </c>
      <c r="Q173" s="5" t="str">
        <f t="shared" si="5"/>
        <v/>
      </c>
      <c r="R173" s="5" t="s">
        <v>154</v>
      </c>
      <c r="S173" s="5"/>
      <c r="T173" s="5"/>
    </row>
    <row r="174" spans="1:20" ht="26.4" x14ac:dyDescent="0.3">
      <c r="A174" s="6">
        <v>73</v>
      </c>
      <c r="B174" s="1" t="s">
        <v>340</v>
      </c>
      <c r="C174" s="5" t="s">
        <v>341</v>
      </c>
      <c r="D174" s="5" t="s">
        <v>342</v>
      </c>
      <c r="E174" s="6" t="s">
        <v>71</v>
      </c>
      <c r="F174" s="6" t="s">
        <v>56</v>
      </c>
      <c r="G174" s="5"/>
      <c r="H174" s="6" t="s">
        <v>57</v>
      </c>
      <c r="I174" s="6"/>
      <c r="J174" s="6" t="str">
        <f>IF(OR(I174="Sí",H174="Alta",AND(Parámetros!$B$4&lt;&gt;"Alta",H174="Media"),AND(Parámetros!$B$4="Baja",H174="Baja")),"Sí","")</f>
        <v/>
      </c>
      <c r="K174" s="6"/>
      <c r="L174" s="6"/>
      <c r="M174" s="6"/>
      <c r="N174" s="6"/>
      <c r="O174" s="6"/>
      <c r="P174" s="6">
        <f t="shared" si="4"/>
        <v>0</v>
      </c>
      <c r="Q174" s="5" t="str">
        <f t="shared" si="5"/>
        <v/>
      </c>
      <c r="R174" s="5" t="s">
        <v>154</v>
      </c>
      <c r="S174" s="5"/>
      <c r="T174" s="5"/>
    </row>
    <row r="175" spans="1:20" ht="26.4" x14ac:dyDescent="0.3">
      <c r="A175" s="6">
        <v>74</v>
      </c>
      <c r="B175" s="1" t="s">
        <v>343</v>
      </c>
      <c r="C175" s="5" t="s">
        <v>341</v>
      </c>
      <c r="D175" s="5" t="s">
        <v>342</v>
      </c>
      <c r="E175" s="6" t="s">
        <v>55</v>
      </c>
      <c r="F175" s="6" t="s">
        <v>56</v>
      </c>
      <c r="G175" s="5"/>
      <c r="H175" s="6" t="s">
        <v>57</v>
      </c>
      <c r="I175" s="6"/>
      <c r="J175" s="6" t="str">
        <f>IF(OR(I175="Sí",H175="Alta",AND(Parámetros!$B$4&lt;&gt;"Alta",H175="Media"),AND(Parámetros!$B$4="Baja",H175="Baja")),"Sí","")</f>
        <v/>
      </c>
      <c r="K175" s="6"/>
      <c r="L175" s="6"/>
      <c r="M175" s="6"/>
      <c r="N175" s="6"/>
      <c r="O175" s="6"/>
      <c r="P175" s="6">
        <f t="shared" si="4"/>
        <v>0</v>
      </c>
      <c r="Q175" s="5" t="str">
        <f t="shared" si="5"/>
        <v/>
      </c>
      <c r="R175" s="5" t="s">
        <v>154</v>
      </c>
      <c r="S175" s="5"/>
      <c r="T175" s="5"/>
    </row>
    <row r="176" spans="1:20" ht="26.4" x14ac:dyDescent="0.3">
      <c r="A176" s="6">
        <v>113</v>
      </c>
      <c r="B176" s="1" t="s">
        <v>192</v>
      </c>
      <c r="C176" s="5" t="s">
        <v>341</v>
      </c>
      <c r="D176" s="5" t="s">
        <v>114</v>
      </c>
      <c r="E176" s="6" t="s">
        <v>55</v>
      </c>
      <c r="F176" s="6" t="s">
        <v>56</v>
      </c>
      <c r="G176" s="5"/>
      <c r="H176" s="6" t="s">
        <v>57</v>
      </c>
      <c r="I176" s="6"/>
      <c r="J176" s="6" t="str">
        <f>IF(OR(I176="Sí",H176="Alta",AND(Parámetros!$B$4&lt;&gt;"Alta",H176="Media"),AND(Parámetros!$B$4="Baja",H176="Baja")),"Sí","")</f>
        <v/>
      </c>
      <c r="K176" s="6"/>
      <c r="L176" s="6"/>
      <c r="M176" s="6"/>
      <c r="N176" s="6"/>
      <c r="O176" s="6"/>
      <c r="P176" s="6">
        <f t="shared" si="4"/>
        <v>0</v>
      </c>
      <c r="Q176" s="5" t="str">
        <f t="shared" si="5"/>
        <v/>
      </c>
      <c r="R176" s="5" t="s">
        <v>58</v>
      </c>
      <c r="S176" s="5"/>
      <c r="T176" s="5"/>
    </row>
    <row r="177" spans="1:20" ht="26.4" x14ac:dyDescent="0.3">
      <c r="A177" s="6">
        <v>121</v>
      </c>
      <c r="B177" s="1" t="s">
        <v>344</v>
      </c>
      <c r="C177" s="5" t="s">
        <v>341</v>
      </c>
      <c r="D177" s="5" t="s">
        <v>345</v>
      </c>
      <c r="E177" s="6" t="s">
        <v>71</v>
      </c>
      <c r="F177" s="6" t="s">
        <v>230</v>
      </c>
      <c r="G177" s="5"/>
      <c r="H177" s="6" t="s">
        <v>57</v>
      </c>
      <c r="I177" s="6"/>
      <c r="J177" s="6" t="str">
        <f>IF(OR(I177="Sí",H177="Alta",AND(Parámetros!$B$4&lt;&gt;"Alta",H177="Media"),AND(Parámetros!$B$4="Baja",H177="Baja")),"Sí","")</f>
        <v/>
      </c>
      <c r="K177" s="6"/>
      <c r="L177" s="6"/>
      <c r="M177" s="6"/>
      <c r="N177" s="6"/>
      <c r="O177" s="6"/>
      <c r="P177" s="6">
        <f t="shared" si="4"/>
        <v>0</v>
      </c>
      <c r="Q177" s="5" t="str">
        <f t="shared" si="5"/>
        <v/>
      </c>
      <c r="R177" s="5"/>
      <c r="S177" s="5"/>
      <c r="T177" s="5"/>
    </row>
    <row r="178" spans="1:20" ht="26.4" x14ac:dyDescent="0.3">
      <c r="A178" s="6">
        <v>167</v>
      </c>
      <c r="B178" s="1" t="s">
        <v>346</v>
      </c>
      <c r="C178" s="5" t="s">
        <v>341</v>
      </c>
      <c r="D178" s="5" t="s">
        <v>347</v>
      </c>
      <c r="E178" s="6" t="s">
        <v>55</v>
      </c>
      <c r="F178" s="6" t="s">
        <v>56</v>
      </c>
      <c r="G178" s="5"/>
      <c r="H178" s="6" t="s">
        <v>57</v>
      </c>
      <c r="I178" s="6"/>
      <c r="J178" s="6" t="str">
        <f>IF(OR(I178="Sí",H178="Alta",AND(Parámetros!$B$4&lt;&gt;"Alta",H178="Media"),AND(Parámetros!$B$4="Baja",H178="Baja")),"Sí","")</f>
        <v/>
      </c>
      <c r="K178" s="6"/>
      <c r="L178" s="6"/>
      <c r="M178" s="6"/>
      <c r="N178" s="6"/>
      <c r="O178" s="6"/>
      <c r="P178" s="6">
        <f t="shared" si="4"/>
        <v>0</v>
      </c>
      <c r="Q178" s="5" t="str">
        <f t="shared" si="5"/>
        <v/>
      </c>
      <c r="R178" s="5" t="s">
        <v>58</v>
      </c>
      <c r="S178" s="5"/>
      <c r="T178" s="5"/>
    </row>
    <row r="179" spans="1:20" ht="26.4" x14ac:dyDescent="0.3">
      <c r="A179" s="6">
        <v>199</v>
      </c>
      <c r="B179" s="1" t="s">
        <v>348</v>
      </c>
      <c r="C179" s="5" t="s">
        <v>341</v>
      </c>
      <c r="D179" s="5" t="s">
        <v>349</v>
      </c>
      <c r="E179" s="6" t="s">
        <v>60</v>
      </c>
      <c r="F179" s="6" t="s">
        <v>56</v>
      </c>
      <c r="G179" s="5" t="s">
        <v>72</v>
      </c>
      <c r="H179" s="6" t="s">
        <v>73</v>
      </c>
      <c r="I179" s="6"/>
      <c r="J179" s="6" t="str">
        <f>IF(OR(I179="Sí",H179="Alta",AND(Parámetros!$B$4&lt;&gt;"Alta",H179="Media"),AND(Parámetros!$B$4="Baja",H179="Baja")),"Sí","")</f>
        <v/>
      </c>
      <c r="K179" s="6"/>
      <c r="L179" s="6"/>
      <c r="M179" s="6"/>
      <c r="N179" s="6"/>
      <c r="O179" s="6"/>
      <c r="P179" s="6">
        <f t="shared" si="4"/>
        <v>0</v>
      </c>
      <c r="Q179" s="5" t="str">
        <f t="shared" si="5"/>
        <v/>
      </c>
      <c r="R179" s="5"/>
      <c r="S179" s="5"/>
      <c r="T179" s="5"/>
    </row>
    <row r="180" spans="1:20" ht="26.4" x14ac:dyDescent="0.3">
      <c r="A180" s="6">
        <v>200</v>
      </c>
      <c r="B180" s="1" t="s">
        <v>350</v>
      </c>
      <c r="C180" s="5" t="s">
        <v>341</v>
      </c>
      <c r="D180" s="5" t="s">
        <v>349</v>
      </c>
      <c r="E180" s="6" t="s">
        <v>55</v>
      </c>
      <c r="F180" s="6" t="s">
        <v>76</v>
      </c>
      <c r="G180" s="5" t="s">
        <v>72</v>
      </c>
      <c r="H180" s="6" t="s">
        <v>73</v>
      </c>
      <c r="I180" s="6"/>
      <c r="J180" s="6" t="str">
        <f>IF(OR(I180="Sí",H180="Alta",AND(Parámetros!$B$4&lt;&gt;"Alta",H180="Media"),AND(Parámetros!$B$4="Baja",H180="Baja")),"Sí","")</f>
        <v/>
      </c>
      <c r="K180" s="6"/>
      <c r="L180" s="6"/>
      <c r="M180" s="6"/>
      <c r="N180" s="6"/>
      <c r="O180" s="6"/>
      <c r="P180" s="6">
        <f t="shared" si="4"/>
        <v>0</v>
      </c>
      <c r="Q180" s="5" t="str">
        <f t="shared" si="5"/>
        <v/>
      </c>
      <c r="R180" s="5"/>
      <c r="S180" s="5"/>
      <c r="T180" s="5"/>
    </row>
    <row r="181" spans="1:20" ht="52.8" x14ac:dyDescent="0.3">
      <c r="A181" s="6">
        <v>202</v>
      </c>
      <c r="B181" s="1" t="s">
        <v>351</v>
      </c>
      <c r="C181" s="5" t="s">
        <v>341</v>
      </c>
      <c r="D181" s="5" t="s">
        <v>114</v>
      </c>
      <c r="E181" s="6" t="s">
        <v>55</v>
      </c>
      <c r="F181" s="6" t="s">
        <v>76</v>
      </c>
      <c r="G181" s="5" t="s">
        <v>205</v>
      </c>
      <c r="H181" s="6" t="s">
        <v>78</v>
      </c>
      <c r="I181" s="6" t="s">
        <v>83</v>
      </c>
      <c r="J181" s="6"/>
      <c r="K181" s="6"/>
      <c r="L181" s="6"/>
      <c r="M181" s="6"/>
      <c r="N181" s="6" t="s">
        <v>83</v>
      </c>
      <c r="O181" s="6"/>
      <c r="P181" s="6">
        <f t="shared" si="4"/>
        <v>1</v>
      </c>
      <c r="Q181" s="5" t="str">
        <f t="shared" si="5"/>
        <v>5</v>
      </c>
      <c r="R181" s="5"/>
      <c r="S181" s="5"/>
      <c r="T181" s="5" t="s">
        <v>352</v>
      </c>
    </row>
    <row r="182" spans="1:20" ht="26.4" x14ac:dyDescent="0.3">
      <c r="A182" s="6">
        <v>332</v>
      </c>
      <c r="B182" s="1" t="s">
        <v>353</v>
      </c>
      <c r="C182" s="5" t="s">
        <v>341</v>
      </c>
      <c r="D182" s="5" t="s">
        <v>345</v>
      </c>
      <c r="E182" s="6" t="s">
        <v>60</v>
      </c>
      <c r="F182" s="6" t="s">
        <v>56</v>
      </c>
      <c r="G182" s="5"/>
      <c r="H182" s="6" t="s">
        <v>65</v>
      </c>
      <c r="I182" s="6"/>
      <c r="J182" s="6" t="str">
        <f>IF(OR(I182="Sí",H182="Alta",AND(Parámetros!$B$4&lt;&gt;"Alta",H182="Media"),AND(Parámetros!$B$4="Baja",H182="Baja")),"Sí","")</f>
        <v/>
      </c>
      <c r="K182" s="6"/>
      <c r="L182" s="6"/>
      <c r="M182" s="6"/>
      <c r="N182" s="6"/>
      <c r="O182" s="6"/>
      <c r="P182" s="6">
        <f t="shared" si="4"/>
        <v>0</v>
      </c>
      <c r="Q182" s="5" t="str">
        <f t="shared" si="5"/>
        <v/>
      </c>
      <c r="R182" s="5"/>
      <c r="S182" s="5"/>
      <c r="T182" s="5"/>
    </row>
    <row r="183" spans="1:20" ht="26.4" x14ac:dyDescent="0.3">
      <c r="A183" s="6">
        <v>334</v>
      </c>
      <c r="B183" s="1" t="s">
        <v>354</v>
      </c>
      <c r="C183" s="5" t="s">
        <v>341</v>
      </c>
      <c r="D183" s="5" t="s">
        <v>349</v>
      </c>
      <c r="E183" s="6" t="s">
        <v>60</v>
      </c>
      <c r="F183" s="6" t="s">
        <v>76</v>
      </c>
      <c r="G183" s="5"/>
      <c r="H183" s="6" t="s">
        <v>57</v>
      </c>
      <c r="I183" s="6"/>
      <c r="J183" s="6" t="str">
        <f>IF(OR(I183="Sí",H183="Alta",AND(Parámetros!$B$4&lt;&gt;"Alta",H183="Media"),AND(Parámetros!$B$4="Baja",H183="Baja")),"Sí","")</f>
        <v/>
      </c>
      <c r="K183" s="6" t="s">
        <v>83</v>
      </c>
      <c r="L183" s="6"/>
      <c r="M183" s="6"/>
      <c r="N183" s="6"/>
      <c r="O183" s="6"/>
      <c r="P183" s="6">
        <f t="shared" si="4"/>
        <v>1</v>
      </c>
      <c r="Q183" s="5" t="str">
        <f t="shared" si="5"/>
        <v>2</v>
      </c>
      <c r="R183" s="5"/>
      <c r="S183" s="5"/>
      <c r="T183" s="5"/>
    </row>
    <row r="184" spans="1:20" ht="26.4" x14ac:dyDescent="0.3">
      <c r="A184" s="6">
        <v>344</v>
      </c>
      <c r="B184" s="1" t="s">
        <v>355</v>
      </c>
      <c r="C184" s="5" t="s">
        <v>341</v>
      </c>
      <c r="D184" s="5" t="s">
        <v>342</v>
      </c>
      <c r="E184" s="6" t="s">
        <v>60</v>
      </c>
      <c r="F184" s="6" t="s">
        <v>56</v>
      </c>
      <c r="G184" s="5"/>
      <c r="H184" s="6" t="s">
        <v>57</v>
      </c>
      <c r="I184" s="6"/>
      <c r="J184" s="6" t="str">
        <f>IF(OR(I184="Sí",H184="Alta",AND(Parámetros!$B$4&lt;&gt;"Alta",H184="Media"),AND(Parámetros!$B$4="Baja",H184="Baja")),"Sí","")</f>
        <v/>
      </c>
      <c r="K184" s="6"/>
      <c r="L184" s="6"/>
      <c r="M184" s="6"/>
      <c r="N184" s="6"/>
      <c r="O184" s="6"/>
      <c r="P184" s="6">
        <f t="shared" si="4"/>
        <v>0</v>
      </c>
      <c r="Q184" s="5" t="str">
        <f t="shared" si="5"/>
        <v/>
      </c>
      <c r="R184" s="5"/>
      <c r="S184" s="5"/>
      <c r="T184" s="5"/>
    </row>
    <row r="185" spans="1:20" ht="26.4" x14ac:dyDescent="0.3">
      <c r="A185" s="6">
        <v>460</v>
      </c>
      <c r="B185" s="1" t="s">
        <v>356</v>
      </c>
      <c r="C185" s="5" t="s">
        <v>341</v>
      </c>
      <c r="D185" s="5" t="s">
        <v>349</v>
      </c>
      <c r="E185" s="6" t="s">
        <v>71</v>
      </c>
      <c r="F185" s="6" t="s">
        <v>76</v>
      </c>
      <c r="G185" s="5" t="s">
        <v>72</v>
      </c>
      <c r="H185" s="6" t="s">
        <v>36</v>
      </c>
      <c r="I185" s="6"/>
      <c r="J185" s="6"/>
      <c r="K185" s="6" t="s">
        <v>83</v>
      </c>
      <c r="L185" s="6"/>
      <c r="M185" s="6"/>
      <c r="N185" s="6"/>
      <c r="O185" s="6"/>
      <c r="P185" s="6">
        <f t="shared" si="4"/>
        <v>1</v>
      </c>
      <c r="Q185" s="5" t="str">
        <f t="shared" si="5"/>
        <v>2</v>
      </c>
      <c r="R185" s="5"/>
      <c r="S185" s="5"/>
      <c r="T185" s="5"/>
    </row>
    <row r="186" spans="1:20" ht="26.4" x14ac:dyDescent="0.3">
      <c r="A186" s="6">
        <v>556</v>
      </c>
      <c r="B186" s="1" t="s">
        <v>357</v>
      </c>
      <c r="C186" s="5" t="s">
        <v>341</v>
      </c>
      <c r="D186" s="5" t="s">
        <v>349</v>
      </c>
      <c r="E186" s="6" t="s">
        <v>60</v>
      </c>
      <c r="F186" s="6" t="s">
        <v>56</v>
      </c>
      <c r="G186" s="5" t="s">
        <v>72</v>
      </c>
      <c r="H186" s="6" t="s">
        <v>78</v>
      </c>
      <c r="I186" s="6"/>
      <c r="J186" s="6" t="str">
        <f>IF(OR(I186="Sí",H186="Alta",AND(Parámetros!$B$4&lt;&gt;"Alta",H186="Media"),AND(Parámetros!$B$4="Baja",H186="Baja")),"Sí","")</f>
        <v/>
      </c>
      <c r="K186" s="6"/>
      <c r="L186" s="6"/>
      <c r="M186" s="6"/>
      <c r="N186" s="6"/>
      <c r="O186" s="6"/>
      <c r="P186" s="6">
        <f t="shared" si="4"/>
        <v>0</v>
      </c>
      <c r="Q186" s="5" t="str">
        <f t="shared" si="5"/>
        <v/>
      </c>
      <c r="R186" s="5"/>
      <c r="S186" s="5"/>
      <c r="T186" s="5"/>
    </row>
    <row r="187" spans="1:20" ht="26.4" x14ac:dyDescent="0.3">
      <c r="A187" s="6">
        <v>598</v>
      </c>
      <c r="B187" s="1" t="s">
        <v>358</v>
      </c>
      <c r="C187" s="5" t="s">
        <v>341</v>
      </c>
      <c r="D187" s="5" t="s">
        <v>347</v>
      </c>
      <c r="E187" s="6" t="s">
        <v>55</v>
      </c>
      <c r="F187" s="6" t="s">
        <v>56</v>
      </c>
      <c r="G187" s="5"/>
      <c r="H187" s="6" t="s">
        <v>57</v>
      </c>
      <c r="I187" s="6"/>
      <c r="J187" s="6" t="str">
        <f>IF(OR(I187="Sí",H187="Alta",AND(Parámetros!$B$4&lt;&gt;"Alta",H187="Media"),AND(Parámetros!$B$4="Baja",H187="Baja")),"Sí","")</f>
        <v/>
      </c>
      <c r="K187" s="6"/>
      <c r="L187" s="6"/>
      <c r="M187" s="6"/>
      <c r="N187" s="6"/>
      <c r="O187" s="6"/>
      <c r="P187" s="6">
        <f t="shared" si="4"/>
        <v>0</v>
      </c>
      <c r="Q187" s="5" t="str">
        <f t="shared" si="5"/>
        <v/>
      </c>
      <c r="R187" s="5" t="s">
        <v>58</v>
      </c>
      <c r="S187" s="5"/>
      <c r="T187" s="5"/>
    </row>
    <row r="188" spans="1:20" ht="26.4" x14ac:dyDescent="0.3">
      <c r="A188" s="6">
        <v>599</v>
      </c>
      <c r="B188" s="1" t="s">
        <v>359</v>
      </c>
      <c r="C188" s="5" t="s">
        <v>341</v>
      </c>
      <c r="D188" s="5" t="s">
        <v>347</v>
      </c>
      <c r="E188" s="6" t="s">
        <v>55</v>
      </c>
      <c r="F188" s="6" t="s">
        <v>76</v>
      </c>
      <c r="G188" s="5"/>
      <c r="H188" s="6" t="s">
        <v>57</v>
      </c>
      <c r="I188" s="6"/>
      <c r="J188" s="6" t="str">
        <f>IF(OR(I188="Sí",H188="Alta",AND(Parámetros!$B$4&lt;&gt;"Alta",H188="Media"),AND(Parámetros!$B$4="Baja",H188="Baja")),"Sí","")</f>
        <v/>
      </c>
      <c r="K188" s="6"/>
      <c r="L188" s="6"/>
      <c r="M188" s="6"/>
      <c r="N188" s="6" t="s">
        <v>83</v>
      </c>
      <c r="O188" s="6"/>
      <c r="P188" s="6">
        <f t="shared" si="4"/>
        <v>1</v>
      </c>
      <c r="Q188" s="5" t="str">
        <f t="shared" si="5"/>
        <v>5</v>
      </c>
      <c r="R188" s="5"/>
      <c r="S188" s="5"/>
      <c r="T188" s="5"/>
    </row>
    <row r="189" spans="1:20" ht="39.6" x14ac:dyDescent="0.3">
      <c r="A189" s="6">
        <v>600</v>
      </c>
      <c r="B189" s="1" t="s">
        <v>360</v>
      </c>
      <c r="C189" s="5" t="s">
        <v>341</v>
      </c>
      <c r="D189" s="5" t="s">
        <v>347</v>
      </c>
      <c r="E189" s="6" t="s">
        <v>60</v>
      </c>
      <c r="F189" s="6" t="s">
        <v>76</v>
      </c>
      <c r="G189" s="5" t="s">
        <v>361</v>
      </c>
      <c r="H189" s="6" t="s">
        <v>73</v>
      </c>
      <c r="I189" s="6"/>
      <c r="J189" s="6" t="str">
        <f>IF(OR(I189="Sí",H189="Alta",AND(Parámetros!$B$4&lt;&gt;"Alta",H189="Media"),AND(Parámetros!$B$4="Baja",H189="Baja")),"Sí","")</f>
        <v/>
      </c>
      <c r="K189" s="6"/>
      <c r="L189" s="6"/>
      <c r="M189" s="6"/>
      <c r="N189" s="6"/>
      <c r="O189" s="6"/>
      <c r="P189" s="6">
        <f t="shared" si="4"/>
        <v>0</v>
      </c>
      <c r="Q189" s="5" t="str">
        <f t="shared" si="5"/>
        <v/>
      </c>
      <c r="R189" s="5"/>
      <c r="S189" s="5"/>
      <c r="T189" s="5"/>
    </row>
    <row r="190" spans="1:20" ht="26.4" x14ac:dyDescent="0.3">
      <c r="A190" s="6">
        <v>601</v>
      </c>
      <c r="B190" s="1" t="s">
        <v>362</v>
      </c>
      <c r="C190" s="5" t="s">
        <v>341</v>
      </c>
      <c r="D190" s="5" t="s">
        <v>342</v>
      </c>
      <c r="E190" s="6" t="s">
        <v>60</v>
      </c>
      <c r="F190" s="6" t="s">
        <v>76</v>
      </c>
      <c r="G190" s="5"/>
      <c r="H190" s="6" t="s">
        <v>65</v>
      </c>
      <c r="I190" s="6"/>
      <c r="J190" s="6" t="str">
        <f>IF(OR(I190="Sí",H190="Alta",AND(Parámetros!$B$4&lt;&gt;"Alta",H190="Media"),AND(Parámetros!$B$4="Baja",H190="Baja")),"Sí","")</f>
        <v/>
      </c>
      <c r="K190" s="6"/>
      <c r="L190" s="6"/>
      <c r="M190" s="6"/>
      <c r="N190" s="6"/>
      <c r="O190" s="6"/>
      <c r="P190" s="6">
        <f t="shared" si="4"/>
        <v>0</v>
      </c>
      <c r="Q190" s="5" t="str">
        <f t="shared" si="5"/>
        <v/>
      </c>
      <c r="R190" s="5"/>
      <c r="S190" s="5"/>
      <c r="T190" s="5"/>
    </row>
    <row r="191" spans="1:20" ht="26.4" x14ac:dyDescent="0.3">
      <c r="A191" s="6">
        <v>602</v>
      </c>
      <c r="B191" s="1" t="s">
        <v>363</v>
      </c>
      <c r="C191" s="5" t="s">
        <v>341</v>
      </c>
      <c r="D191" s="5" t="s">
        <v>345</v>
      </c>
      <c r="E191" s="6" t="s">
        <v>55</v>
      </c>
      <c r="F191" s="6" t="s">
        <v>76</v>
      </c>
      <c r="G191" s="5"/>
      <c r="H191" s="6" t="s">
        <v>57</v>
      </c>
      <c r="I191" s="6"/>
      <c r="J191" s="6" t="str">
        <f>IF(OR(I191="Sí",H191="Alta",AND(Parámetros!$B$4&lt;&gt;"Alta",H191="Media"),AND(Parámetros!$B$4="Baja",H191="Baja")),"Sí","")</f>
        <v/>
      </c>
      <c r="K191" s="6"/>
      <c r="L191" s="6"/>
      <c r="M191" s="6"/>
      <c r="N191" s="6"/>
      <c r="O191" s="6"/>
      <c r="P191" s="6">
        <f t="shared" si="4"/>
        <v>0</v>
      </c>
      <c r="Q191" s="5" t="str">
        <f t="shared" si="5"/>
        <v/>
      </c>
      <c r="R191" s="5"/>
      <c r="S191" s="5"/>
      <c r="T191" s="5"/>
    </row>
    <row r="192" spans="1:20" ht="26.4" x14ac:dyDescent="0.3">
      <c r="A192" s="6">
        <v>276</v>
      </c>
      <c r="B192" s="1" t="s">
        <v>364</v>
      </c>
      <c r="C192" s="5" t="s">
        <v>365</v>
      </c>
      <c r="D192" s="5" t="s">
        <v>366</v>
      </c>
      <c r="E192" s="6" t="s">
        <v>60</v>
      </c>
      <c r="F192" s="6" t="s">
        <v>56</v>
      </c>
      <c r="G192" s="5" t="s">
        <v>72</v>
      </c>
      <c r="H192" s="6" t="s">
        <v>36</v>
      </c>
      <c r="I192" s="6"/>
      <c r="J192" s="6" t="str">
        <f>IF(OR(I192="Sí",H192="Alta",AND(Parámetros!$B$4&lt;&gt;"Alta",H192="Media"),AND(Parámetros!$B$4="Baja",H192="Baja")),"Sí","")</f>
        <v>Sí</v>
      </c>
      <c r="K192" s="6"/>
      <c r="L192" s="6"/>
      <c r="M192" s="6"/>
      <c r="N192" s="6"/>
      <c r="O192" s="6"/>
      <c r="P192" s="6">
        <f t="shared" si="4"/>
        <v>1</v>
      </c>
      <c r="Q192" s="5" t="str">
        <f t="shared" si="5"/>
        <v>1</v>
      </c>
      <c r="R192" s="5"/>
      <c r="S192" s="5"/>
      <c r="T192" s="5"/>
    </row>
    <row r="193" spans="1:20" ht="26.4" x14ac:dyDescent="0.3">
      <c r="A193" s="6">
        <v>277</v>
      </c>
      <c r="B193" s="1" t="s">
        <v>367</v>
      </c>
      <c r="C193" s="5" t="s">
        <v>365</v>
      </c>
      <c r="D193" s="5" t="s">
        <v>366</v>
      </c>
      <c r="E193" s="6" t="s">
        <v>60</v>
      </c>
      <c r="F193" s="6" t="s">
        <v>56</v>
      </c>
      <c r="G193" s="5" t="s">
        <v>72</v>
      </c>
      <c r="H193" s="6" t="s">
        <v>36</v>
      </c>
      <c r="I193" s="6"/>
      <c r="J193" s="6" t="str">
        <f>IF(OR(I193="Sí",H193="Alta",AND(Parámetros!$B$4&lt;&gt;"Alta",H193="Media"),AND(Parámetros!$B$4="Baja",H193="Baja")),"Sí","")</f>
        <v>Sí</v>
      </c>
      <c r="K193" s="6"/>
      <c r="L193" s="6"/>
      <c r="M193" s="6"/>
      <c r="N193" s="6"/>
      <c r="O193" s="6"/>
      <c r="P193" s="6">
        <f t="shared" si="4"/>
        <v>1</v>
      </c>
      <c r="Q193" s="5" t="str">
        <f t="shared" si="5"/>
        <v>1</v>
      </c>
      <c r="R193" s="5"/>
      <c r="S193" s="5"/>
      <c r="T193" s="5"/>
    </row>
    <row r="194" spans="1:20" ht="26.4" x14ac:dyDescent="0.3">
      <c r="A194" s="6">
        <v>278</v>
      </c>
      <c r="B194" s="1" t="s">
        <v>368</v>
      </c>
      <c r="C194" s="5" t="s">
        <v>365</v>
      </c>
      <c r="D194" s="5" t="s">
        <v>366</v>
      </c>
      <c r="E194" s="6" t="s">
        <v>75</v>
      </c>
      <c r="F194" s="6" t="s">
        <v>56</v>
      </c>
      <c r="G194" s="5" t="s">
        <v>72</v>
      </c>
      <c r="H194" s="6" t="s">
        <v>73</v>
      </c>
      <c r="I194" s="6"/>
      <c r="J194" s="6" t="str">
        <f>IF(OR(I194="Sí",H194="Alta",AND(Parámetros!$B$4&lt;&gt;"Alta",H194="Media"),AND(Parámetros!$B$4="Baja",H194="Baja")),"Sí","")</f>
        <v/>
      </c>
      <c r="K194" s="6"/>
      <c r="L194" s="6"/>
      <c r="M194" s="6"/>
      <c r="N194" s="6"/>
      <c r="O194" s="6"/>
      <c r="P194" s="6">
        <f t="shared" ref="P194:P257" si="6">COUNTIF(J194:O194,"Sí*")</f>
        <v>0</v>
      </c>
      <c r="Q194" s="5" t="str">
        <f t="shared" ref="Q194:Q257" si="7">MID(IF(J194="Sí",", 1","")&amp;IF(LEFT(K194,2)="Sí",", 2","")&amp;IF(LEFT(L194,2)="Sí",", 3","")&amp;IF(M194="Sí",", 4","")&amp;IF(N194="Sí",", 5","")&amp;IF(O194="Sí",", 6",""),3,40)</f>
        <v/>
      </c>
      <c r="R194" s="5"/>
      <c r="S194" s="5"/>
      <c r="T194" s="5"/>
    </row>
    <row r="195" spans="1:20" ht="26.4" x14ac:dyDescent="0.3">
      <c r="A195" s="6">
        <v>282</v>
      </c>
      <c r="B195" s="1" t="s">
        <v>369</v>
      </c>
      <c r="C195" s="5" t="s">
        <v>365</v>
      </c>
      <c r="D195" s="5" t="s">
        <v>366</v>
      </c>
      <c r="E195" s="6" t="s">
        <v>60</v>
      </c>
      <c r="F195" s="6" t="s">
        <v>56</v>
      </c>
      <c r="G195" s="5" t="s">
        <v>72</v>
      </c>
      <c r="H195" s="6" t="s">
        <v>73</v>
      </c>
      <c r="I195" s="6"/>
      <c r="J195" s="6" t="str">
        <f>IF(OR(I195="Sí",H195="Alta",AND(Parámetros!$B$4&lt;&gt;"Alta",H195="Media"),AND(Parámetros!$B$4="Baja",H195="Baja")),"Sí","")</f>
        <v/>
      </c>
      <c r="K195" s="6"/>
      <c r="L195" s="6"/>
      <c r="M195" s="6"/>
      <c r="N195" s="6"/>
      <c r="O195" s="6"/>
      <c r="P195" s="6">
        <f t="shared" si="6"/>
        <v>0</v>
      </c>
      <c r="Q195" s="5" t="str">
        <f t="shared" si="7"/>
        <v/>
      </c>
      <c r="R195" s="5"/>
      <c r="S195" s="5"/>
      <c r="T195" s="5"/>
    </row>
    <row r="196" spans="1:20" ht="26.4" x14ac:dyDescent="0.3">
      <c r="A196" s="6">
        <v>283</v>
      </c>
      <c r="B196" s="1" t="s">
        <v>370</v>
      </c>
      <c r="C196" s="5" t="s">
        <v>365</v>
      </c>
      <c r="D196" s="5" t="s">
        <v>366</v>
      </c>
      <c r="E196" s="6" t="s">
        <v>60</v>
      </c>
      <c r="F196" s="6" t="s">
        <v>56</v>
      </c>
      <c r="G196" s="5" t="s">
        <v>72</v>
      </c>
      <c r="H196" s="6" t="s">
        <v>78</v>
      </c>
      <c r="I196" s="6"/>
      <c r="J196" s="6" t="str">
        <f>IF(OR(I196="Sí",H196="Alta",AND(Parámetros!$B$4&lt;&gt;"Alta",H196="Media"),AND(Parámetros!$B$4="Baja",H196="Baja")),"Sí","")</f>
        <v/>
      </c>
      <c r="K196" s="6" t="s">
        <v>83</v>
      </c>
      <c r="L196" s="6"/>
      <c r="M196" s="6"/>
      <c r="N196" s="6"/>
      <c r="O196" s="6"/>
      <c r="P196" s="6">
        <f t="shared" si="6"/>
        <v>1</v>
      </c>
      <c r="Q196" s="5" t="str">
        <f t="shared" si="7"/>
        <v>2</v>
      </c>
      <c r="R196" s="5"/>
      <c r="S196" s="5"/>
      <c r="T196" s="5"/>
    </row>
    <row r="197" spans="1:20" ht="26.4" x14ac:dyDescent="0.3">
      <c r="A197" s="6">
        <v>286</v>
      </c>
      <c r="B197" s="1" t="s">
        <v>371</v>
      </c>
      <c r="C197" s="5" t="s">
        <v>365</v>
      </c>
      <c r="D197" s="5" t="s">
        <v>366</v>
      </c>
      <c r="E197" s="6" t="s">
        <v>75</v>
      </c>
      <c r="F197" s="6" t="s">
        <v>56</v>
      </c>
      <c r="G197" s="5" t="s">
        <v>72</v>
      </c>
      <c r="H197" s="6" t="s">
        <v>36</v>
      </c>
      <c r="I197" s="6"/>
      <c r="J197" s="6"/>
      <c r="K197" s="6"/>
      <c r="L197" s="6"/>
      <c r="M197" s="6"/>
      <c r="N197" s="6"/>
      <c r="O197" s="6"/>
      <c r="P197" s="6">
        <f t="shared" si="6"/>
        <v>0</v>
      </c>
      <c r="Q197" s="5" t="str">
        <f t="shared" si="7"/>
        <v/>
      </c>
      <c r="R197" s="5"/>
      <c r="S197" s="5"/>
      <c r="T197" s="5" t="s">
        <v>372</v>
      </c>
    </row>
    <row r="198" spans="1:20" ht="26.4" x14ac:dyDescent="0.3">
      <c r="A198" s="6">
        <v>288</v>
      </c>
      <c r="B198" s="1" t="s">
        <v>373</v>
      </c>
      <c r="C198" s="5" t="s">
        <v>365</v>
      </c>
      <c r="D198" s="5" t="s">
        <v>366</v>
      </c>
      <c r="E198" s="6" t="s">
        <v>60</v>
      </c>
      <c r="F198" s="6" t="s">
        <v>76</v>
      </c>
      <c r="G198" s="5" t="s">
        <v>72</v>
      </c>
      <c r="H198" s="6" t="s">
        <v>73</v>
      </c>
      <c r="I198" s="6"/>
      <c r="J198" s="6" t="str">
        <f>IF(OR(I198="Sí",H198="Alta",AND(Parámetros!$B$4&lt;&gt;"Alta",H198="Media"),AND(Parámetros!$B$4="Baja",H198="Baja")),"Sí","")</f>
        <v/>
      </c>
      <c r="K198" s="6"/>
      <c r="L198" s="6"/>
      <c r="M198" s="6"/>
      <c r="N198" s="6"/>
      <c r="O198" s="6"/>
      <c r="P198" s="6">
        <f t="shared" si="6"/>
        <v>0</v>
      </c>
      <c r="Q198" s="5" t="str">
        <f t="shared" si="7"/>
        <v/>
      </c>
      <c r="R198" s="5"/>
      <c r="S198" s="5"/>
      <c r="T198" s="5"/>
    </row>
    <row r="199" spans="1:20" ht="39.6" x14ac:dyDescent="0.3">
      <c r="A199" s="6">
        <v>573</v>
      </c>
      <c r="B199" s="1" t="s">
        <v>374</v>
      </c>
      <c r="C199" s="5" t="s">
        <v>365</v>
      </c>
      <c r="D199" s="5" t="s">
        <v>366</v>
      </c>
      <c r="E199" s="6" t="s">
        <v>55</v>
      </c>
      <c r="F199" s="6" t="s">
        <v>56</v>
      </c>
      <c r="G199" s="5" t="s">
        <v>72</v>
      </c>
      <c r="H199" s="6" t="s">
        <v>36</v>
      </c>
      <c r="I199" s="6"/>
      <c r="J199" s="6"/>
      <c r="K199" s="6" t="s">
        <v>83</v>
      </c>
      <c r="L199" s="6"/>
      <c r="M199" s="6"/>
      <c r="N199" s="6"/>
      <c r="O199" s="6"/>
      <c r="P199" s="6">
        <f t="shared" si="6"/>
        <v>1</v>
      </c>
      <c r="Q199" s="5" t="str">
        <f t="shared" si="7"/>
        <v>2</v>
      </c>
      <c r="R199" s="5"/>
      <c r="S199" s="5"/>
      <c r="T199" s="5"/>
    </row>
    <row r="200" spans="1:20" ht="39.6" x14ac:dyDescent="0.3">
      <c r="A200" s="6">
        <v>574</v>
      </c>
      <c r="B200" s="1" t="s">
        <v>375</v>
      </c>
      <c r="C200" s="5" t="s">
        <v>365</v>
      </c>
      <c r="D200" s="5" t="s">
        <v>366</v>
      </c>
      <c r="E200" s="6" t="s">
        <v>75</v>
      </c>
      <c r="F200" s="6" t="s">
        <v>56</v>
      </c>
      <c r="G200" s="5" t="s">
        <v>72</v>
      </c>
      <c r="H200" s="6" t="s">
        <v>36</v>
      </c>
      <c r="I200" s="6"/>
      <c r="J200" s="6"/>
      <c r="K200" s="6"/>
      <c r="L200" s="6"/>
      <c r="M200" s="6"/>
      <c r="N200" s="6"/>
      <c r="O200" s="6"/>
      <c r="P200" s="6">
        <f t="shared" si="6"/>
        <v>0</v>
      </c>
      <c r="Q200" s="5" t="str">
        <f t="shared" si="7"/>
        <v/>
      </c>
      <c r="R200" s="5"/>
      <c r="S200" s="5"/>
      <c r="T200" s="5" t="s">
        <v>376</v>
      </c>
    </row>
    <row r="201" spans="1:20" ht="26.4" x14ac:dyDescent="0.3">
      <c r="A201" s="6">
        <v>575</v>
      </c>
      <c r="B201" s="1" t="s">
        <v>377</v>
      </c>
      <c r="C201" s="5" t="s">
        <v>365</v>
      </c>
      <c r="D201" s="5" t="s">
        <v>366</v>
      </c>
      <c r="E201" s="6" t="s">
        <v>60</v>
      </c>
      <c r="F201" s="6" t="s">
        <v>56</v>
      </c>
      <c r="G201" s="5"/>
      <c r="H201" s="6" t="s">
        <v>57</v>
      </c>
      <c r="I201" s="6"/>
      <c r="J201" s="6" t="str">
        <f>IF(OR(I201="Sí",H201="Alta",AND(Parámetros!$B$4&lt;&gt;"Alta",H201="Media"),AND(Parámetros!$B$4="Baja",H201="Baja")),"Sí","")</f>
        <v/>
      </c>
      <c r="K201" s="6"/>
      <c r="L201" s="6"/>
      <c r="M201" s="6"/>
      <c r="N201" s="6"/>
      <c r="O201" s="6"/>
      <c r="P201" s="6">
        <f t="shared" si="6"/>
        <v>0</v>
      </c>
      <c r="Q201" s="5" t="str">
        <f t="shared" si="7"/>
        <v/>
      </c>
      <c r="R201" s="5" t="s">
        <v>58</v>
      </c>
      <c r="S201" s="5"/>
      <c r="T201" s="5"/>
    </row>
    <row r="202" spans="1:20" ht="26.4" x14ac:dyDescent="0.3">
      <c r="A202" s="6">
        <v>576</v>
      </c>
      <c r="B202" s="1" t="s">
        <v>378</v>
      </c>
      <c r="C202" s="5" t="s">
        <v>365</v>
      </c>
      <c r="D202" s="5" t="s">
        <v>366</v>
      </c>
      <c r="E202" s="6" t="s">
        <v>60</v>
      </c>
      <c r="F202" s="6" t="s">
        <v>56</v>
      </c>
      <c r="G202" s="5"/>
      <c r="H202" s="6" t="s">
        <v>57</v>
      </c>
      <c r="I202" s="6"/>
      <c r="J202" s="6" t="str">
        <f>IF(OR(I202="Sí",H202="Alta",AND(Parámetros!$B$4&lt;&gt;"Alta",H202="Media"),AND(Parámetros!$B$4="Baja",H202="Baja")),"Sí","")</f>
        <v/>
      </c>
      <c r="K202" s="6" t="s">
        <v>83</v>
      </c>
      <c r="L202" s="6"/>
      <c r="M202" s="6"/>
      <c r="N202" s="6"/>
      <c r="O202" s="6"/>
      <c r="P202" s="6">
        <f t="shared" si="6"/>
        <v>1</v>
      </c>
      <c r="Q202" s="5" t="str">
        <f t="shared" si="7"/>
        <v>2</v>
      </c>
      <c r="R202" s="5"/>
      <c r="S202" s="5"/>
      <c r="T202" s="5"/>
    </row>
    <row r="203" spans="1:20" ht="26.4" x14ac:dyDescent="0.3">
      <c r="A203" s="6">
        <v>577</v>
      </c>
      <c r="B203" s="1" t="s">
        <v>379</v>
      </c>
      <c r="C203" s="5" t="s">
        <v>365</v>
      </c>
      <c r="D203" s="5" t="s">
        <v>366</v>
      </c>
      <c r="E203" s="6" t="s">
        <v>60</v>
      </c>
      <c r="F203" s="6" t="s">
        <v>56</v>
      </c>
      <c r="G203" s="5"/>
      <c r="H203" s="6" t="s">
        <v>65</v>
      </c>
      <c r="I203" s="6"/>
      <c r="J203" s="6" t="str">
        <f>IF(OR(I203="Sí",H203="Alta",AND(Parámetros!$B$4&lt;&gt;"Alta",H203="Media"),AND(Parámetros!$B$4="Baja",H203="Baja")),"Sí","")</f>
        <v/>
      </c>
      <c r="K203" s="6"/>
      <c r="L203" s="6"/>
      <c r="M203" s="6"/>
      <c r="N203" s="6"/>
      <c r="O203" s="6"/>
      <c r="P203" s="6">
        <f t="shared" si="6"/>
        <v>0</v>
      </c>
      <c r="Q203" s="5" t="str">
        <f t="shared" si="7"/>
        <v/>
      </c>
      <c r="R203" s="5"/>
      <c r="S203" s="5"/>
      <c r="T203" s="5"/>
    </row>
    <row r="204" spans="1:20" ht="26.4" x14ac:dyDescent="0.3">
      <c r="A204" s="6">
        <v>197</v>
      </c>
      <c r="B204" s="1" t="s">
        <v>380</v>
      </c>
      <c r="C204" s="5" t="s">
        <v>381</v>
      </c>
      <c r="D204" s="5" t="s">
        <v>382</v>
      </c>
      <c r="E204" s="6" t="s">
        <v>60</v>
      </c>
      <c r="F204" s="6" t="s">
        <v>61</v>
      </c>
      <c r="G204" s="5"/>
      <c r="H204" s="6" t="s">
        <v>57</v>
      </c>
      <c r="I204" s="6"/>
      <c r="J204" s="6" t="str">
        <f>IF(OR(I204="Sí",H204="Alta",AND(Parámetros!$B$4&lt;&gt;"Alta",H204="Media"),AND(Parámetros!$B$4="Baja",H204="Baja")),"Sí","")</f>
        <v/>
      </c>
      <c r="K204" s="6"/>
      <c r="L204" s="6"/>
      <c r="M204" s="6"/>
      <c r="N204" s="6"/>
      <c r="O204" s="6"/>
      <c r="P204" s="6">
        <f t="shared" si="6"/>
        <v>0</v>
      </c>
      <c r="Q204" s="5" t="str">
        <f t="shared" si="7"/>
        <v/>
      </c>
      <c r="R204" s="5" t="s">
        <v>131</v>
      </c>
      <c r="S204" s="5"/>
      <c r="T204" s="5"/>
    </row>
    <row r="205" spans="1:20" ht="26.4" x14ac:dyDescent="0.3">
      <c r="A205" s="6">
        <v>529</v>
      </c>
      <c r="B205" s="1" t="s">
        <v>383</v>
      </c>
      <c r="C205" s="5" t="s">
        <v>381</v>
      </c>
      <c r="D205" s="5" t="s">
        <v>382</v>
      </c>
      <c r="E205" s="6" t="s">
        <v>71</v>
      </c>
      <c r="F205" s="6" t="s">
        <v>61</v>
      </c>
      <c r="G205" s="5"/>
      <c r="H205" s="6" t="s">
        <v>57</v>
      </c>
      <c r="I205" s="6"/>
      <c r="J205" s="6" t="str">
        <f>IF(OR(I205="Sí",H205="Alta",AND(Parámetros!$B$4&lt;&gt;"Alta",H205="Media"),AND(Parámetros!$B$4="Baja",H205="Baja")),"Sí","")</f>
        <v/>
      </c>
      <c r="K205" s="6"/>
      <c r="L205" s="6"/>
      <c r="M205" s="6"/>
      <c r="N205" s="6"/>
      <c r="O205" s="6"/>
      <c r="P205" s="6">
        <f t="shared" si="6"/>
        <v>0</v>
      </c>
      <c r="Q205" s="5" t="str">
        <f t="shared" si="7"/>
        <v/>
      </c>
      <c r="R205" s="5" t="s">
        <v>154</v>
      </c>
      <c r="S205" s="5"/>
      <c r="T205" s="5"/>
    </row>
    <row r="206" spans="1:20" ht="26.4" x14ac:dyDescent="0.3">
      <c r="A206" s="6">
        <v>634</v>
      </c>
      <c r="B206" s="1" t="s">
        <v>384</v>
      </c>
      <c r="C206" s="5" t="s">
        <v>381</v>
      </c>
      <c r="D206" s="5" t="s">
        <v>382</v>
      </c>
      <c r="E206" s="6" t="s">
        <v>55</v>
      </c>
      <c r="F206" s="6" t="s">
        <v>56</v>
      </c>
      <c r="G206" s="5"/>
      <c r="H206" s="6" t="s">
        <v>57</v>
      </c>
      <c r="I206" s="6"/>
      <c r="J206" s="6" t="str">
        <f>IF(OR(I206="Sí",H206="Alta",AND(Parámetros!$B$4&lt;&gt;"Alta",H206="Media"),AND(Parámetros!$B$4="Baja",H206="Baja")),"Sí","")</f>
        <v/>
      </c>
      <c r="K206" s="6"/>
      <c r="L206" s="6"/>
      <c r="M206" s="6"/>
      <c r="N206" s="6"/>
      <c r="O206" s="6"/>
      <c r="P206" s="6">
        <f t="shared" si="6"/>
        <v>0</v>
      </c>
      <c r="Q206" s="5" t="str">
        <f t="shared" si="7"/>
        <v/>
      </c>
      <c r="R206" s="5" t="s">
        <v>58</v>
      </c>
      <c r="S206" s="5"/>
      <c r="T206" s="5"/>
    </row>
    <row r="207" spans="1:20" ht="39.6" x14ac:dyDescent="0.3">
      <c r="A207" s="6">
        <v>541</v>
      </c>
      <c r="B207" s="1" t="s">
        <v>385</v>
      </c>
      <c r="C207" s="5" t="s">
        <v>386</v>
      </c>
      <c r="D207" s="5" t="s">
        <v>387</v>
      </c>
      <c r="E207" s="6" t="s">
        <v>60</v>
      </c>
      <c r="F207" s="6" t="s">
        <v>76</v>
      </c>
      <c r="G207" s="5" t="s">
        <v>388</v>
      </c>
      <c r="H207" s="6" t="s">
        <v>78</v>
      </c>
      <c r="I207" s="6"/>
      <c r="J207" s="6" t="str">
        <f>IF(OR(I207="Sí",H207="Alta",AND(Parámetros!$B$4&lt;&gt;"Alta",H207="Media"),AND(Parámetros!$B$4="Baja",H207="Baja")),"Sí","")</f>
        <v/>
      </c>
      <c r="K207" s="6" t="s">
        <v>83</v>
      </c>
      <c r="L207" s="6"/>
      <c r="M207" s="6"/>
      <c r="N207" s="6"/>
      <c r="O207" s="6"/>
      <c r="P207" s="6">
        <f t="shared" si="6"/>
        <v>1</v>
      </c>
      <c r="Q207" s="5" t="str">
        <f t="shared" si="7"/>
        <v>2</v>
      </c>
      <c r="R207" s="5"/>
      <c r="S207" s="5"/>
      <c r="T207" s="5"/>
    </row>
    <row r="208" spans="1:20" ht="39.6" x14ac:dyDescent="0.3">
      <c r="A208" s="6">
        <v>542</v>
      </c>
      <c r="B208" s="1" t="s">
        <v>389</v>
      </c>
      <c r="C208" s="5" t="s">
        <v>386</v>
      </c>
      <c r="D208" s="5" t="s">
        <v>387</v>
      </c>
      <c r="E208" s="6" t="s">
        <v>75</v>
      </c>
      <c r="F208" s="6" t="s">
        <v>76</v>
      </c>
      <c r="G208" s="5" t="s">
        <v>388</v>
      </c>
      <c r="H208" s="6" t="s">
        <v>36</v>
      </c>
      <c r="I208" s="6"/>
      <c r="J208" s="6"/>
      <c r="K208" s="6" t="s">
        <v>83</v>
      </c>
      <c r="L208" s="6"/>
      <c r="M208" s="6"/>
      <c r="N208" s="6"/>
      <c r="O208" s="6"/>
      <c r="P208" s="6">
        <f t="shared" si="6"/>
        <v>1</v>
      </c>
      <c r="Q208" s="5" t="str">
        <f t="shared" si="7"/>
        <v>2</v>
      </c>
      <c r="R208" s="5"/>
      <c r="S208" s="5"/>
      <c r="T208" s="5"/>
    </row>
    <row r="209" spans="1:20" ht="26.4" x14ac:dyDescent="0.3">
      <c r="A209" s="6">
        <v>546</v>
      </c>
      <c r="B209" s="1" t="s">
        <v>390</v>
      </c>
      <c r="C209" s="5" t="s">
        <v>386</v>
      </c>
      <c r="D209" s="5" t="s">
        <v>387</v>
      </c>
      <c r="E209" s="6" t="s">
        <v>60</v>
      </c>
      <c r="F209" s="6" t="s">
        <v>76</v>
      </c>
      <c r="G209" s="5"/>
      <c r="H209" s="6" t="s">
        <v>57</v>
      </c>
      <c r="I209" s="6"/>
      <c r="J209" s="6" t="str">
        <f>IF(OR(I209="Sí",H209="Alta",AND(Parámetros!$B$4&lt;&gt;"Alta",H209="Media"),AND(Parámetros!$B$4="Baja",H209="Baja")),"Sí","")</f>
        <v/>
      </c>
      <c r="K209" s="6" t="s">
        <v>83</v>
      </c>
      <c r="L209" s="6"/>
      <c r="M209" s="6"/>
      <c r="N209" s="6"/>
      <c r="O209" s="6"/>
      <c r="P209" s="6">
        <f t="shared" si="6"/>
        <v>1</v>
      </c>
      <c r="Q209" s="5" t="str">
        <f t="shared" si="7"/>
        <v>2</v>
      </c>
      <c r="R209" s="5"/>
      <c r="S209" s="5"/>
      <c r="T209" s="5"/>
    </row>
    <row r="210" spans="1:20" ht="26.4" x14ac:dyDescent="0.3">
      <c r="A210" s="6">
        <v>547</v>
      </c>
      <c r="B210" s="1" t="s">
        <v>391</v>
      </c>
      <c r="C210" s="5" t="s">
        <v>386</v>
      </c>
      <c r="D210" s="5" t="s">
        <v>387</v>
      </c>
      <c r="E210" s="6" t="s">
        <v>55</v>
      </c>
      <c r="F210" s="6" t="s">
        <v>56</v>
      </c>
      <c r="G210" s="5" t="s">
        <v>72</v>
      </c>
      <c r="H210" s="6" t="s">
        <v>73</v>
      </c>
      <c r="I210" s="6"/>
      <c r="J210" s="6" t="str">
        <f>IF(OR(I210="Sí",H210="Alta",AND(Parámetros!$B$4&lt;&gt;"Alta",H210="Media"),AND(Parámetros!$B$4="Baja",H210="Baja")),"Sí","")</f>
        <v/>
      </c>
      <c r="K210" s="6" t="s">
        <v>83</v>
      </c>
      <c r="L210" s="6"/>
      <c r="M210" s="6"/>
      <c r="N210" s="6"/>
      <c r="O210" s="6"/>
      <c r="P210" s="6">
        <f t="shared" si="6"/>
        <v>1</v>
      </c>
      <c r="Q210" s="5" t="str">
        <f t="shared" si="7"/>
        <v>2</v>
      </c>
      <c r="R210" s="5" t="s">
        <v>58</v>
      </c>
      <c r="S210" s="5"/>
      <c r="T210" s="5"/>
    </row>
    <row r="211" spans="1:20" x14ac:dyDescent="0.3">
      <c r="A211" s="6">
        <v>239</v>
      </c>
      <c r="B211" s="1" t="s">
        <v>392</v>
      </c>
      <c r="C211" s="5" t="s">
        <v>393</v>
      </c>
      <c r="D211" s="5" t="s">
        <v>394</v>
      </c>
      <c r="E211" s="6" t="s">
        <v>75</v>
      </c>
      <c r="F211" s="6" t="s">
        <v>230</v>
      </c>
      <c r="G211" s="5"/>
      <c r="H211" s="6" t="s">
        <v>57</v>
      </c>
      <c r="I211" s="6"/>
      <c r="J211" s="6" t="str">
        <f>IF(OR(I211="Sí",H211="Alta",AND(Parámetros!$B$4&lt;&gt;"Alta",H211="Media"),AND(Parámetros!$B$4="Baja",H211="Baja")),"Sí","")</f>
        <v/>
      </c>
      <c r="K211" s="6"/>
      <c r="L211" s="6"/>
      <c r="M211" s="6"/>
      <c r="N211" s="6"/>
      <c r="O211" s="6"/>
      <c r="P211" s="6">
        <f t="shared" si="6"/>
        <v>0</v>
      </c>
      <c r="Q211" s="5" t="str">
        <f t="shared" si="7"/>
        <v/>
      </c>
      <c r="R211" s="5"/>
      <c r="S211" s="5"/>
      <c r="T211" s="5"/>
    </row>
    <row r="212" spans="1:20" ht="26.4" x14ac:dyDescent="0.3">
      <c r="A212" s="6">
        <v>240</v>
      </c>
      <c r="B212" s="1" t="s">
        <v>395</v>
      </c>
      <c r="C212" s="5" t="s">
        <v>393</v>
      </c>
      <c r="D212" s="5" t="s">
        <v>394</v>
      </c>
      <c r="E212" s="6" t="s">
        <v>60</v>
      </c>
      <c r="F212" s="6" t="s">
        <v>61</v>
      </c>
      <c r="G212" s="5"/>
      <c r="H212" s="6" t="s">
        <v>57</v>
      </c>
      <c r="I212" s="6"/>
      <c r="J212" s="6" t="str">
        <f>IF(OR(I212="Sí",H212="Alta",AND(Parámetros!$B$4&lt;&gt;"Alta",H212="Media"),AND(Parámetros!$B$4="Baja",H212="Baja")),"Sí","")</f>
        <v/>
      </c>
      <c r="K212" s="6"/>
      <c r="L212" s="6"/>
      <c r="M212" s="6"/>
      <c r="N212" s="6"/>
      <c r="O212" s="6"/>
      <c r="P212" s="6">
        <f t="shared" si="6"/>
        <v>0</v>
      </c>
      <c r="Q212" s="5" t="str">
        <f t="shared" si="7"/>
        <v/>
      </c>
      <c r="R212" s="5"/>
      <c r="S212" s="5"/>
      <c r="T212" s="5"/>
    </row>
    <row r="213" spans="1:20" ht="26.4" x14ac:dyDescent="0.3">
      <c r="A213" s="6">
        <v>241</v>
      </c>
      <c r="B213" s="1" t="s">
        <v>396</v>
      </c>
      <c r="C213" s="5" t="s">
        <v>393</v>
      </c>
      <c r="D213" s="5" t="s">
        <v>394</v>
      </c>
      <c r="E213" s="6" t="s">
        <v>60</v>
      </c>
      <c r="F213" s="6" t="s">
        <v>230</v>
      </c>
      <c r="G213" s="5"/>
      <c r="H213" s="6" t="s">
        <v>57</v>
      </c>
      <c r="I213" s="6"/>
      <c r="J213" s="6" t="str">
        <f>IF(OR(I213="Sí",H213="Alta",AND(Parámetros!$B$4&lt;&gt;"Alta",H213="Media"),AND(Parámetros!$B$4="Baja",H213="Baja")),"Sí","")</f>
        <v/>
      </c>
      <c r="K213" s="6"/>
      <c r="L213" s="6"/>
      <c r="M213" s="6"/>
      <c r="N213" s="6"/>
      <c r="O213" s="6"/>
      <c r="P213" s="6">
        <f t="shared" si="6"/>
        <v>0</v>
      </c>
      <c r="Q213" s="5" t="str">
        <f t="shared" si="7"/>
        <v/>
      </c>
      <c r="R213" s="5"/>
      <c r="S213" s="5"/>
      <c r="T213" s="5"/>
    </row>
    <row r="214" spans="1:20" ht="26.4" x14ac:dyDescent="0.3">
      <c r="A214" s="6">
        <v>491</v>
      </c>
      <c r="B214" s="1" t="s">
        <v>397</v>
      </c>
      <c r="C214" s="5" t="s">
        <v>393</v>
      </c>
      <c r="D214" s="5" t="s">
        <v>394</v>
      </c>
      <c r="E214" s="6" t="s">
        <v>55</v>
      </c>
      <c r="F214" s="6" t="s">
        <v>56</v>
      </c>
      <c r="G214" s="5"/>
      <c r="H214" s="6" t="s">
        <v>57</v>
      </c>
      <c r="I214" s="6"/>
      <c r="J214" s="6" t="str">
        <f>IF(OR(I214="Sí",H214="Alta",AND(Parámetros!$B$4&lt;&gt;"Alta",H214="Media"),AND(Parámetros!$B$4="Baja",H214="Baja")),"Sí","")</f>
        <v/>
      </c>
      <c r="K214" s="6"/>
      <c r="L214" s="6"/>
      <c r="M214" s="6"/>
      <c r="N214" s="6"/>
      <c r="O214" s="6"/>
      <c r="P214" s="6">
        <f t="shared" si="6"/>
        <v>0</v>
      </c>
      <c r="Q214" s="5" t="str">
        <f t="shared" si="7"/>
        <v/>
      </c>
      <c r="R214" s="5" t="s">
        <v>58</v>
      </c>
      <c r="S214" s="5"/>
      <c r="T214" s="5"/>
    </row>
    <row r="215" spans="1:20" ht="26.4" x14ac:dyDescent="0.3">
      <c r="A215" s="6">
        <v>563</v>
      </c>
      <c r="B215" s="1" t="s">
        <v>398</v>
      </c>
      <c r="C215" s="5" t="s">
        <v>393</v>
      </c>
      <c r="D215" s="5" t="s">
        <v>394</v>
      </c>
      <c r="E215" s="6" t="s">
        <v>60</v>
      </c>
      <c r="F215" s="6" t="s">
        <v>178</v>
      </c>
      <c r="G215" s="5"/>
      <c r="H215" s="6" t="s">
        <v>57</v>
      </c>
      <c r="I215" s="6"/>
      <c r="J215" s="6" t="str">
        <f>IF(OR(I215="Sí",H215="Alta",AND(Parámetros!$B$4&lt;&gt;"Alta",H215="Media"),AND(Parámetros!$B$4="Baja",H215="Baja")),"Sí","")</f>
        <v/>
      </c>
      <c r="K215" s="6"/>
      <c r="L215" s="6"/>
      <c r="M215" s="6"/>
      <c r="N215" s="6"/>
      <c r="O215" s="6"/>
      <c r="P215" s="6">
        <f t="shared" si="6"/>
        <v>0</v>
      </c>
      <c r="Q215" s="5" t="str">
        <f t="shared" si="7"/>
        <v/>
      </c>
      <c r="R215" s="5" t="s">
        <v>154</v>
      </c>
      <c r="S215" s="5"/>
      <c r="T215" s="5"/>
    </row>
    <row r="216" spans="1:20" ht="26.4" x14ac:dyDescent="0.3">
      <c r="A216" s="6">
        <v>603</v>
      </c>
      <c r="B216" s="1" t="s">
        <v>399</v>
      </c>
      <c r="C216" s="5" t="s">
        <v>393</v>
      </c>
      <c r="D216" s="5" t="s">
        <v>394</v>
      </c>
      <c r="E216" s="6" t="s">
        <v>60</v>
      </c>
      <c r="F216" s="6" t="s">
        <v>230</v>
      </c>
      <c r="G216" s="5"/>
      <c r="H216" s="6" t="s">
        <v>57</v>
      </c>
      <c r="I216" s="6"/>
      <c r="J216" s="6" t="str">
        <f>IF(OR(I216="Sí",H216="Alta",AND(Parámetros!$B$4&lt;&gt;"Alta",H216="Media"),AND(Parámetros!$B$4="Baja",H216="Baja")),"Sí","")</f>
        <v/>
      </c>
      <c r="K216" s="6"/>
      <c r="L216" s="6"/>
      <c r="M216" s="6"/>
      <c r="N216" s="6"/>
      <c r="O216" s="6"/>
      <c r="P216" s="6">
        <f t="shared" si="6"/>
        <v>0</v>
      </c>
      <c r="Q216" s="5" t="str">
        <f t="shared" si="7"/>
        <v/>
      </c>
      <c r="R216" s="5"/>
      <c r="S216" s="5"/>
      <c r="T216" s="5"/>
    </row>
    <row r="217" spans="1:20" ht="26.4" x14ac:dyDescent="0.3">
      <c r="A217" s="6">
        <v>604</v>
      </c>
      <c r="B217" s="1" t="s">
        <v>400</v>
      </c>
      <c r="C217" s="5" t="s">
        <v>393</v>
      </c>
      <c r="D217" s="5" t="s">
        <v>394</v>
      </c>
      <c r="E217" s="6" t="s">
        <v>60</v>
      </c>
      <c r="F217" s="6" t="s">
        <v>178</v>
      </c>
      <c r="G217" s="5"/>
      <c r="H217" s="6" t="s">
        <v>57</v>
      </c>
      <c r="I217" s="6"/>
      <c r="J217" s="6" t="str">
        <f>IF(OR(I217="Sí",H217="Alta",AND(Parámetros!$B$4&lt;&gt;"Alta",H217="Media"),AND(Parámetros!$B$4="Baja",H217="Baja")),"Sí","")</f>
        <v/>
      </c>
      <c r="K217" s="6"/>
      <c r="L217" s="6"/>
      <c r="M217" s="6"/>
      <c r="N217" s="6"/>
      <c r="O217" s="6"/>
      <c r="P217" s="6">
        <f t="shared" si="6"/>
        <v>0</v>
      </c>
      <c r="Q217" s="5" t="str">
        <f t="shared" si="7"/>
        <v/>
      </c>
      <c r="R217" s="5" t="s">
        <v>154</v>
      </c>
      <c r="S217" s="5"/>
      <c r="T217" s="5"/>
    </row>
    <row r="218" spans="1:20" ht="26.4" x14ac:dyDescent="0.3">
      <c r="A218" s="6">
        <v>605</v>
      </c>
      <c r="B218" s="1" t="s">
        <v>401</v>
      </c>
      <c r="C218" s="5" t="s">
        <v>393</v>
      </c>
      <c r="D218" s="5" t="s">
        <v>394</v>
      </c>
      <c r="E218" s="6" t="s">
        <v>75</v>
      </c>
      <c r="F218" s="6" t="s">
        <v>178</v>
      </c>
      <c r="G218" s="5"/>
      <c r="H218" s="6" t="s">
        <v>57</v>
      </c>
      <c r="I218" s="6"/>
      <c r="J218" s="6" t="str">
        <f>IF(OR(I218="Sí",H218="Alta",AND(Parámetros!$B$4&lt;&gt;"Alta",H218="Media"),AND(Parámetros!$B$4="Baja",H218="Baja")),"Sí","")</f>
        <v/>
      </c>
      <c r="K218" s="6"/>
      <c r="L218" s="6"/>
      <c r="M218" s="6"/>
      <c r="N218" s="6"/>
      <c r="O218" s="6"/>
      <c r="P218" s="6">
        <f t="shared" si="6"/>
        <v>0</v>
      </c>
      <c r="Q218" s="5" t="str">
        <f t="shared" si="7"/>
        <v/>
      </c>
      <c r="R218" s="5"/>
      <c r="S218" s="5"/>
      <c r="T218" s="5"/>
    </row>
    <row r="219" spans="1:20" ht="26.4" x14ac:dyDescent="0.3">
      <c r="A219" s="6">
        <v>606</v>
      </c>
      <c r="B219" s="1" t="s">
        <v>402</v>
      </c>
      <c r="C219" s="5" t="s">
        <v>393</v>
      </c>
      <c r="D219" s="5" t="s">
        <v>394</v>
      </c>
      <c r="E219" s="6" t="s">
        <v>75</v>
      </c>
      <c r="F219" s="6" t="s">
        <v>61</v>
      </c>
      <c r="G219" s="5"/>
      <c r="H219" s="6" t="s">
        <v>57</v>
      </c>
      <c r="I219" s="6"/>
      <c r="J219" s="6" t="str">
        <f>IF(OR(I219="Sí",H219="Alta",AND(Parámetros!$B$4&lt;&gt;"Alta",H219="Media"),AND(Parámetros!$B$4="Baja",H219="Baja")),"Sí","")</f>
        <v/>
      </c>
      <c r="K219" s="6"/>
      <c r="L219" s="6"/>
      <c r="M219" s="6"/>
      <c r="N219" s="6"/>
      <c r="O219" s="6"/>
      <c r="P219" s="6">
        <f t="shared" si="6"/>
        <v>0</v>
      </c>
      <c r="Q219" s="5" t="str">
        <f t="shared" si="7"/>
        <v/>
      </c>
      <c r="R219" s="5"/>
      <c r="S219" s="5"/>
      <c r="T219" s="5"/>
    </row>
    <row r="220" spans="1:20" ht="26.4" x14ac:dyDescent="0.3">
      <c r="A220" s="6">
        <v>389</v>
      </c>
      <c r="B220" s="1" t="s">
        <v>403</v>
      </c>
      <c r="C220" s="5" t="s">
        <v>404</v>
      </c>
      <c r="D220" s="5" t="s">
        <v>405</v>
      </c>
      <c r="E220" s="6" t="s">
        <v>60</v>
      </c>
      <c r="F220" s="6" t="s">
        <v>56</v>
      </c>
      <c r="G220" s="5" t="s">
        <v>72</v>
      </c>
      <c r="H220" s="6" t="s">
        <v>36</v>
      </c>
      <c r="I220" s="6"/>
      <c r="J220" s="6" t="str">
        <f>IF(OR(I220="Sí",H220="Alta",AND(Parámetros!$B$4&lt;&gt;"Alta",H220="Media"),AND(Parámetros!$B$4="Baja",H220="Baja")),"Sí","")</f>
        <v>Sí</v>
      </c>
      <c r="K220" s="6"/>
      <c r="L220" s="6"/>
      <c r="M220" s="6"/>
      <c r="N220" s="6"/>
      <c r="O220" s="6"/>
      <c r="P220" s="6">
        <f t="shared" si="6"/>
        <v>1</v>
      </c>
      <c r="Q220" s="5" t="str">
        <f t="shared" si="7"/>
        <v>1</v>
      </c>
      <c r="R220" s="5"/>
      <c r="S220" s="5"/>
      <c r="T220" s="5"/>
    </row>
    <row r="221" spans="1:20" ht="26.4" x14ac:dyDescent="0.3">
      <c r="A221" s="6">
        <v>503</v>
      </c>
      <c r="B221" s="1" t="s">
        <v>406</v>
      </c>
      <c r="C221" s="5" t="s">
        <v>404</v>
      </c>
      <c r="D221" s="5" t="s">
        <v>405</v>
      </c>
      <c r="E221" s="6" t="s">
        <v>55</v>
      </c>
      <c r="F221" s="6" t="s">
        <v>56</v>
      </c>
      <c r="G221" s="5"/>
      <c r="H221" s="6" t="s">
        <v>57</v>
      </c>
      <c r="I221" s="6"/>
      <c r="J221" s="6" t="str">
        <f>IF(OR(I221="Sí",H221="Alta",AND(Parámetros!$B$4&lt;&gt;"Alta",H221="Media"),AND(Parámetros!$B$4="Baja",H221="Baja")),"Sí","")</f>
        <v/>
      </c>
      <c r="K221" s="6"/>
      <c r="L221" s="6"/>
      <c r="M221" s="6"/>
      <c r="N221" s="6"/>
      <c r="O221" s="6"/>
      <c r="P221" s="6">
        <f t="shared" si="6"/>
        <v>0</v>
      </c>
      <c r="Q221" s="5" t="str">
        <f t="shared" si="7"/>
        <v/>
      </c>
      <c r="R221" s="5" t="s">
        <v>58</v>
      </c>
      <c r="S221" s="5"/>
      <c r="T221" s="5"/>
    </row>
    <row r="222" spans="1:20" ht="26.4" x14ac:dyDescent="0.3">
      <c r="A222" s="6">
        <v>122</v>
      </c>
      <c r="B222" s="1" t="s">
        <v>407</v>
      </c>
      <c r="C222" s="5" t="s">
        <v>408</v>
      </c>
      <c r="D222" s="5" t="s">
        <v>409</v>
      </c>
      <c r="E222" s="6" t="s">
        <v>60</v>
      </c>
      <c r="F222" s="6" t="s">
        <v>230</v>
      </c>
      <c r="G222" s="5"/>
      <c r="H222" s="6" t="s">
        <v>57</v>
      </c>
      <c r="I222" s="6"/>
      <c r="J222" s="6" t="str">
        <f>IF(OR(I222="Sí",H222="Alta",AND(Parámetros!$B$4&lt;&gt;"Alta",H222="Media"),AND(Parámetros!$B$4="Baja",H222="Baja")),"Sí","")</f>
        <v/>
      </c>
      <c r="K222" s="6"/>
      <c r="L222" s="6"/>
      <c r="M222" s="6"/>
      <c r="N222" s="6"/>
      <c r="O222" s="6"/>
      <c r="P222" s="6">
        <f t="shared" si="6"/>
        <v>0</v>
      </c>
      <c r="Q222" s="5" t="str">
        <f t="shared" si="7"/>
        <v/>
      </c>
      <c r="R222" s="5" t="s">
        <v>131</v>
      </c>
      <c r="S222" s="5"/>
      <c r="T222" s="5"/>
    </row>
    <row r="223" spans="1:20" ht="26.4" x14ac:dyDescent="0.3">
      <c r="A223" s="6">
        <v>436</v>
      </c>
      <c r="B223" s="1" t="s">
        <v>410</v>
      </c>
      <c r="C223" s="5" t="s">
        <v>408</v>
      </c>
      <c r="D223" s="5" t="s">
        <v>411</v>
      </c>
      <c r="E223" s="6" t="s">
        <v>60</v>
      </c>
      <c r="F223" s="6" t="s">
        <v>230</v>
      </c>
      <c r="G223" s="5"/>
      <c r="H223" s="6" t="s">
        <v>57</v>
      </c>
      <c r="I223" s="6"/>
      <c r="J223" s="6" t="str">
        <f>IF(OR(I223="Sí",H223="Alta",AND(Parámetros!$B$4&lt;&gt;"Alta",H223="Media"),AND(Parámetros!$B$4="Baja",H223="Baja")),"Sí","")</f>
        <v/>
      </c>
      <c r="K223" s="6"/>
      <c r="L223" s="6"/>
      <c r="M223" s="6"/>
      <c r="N223" s="6"/>
      <c r="O223" s="6"/>
      <c r="P223" s="6">
        <f t="shared" si="6"/>
        <v>0</v>
      </c>
      <c r="Q223" s="5" t="str">
        <f t="shared" si="7"/>
        <v/>
      </c>
      <c r="R223" s="5" t="s">
        <v>154</v>
      </c>
      <c r="S223" s="5"/>
      <c r="T223" s="5"/>
    </row>
    <row r="224" spans="1:20" ht="26.4" x14ac:dyDescent="0.3">
      <c r="A224" s="6">
        <v>485</v>
      </c>
      <c r="B224" s="1" t="s">
        <v>412</v>
      </c>
      <c r="C224" s="5" t="s">
        <v>408</v>
      </c>
      <c r="D224" s="5" t="s">
        <v>409</v>
      </c>
      <c r="E224" s="6" t="s">
        <v>60</v>
      </c>
      <c r="F224" s="6" t="s">
        <v>230</v>
      </c>
      <c r="G224" s="5"/>
      <c r="H224" s="6" t="s">
        <v>57</v>
      </c>
      <c r="I224" s="6"/>
      <c r="J224" s="6" t="str">
        <f>IF(OR(I224="Sí",H224="Alta",AND(Parámetros!$B$4&lt;&gt;"Alta",H224="Media"),AND(Parámetros!$B$4="Baja",H224="Baja")),"Sí","")</f>
        <v/>
      </c>
      <c r="K224" s="6"/>
      <c r="L224" s="6"/>
      <c r="M224" s="6"/>
      <c r="N224" s="6"/>
      <c r="O224" s="6"/>
      <c r="P224" s="6">
        <f t="shared" si="6"/>
        <v>0</v>
      </c>
      <c r="Q224" s="5" t="str">
        <f t="shared" si="7"/>
        <v/>
      </c>
      <c r="R224" s="5" t="s">
        <v>154</v>
      </c>
      <c r="S224" s="5"/>
      <c r="T224" s="5"/>
    </row>
    <row r="225" spans="1:20" ht="26.4" x14ac:dyDescent="0.3">
      <c r="A225" s="6">
        <v>488</v>
      </c>
      <c r="B225" s="1" t="s">
        <v>413</v>
      </c>
      <c r="C225" s="5" t="s">
        <v>408</v>
      </c>
      <c r="D225" s="5" t="s">
        <v>409</v>
      </c>
      <c r="E225" s="6" t="s">
        <v>60</v>
      </c>
      <c r="F225" s="6" t="s">
        <v>230</v>
      </c>
      <c r="G225" s="5"/>
      <c r="H225" s="6" t="s">
        <v>57</v>
      </c>
      <c r="I225" s="6"/>
      <c r="J225" s="6" t="str">
        <f>IF(OR(I225="Sí",H225="Alta",AND(Parámetros!$B$4&lt;&gt;"Alta",H225="Media"),AND(Parámetros!$B$4="Baja",H225="Baja")),"Sí","")</f>
        <v/>
      </c>
      <c r="K225" s="6"/>
      <c r="L225" s="6"/>
      <c r="M225" s="6"/>
      <c r="N225" s="6"/>
      <c r="O225" s="6"/>
      <c r="P225" s="6">
        <f t="shared" si="6"/>
        <v>0</v>
      </c>
      <c r="Q225" s="5" t="str">
        <f t="shared" si="7"/>
        <v/>
      </c>
      <c r="R225" s="5" t="s">
        <v>154</v>
      </c>
      <c r="S225" s="5"/>
      <c r="T225" s="5"/>
    </row>
    <row r="226" spans="1:20" ht="26.4" x14ac:dyDescent="0.3">
      <c r="A226" s="6">
        <v>609</v>
      </c>
      <c r="B226" s="1" t="s">
        <v>414</v>
      </c>
      <c r="C226" s="5" t="s">
        <v>408</v>
      </c>
      <c r="D226" s="5" t="s">
        <v>409</v>
      </c>
      <c r="E226" s="6" t="s">
        <v>55</v>
      </c>
      <c r="F226" s="6" t="s">
        <v>61</v>
      </c>
      <c r="G226" s="5"/>
      <c r="H226" s="6" t="s">
        <v>57</v>
      </c>
      <c r="I226" s="6"/>
      <c r="J226" s="6" t="str">
        <f>IF(OR(I226="Sí",H226="Alta",AND(Parámetros!$B$4&lt;&gt;"Alta",H226="Media"),AND(Parámetros!$B$4="Baja",H226="Baja")),"Sí","")</f>
        <v/>
      </c>
      <c r="K226" s="6"/>
      <c r="L226" s="6"/>
      <c r="M226" s="6"/>
      <c r="N226" s="6"/>
      <c r="O226" s="6"/>
      <c r="P226" s="6">
        <f t="shared" si="6"/>
        <v>0</v>
      </c>
      <c r="Q226" s="5" t="str">
        <f t="shared" si="7"/>
        <v/>
      </c>
      <c r="R226" s="5" t="s">
        <v>58</v>
      </c>
      <c r="S226" s="5"/>
      <c r="T226" s="5"/>
    </row>
    <row r="227" spans="1:20" ht="26.4" x14ac:dyDescent="0.3">
      <c r="A227" s="6">
        <v>392</v>
      </c>
      <c r="B227" s="1" t="s">
        <v>415</v>
      </c>
      <c r="C227" s="5" t="s">
        <v>416</v>
      </c>
      <c r="D227" s="5" t="s">
        <v>417</v>
      </c>
      <c r="E227" s="6" t="s">
        <v>60</v>
      </c>
      <c r="F227" s="6" t="s">
        <v>76</v>
      </c>
      <c r="G227" s="5"/>
      <c r="H227" s="6" t="s">
        <v>57</v>
      </c>
      <c r="I227" s="6"/>
      <c r="J227" s="6" t="str">
        <f>IF(OR(I227="Sí",H227="Alta",AND(Parámetros!$B$4&lt;&gt;"Alta",H227="Media"),AND(Parámetros!$B$4="Baja",H227="Baja")),"Sí","")</f>
        <v/>
      </c>
      <c r="K227" s="6"/>
      <c r="L227" s="6"/>
      <c r="M227" s="6"/>
      <c r="N227" s="6"/>
      <c r="O227" s="6"/>
      <c r="P227" s="6">
        <f t="shared" si="6"/>
        <v>0</v>
      </c>
      <c r="Q227" s="5" t="str">
        <f t="shared" si="7"/>
        <v/>
      </c>
      <c r="R227" s="5"/>
      <c r="S227" s="5"/>
      <c r="T227" s="5"/>
    </row>
    <row r="228" spans="1:20" ht="26.4" x14ac:dyDescent="0.3">
      <c r="A228" s="6">
        <v>610</v>
      </c>
      <c r="B228" s="1" t="s">
        <v>418</v>
      </c>
      <c r="C228" s="5" t="s">
        <v>416</v>
      </c>
      <c r="D228" s="5" t="s">
        <v>417</v>
      </c>
      <c r="E228" s="6" t="s">
        <v>60</v>
      </c>
      <c r="F228" s="6" t="s">
        <v>76</v>
      </c>
      <c r="G228" s="5"/>
      <c r="H228" s="6" t="s">
        <v>57</v>
      </c>
      <c r="I228" s="6"/>
      <c r="J228" s="6" t="str">
        <f>IF(OR(I228="Sí",H228="Alta",AND(Parámetros!$B$4&lt;&gt;"Alta",H228="Media"),AND(Parámetros!$B$4="Baja",H228="Baja")),"Sí","")</f>
        <v/>
      </c>
      <c r="K228" s="6"/>
      <c r="L228" s="6"/>
      <c r="M228" s="6"/>
      <c r="N228" s="6"/>
      <c r="O228" s="6"/>
      <c r="P228" s="6">
        <f t="shared" si="6"/>
        <v>0</v>
      </c>
      <c r="Q228" s="5" t="str">
        <f t="shared" si="7"/>
        <v/>
      </c>
      <c r="R228" s="5"/>
      <c r="S228" s="5"/>
      <c r="T228" s="5"/>
    </row>
    <row r="229" spans="1:20" ht="26.4" x14ac:dyDescent="0.3">
      <c r="A229" s="6">
        <v>611</v>
      </c>
      <c r="B229" s="1" t="s">
        <v>419</v>
      </c>
      <c r="C229" s="5" t="s">
        <v>416</v>
      </c>
      <c r="D229" s="5" t="s">
        <v>417</v>
      </c>
      <c r="E229" s="6" t="s">
        <v>55</v>
      </c>
      <c r="F229" s="6" t="s">
        <v>56</v>
      </c>
      <c r="G229" s="5"/>
      <c r="H229" s="6" t="s">
        <v>57</v>
      </c>
      <c r="I229" s="6"/>
      <c r="J229" s="6" t="str">
        <f>IF(OR(I229="Sí",H229="Alta",AND(Parámetros!$B$4&lt;&gt;"Alta",H229="Media"),AND(Parámetros!$B$4="Baja",H229="Baja")),"Sí","")</f>
        <v/>
      </c>
      <c r="K229" s="6"/>
      <c r="L229" s="6"/>
      <c r="M229" s="6"/>
      <c r="N229" s="6"/>
      <c r="O229" s="6"/>
      <c r="P229" s="6">
        <f t="shared" si="6"/>
        <v>0</v>
      </c>
      <c r="Q229" s="5" t="str">
        <f t="shared" si="7"/>
        <v/>
      </c>
      <c r="R229" s="5" t="s">
        <v>58</v>
      </c>
      <c r="S229" s="5"/>
      <c r="T229" s="5"/>
    </row>
    <row r="230" spans="1:20" ht="26.4" x14ac:dyDescent="0.3">
      <c r="A230" s="6">
        <v>361</v>
      </c>
      <c r="B230" s="10" t="s">
        <v>420</v>
      </c>
      <c r="C230" s="5" t="s">
        <v>421</v>
      </c>
      <c r="D230" s="5" t="s">
        <v>184</v>
      </c>
      <c r="E230" s="6" t="s">
        <v>60</v>
      </c>
      <c r="F230" s="6" t="s">
        <v>76</v>
      </c>
      <c r="G230" s="5" t="s">
        <v>422</v>
      </c>
      <c r="H230" s="6" t="s">
        <v>36</v>
      </c>
      <c r="I230" s="6"/>
      <c r="J230" s="6" t="str">
        <f>IF(OR(I230="Sí",H230="Alta",AND(Parámetros!$B$4&lt;&gt;"Alta",H230="Media"),AND(Parámetros!$B$4="Baja",H230="Baja")),"Sí","")</f>
        <v>Sí</v>
      </c>
      <c r="K230" s="6"/>
      <c r="L230" s="6"/>
      <c r="M230" s="6"/>
      <c r="N230" s="6"/>
      <c r="O230" s="6"/>
      <c r="P230" s="6">
        <f t="shared" si="6"/>
        <v>1</v>
      </c>
      <c r="Q230" s="5" t="str">
        <f t="shared" si="7"/>
        <v>1</v>
      </c>
      <c r="R230" s="5"/>
      <c r="S230" s="5"/>
      <c r="T230" s="5"/>
    </row>
    <row r="231" spans="1:20" ht="26.4" x14ac:dyDescent="0.3">
      <c r="A231" s="6">
        <v>369</v>
      </c>
      <c r="B231" s="1" t="s">
        <v>423</v>
      </c>
      <c r="C231" s="5" t="s">
        <v>421</v>
      </c>
      <c r="D231" s="5" t="s">
        <v>424</v>
      </c>
      <c r="E231" s="6" t="s">
        <v>60</v>
      </c>
      <c r="F231" s="6" t="s">
        <v>56</v>
      </c>
      <c r="G231" s="5"/>
      <c r="H231" s="6" t="s">
        <v>65</v>
      </c>
      <c r="I231" s="6"/>
      <c r="J231" s="6" t="str">
        <f>IF(OR(I231="Sí",H231="Alta",AND(Parámetros!$B$4&lt;&gt;"Alta",H231="Media"),AND(Parámetros!$B$4="Baja",H231="Baja")),"Sí","")</f>
        <v/>
      </c>
      <c r="K231" s="6"/>
      <c r="L231" s="6"/>
      <c r="M231" s="6"/>
      <c r="N231" s="6"/>
      <c r="O231" s="6"/>
      <c r="P231" s="6">
        <f t="shared" si="6"/>
        <v>0</v>
      </c>
      <c r="Q231" s="5" t="str">
        <f t="shared" si="7"/>
        <v/>
      </c>
      <c r="R231" s="5"/>
      <c r="S231" s="5"/>
      <c r="T231" s="5"/>
    </row>
    <row r="232" spans="1:20" ht="26.4" x14ac:dyDescent="0.3">
      <c r="A232" s="6">
        <v>371</v>
      </c>
      <c r="B232" s="1" t="s">
        <v>425</v>
      </c>
      <c r="C232" s="5" t="s">
        <v>421</v>
      </c>
      <c r="D232" s="5" t="s">
        <v>424</v>
      </c>
      <c r="E232" s="6" t="s">
        <v>60</v>
      </c>
      <c r="F232" s="6" t="s">
        <v>56</v>
      </c>
      <c r="G232" s="5" t="s">
        <v>426</v>
      </c>
      <c r="H232" s="6" t="s">
        <v>73</v>
      </c>
      <c r="I232" s="6"/>
      <c r="J232" s="6" t="str">
        <f>IF(OR(I232="Sí",H232="Alta",AND(Parámetros!$B$4&lt;&gt;"Alta",H232="Media"),AND(Parámetros!$B$4="Baja",H232="Baja")),"Sí","")</f>
        <v/>
      </c>
      <c r="K232" s="6"/>
      <c r="L232" s="6"/>
      <c r="M232" s="6"/>
      <c r="N232" s="6"/>
      <c r="O232" s="6"/>
      <c r="P232" s="6">
        <f t="shared" si="6"/>
        <v>0</v>
      </c>
      <c r="Q232" s="5" t="str">
        <f t="shared" si="7"/>
        <v/>
      </c>
      <c r="R232" s="5"/>
      <c r="S232" s="5"/>
      <c r="T232" s="5"/>
    </row>
    <row r="233" spans="1:20" ht="26.4" x14ac:dyDescent="0.3">
      <c r="A233" s="6">
        <v>552</v>
      </c>
      <c r="B233" s="1" t="s">
        <v>427</v>
      </c>
      <c r="C233" s="5" t="s">
        <v>421</v>
      </c>
      <c r="D233" s="5" t="s">
        <v>424</v>
      </c>
      <c r="E233" s="6" t="s">
        <v>55</v>
      </c>
      <c r="F233" s="6" t="s">
        <v>56</v>
      </c>
      <c r="G233" s="5"/>
      <c r="H233" s="6" t="s">
        <v>57</v>
      </c>
      <c r="I233" s="6"/>
      <c r="J233" s="6" t="str">
        <f>IF(OR(I233="Sí",H233="Alta",AND(Parámetros!$B$4&lt;&gt;"Alta",H233="Media"),AND(Parámetros!$B$4="Baja",H233="Baja")),"Sí","")</f>
        <v/>
      </c>
      <c r="K233" s="6"/>
      <c r="L233" s="6"/>
      <c r="M233" s="6"/>
      <c r="N233" s="6"/>
      <c r="O233" s="6"/>
      <c r="P233" s="6">
        <f t="shared" si="6"/>
        <v>0</v>
      </c>
      <c r="Q233" s="5" t="str">
        <f t="shared" si="7"/>
        <v/>
      </c>
      <c r="R233" s="5" t="s">
        <v>58</v>
      </c>
      <c r="S233" s="5"/>
      <c r="T233" s="5"/>
    </row>
    <row r="234" spans="1:20" ht="26.4" x14ac:dyDescent="0.3">
      <c r="A234" s="6">
        <v>568</v>
      </c>
      <c r="B234" s="1" t="s">
        <v>428</v>
      </c>
      <c r="C234" s="5" t="s">
        <v>421</v>
      </c>
      <c r="D234" s="5" t="s">
        <v>424</v>
      </c>
      <c r="E234" s="6" t="s">
        <v>55</v>
      </c>
      <c r="F234" s="6" t="s">
        <v>56</v>
      </c>
      <c r="G234" s="5" t="s">
        <v>422</v>
      </c>
      <c r="H234" s="6" t="s">
        <v>36</v>
      </c>
      <c r="I234" s="6"/>
      <c r="J234" s="6" t="str">
        <f>IF(OR(I234="Sí",H234="Alta",AND(Parámetros!$B$4&lt;&gt;"Alta",H234="Media"),AND(Parámetros!$B$4="Baja",H234="Baja")),"Sí","")</f>
        <v>Sí</v>
      </c>
      <c r="K234" s="6" t="s">
        <v>83</v>
      </c>
      <c r="L234" s="6"/>
      <c r="M234" s="6"/>
      <c r="N234" s="6"/>
      <c r="O234" s="6"/>
      <c r="P234" s="6">
        <f t="shared" si="6"/>
        <v>2</v>
      </c>
      <c r="Q234" s="5" t="str">
        <f t="shared" si="7"/>
        <v>1, 2</v>
      </c>
      <c r="R234" s="5"/>
      <c r="S234" s="5"/>
      <c r="T234" s="5" t="s">
        <v>429</v>
      </c>
    </row>
    <row r="235" spans="1:20" ht="26.4" x14ac:dyDescent="0.3">
      <c r="A235" s="6">
        <v>569</v>
      </c>
      <c r="B235" s="1" t="s">
        <v>430</v>
      </c>
      <c r="C235" s="5" t="s">
        <v>421</v>
      </c>
      <c r="D235" s="5" t="s">
        <v>424</v>
      </c>
      <c r="E235" s="6" t="s">
        <v>55</v>
      </c>
      <c r="F235" s="6" t="s">
        <v>56</v>
      </c>
      <c r="G235" s="5" t="s">
        <v>422</v>
      </c>
      <c r="H235" s="6" t="s">
        <v>36</v>
      </c>
      <c r="I235" s="6"/>
      <c r="J235" s="6" t="str">
        <f>IF(OR(I235="Sí",H235="Alta",AND(Parámetros!$B$4&lt;&gt;"Alta",H235="Media"),AND(Parámetros!$B$4="Baja",H235="Baja")),"Sí","")</f>
        <v>Sí</v>
      </c>
      <c r="K235" s="6"/>
      <c r="L235" s="6"/>
      <c r="M235" s="6"/>
      <c r="N235" s="6"/>
      <c r="O235" s="6"/>
      <c r="P235" s="6">
        <f t="shared" si="6"/>
        <v>1</v>
      </c>
      <c r="Q235" s="5" t="str">
        <f t="shared" si="7"/>
        <v>1</v>
      </c>
      <c r="R235" s="5"/>
      <c r="S235" s="5"/>
      <c r="T235" s="5"/>
    </row>
    <row r="236" spans="1:20" ht="26.4" x14ac:dyDescent="0.3">
      <c r="A236" s="6">
        <v>570</v>
      </c>
      <c r="B236" s="1" t="s">
        <v>431</v>
      </c>
      <c r="C236" s="5" t="s">
        <v>421</v>
      </c>
      <c r="D236" s="5" t="s">
        <v>424</v>
      </c>
      <c r="E236" s="6" t="s">
        <v>55</v>
      </c>
      <c r="F236" s="6" t="s">
        <v>56</v>
      </c>
      <c r="G236" s="5" t="s">
        <v>426</v>
      </c>
      <c r="H236" s="6" t="s">
        <v>73</v>
      </c>
      <c r="I236" s="6"/>
      <c r="J236" s="6" t="str">
        <f>IF(OR(I236="Sí",H236="Alta",AND(Parámetros!$B$4&lt;&gt;"Alta",H236="Media"),AND(Parámetros!$B$4="Baja",H236="Baja")),"Sí","")</f>
        <v/>
      </c>
      <c r="K236" s="6"/>
      <c r="L236" s="6"/>
      <c r="M236" s="6"/>
      <c r="N236" s="6"/>
      <c r="O236" s="6"/>
      <c r="P236" s="6">
        <f t="shared" si="6"/>
        <v>0</v>
      </c>
      <c r="Q236" s="5" t="str">
        <f t="shared" si="7"/>
        <v/>
      </c>
      <c r="R236" s="5"/>
      <c r="S236" s="5"/>
      <c r="T236" s="5"/>
    </row>
    <row r="237" spans="1:20" ht="26.4" x14ac:dyDescent="0.3">
      <c r="A237" s="6">
        <v>571</v>
      </c>
      <c r="B237" s="1" t="s">
        <v>432</v>
      </c>
      <c r="C237" s="5" t="s">
        <v>421</v>
      </c>
      <c r="D237" s="5" t="s">
        <v>184</v>
      </c>
      <c r="E237" s="6" t="s">
        <v>55</v>
      </c>
      <c r="F237" s="6" t="s">
        <v>56</v>
      </c>
      <c r="G237" s="5" t="s">
        <v>422</v>
      </c>
      <c r="H237" s="6" t="s">
        <v>73</v>
      </c>
      <c r="I237" s="6"/>
      <c r="J237" s="6" t="str">
        <f>IF(OR(I237="Sí",H237="Alta",AND(Parámetros!$B$4&lt;&gt;"Alta",H237="Media"),AND(Parámetros!$B$4="Baja",H237="Baja")),"Sí","")</f>
        <v/>
      </c>
      <c r="K237" s="6"/>
      <c r="L237" s="6"/>
      <c r="M237" s="6"/>
      <c r="N237" s="6"/>
      <c r="O237" s="6"/>
      <c r="P237" s="6">
        <f t="shared" si="6"/>
        <v>0</v>
      </c>
      <c r="Q237" s="5" t="str">
        <f t="shared" si="7"/>
        <v/>
      </c>
      <c r="R237" s="5" t="s">
        <v>58</v>
      </c>
      <c r="S237" s="5"/>
      <c r="T237" s="5"/>
    </row>
    <row r="238" spans="1:20" ht="26.4" x14ac:dyDescent="0.3">
      <c r="A238" s="6">
        <v>572</v>
      </c>
      <c r="B238" s="1" t="s">
        <v>433</v>
      </c>
      <c r="C238" s="5" t="s">
        <v>421</v>
      </c>
      <c r="D238" s="5" t="s">
        <v>184</v>
      </c>
      <c r="E238" s="6" t="s">
        <v>55</v>
      </c>
      <c r="F238" s="6" t="s">
        <v>56</v>
      </c>
      <c r="G238" s="5" t="s">
        <v>422</v>
      </c>
      <c r="H238" s="6" t="s">
        <v>73</v>
      </c>
      <c r="I238" s="6"/>
      <c r="J238" s="6" t="str">
        <f>IF(OR(I238="Sí",H238="Alta",AND(Parámetros!$B$4&lt;&gt;"Alta",H238="Media"),AND(Parámetros!$B$4="Baja",H238="Baja")),"Sí","")</f>
        <v/>
      </c>
      <c r="K238" s="6"/>
      <c r="L238" s="6"/>
      <c r="M238" s="6"/>
      <c r="N238" s="6"/>
      <c r="O238" s="6"/>
      <c r="P238" s="6">
        <f t="shared" si="6"/>
        <v>0</v>
      </c>
      <c r="Q238" s="5" t="str">
        <f t="shared" si="7"/>
        <v/>
      </c>
      <c r="R238" s="5" t="s">
        <v>58</v>
      </c>
      <c r="S238" s="5"/>
      <c r="T238" s="5"/>
    </row>
    <row r="239" spans="1:20" ht="26.4" x14ac:dyDescent="0.3">
      <c r="A239" s="6">
        <v>473</v>
      </c>
      <c r="B239" s="1" t="s">
        <v>434</v>
      </c>
      <c r="C239" s="5" t="s">
        <v>435</v>
      </c>
      <c r="D239" s="5" t="s">
        <v>436</v>
      </c>
      <c r="E239" s="6" t="s">
        <v>60</v>
      </c>
      <c r="F239" s="6" t="s">
        <v>56</v>
      </c>
      <c r="G239" s="5" t="s">
        <v>72</v>
      </c>
      <c r="H239" s="6" t="s">
        <v>73</v>
      </c>
      <c r="I239" s="6"/>
      <c r="J239" s="6" t="str">
        <f>IF(OR(I239="Sí",H239="Alta",AND(Parámetros!$B$4&lt;&gt;"Alta",H239="Media"),AND(Parámetros!$B$4="Baja",H239="Baja")),"Sí","")</f>
        <v/>
      </c>
      <c r="K239" s="6"/>
      <c r="L239" s="6"/>
      <c r="M239" s="6"/>
      <c r="N239" s="6"/>
      <c r="O239" s="6"/>
      <c r="P239" s="6">
        <f t="shared" si="6"/>
        <v>0</v>
      </c>
      <c r="Q239" s="5" t="str">
        <f t="shared" si="7"/>
        <v/>
      </c>
      <c r="R239" s="5"/>
      <c r="S239" s="5"/>
      <c r="T239" s="5"/>
    </row>
    <row r="240" spans="1:20" ht="26.4" x14ac:dyDescent="0.3">
      <c r="A240" s="6">
        <v>476</v>
      </c>
      <c r="B240" s="1" t="s">
        <v>437</v>
      </c>
      <c r="C240" s="5" t="s">
        <v>435</v>
      </c>
      <c r="D240" s="5" t="s">
        <v>436</v>
      </c>
      <c r="E240" s="6" t="s">
        <v>60</v>
      </c>
      <c r="F240" s="6" t="s">
        <v>56</v>
      </c>
      <c r="G240" s="5" t="s">
        <v>72</v>
      </c>
      <c r="H240" s="6" t="s">
        <v>78</v>
      </c>
      <c r="I240" s="6"/>
      <c r="J240" s="6" t="str">
        <f>IF(OR(I240="Sí",H240="Alta",AND(Parámetros!$B$4&lt;&gt;"Alta",H240="Media"),AND(Parámetros!$B$4="Baja",H240="Baja")),"Sí","")</f>
        <v/>
      </c>
      <c r="K240" s="6"/>
      <c r="L240" s="6"/>
      <c r="M240" s="6"/>
      <c r="N240" s="6"/>
      <c r="O240" s="6"/>
      <c r="P240" s="6">
        <f t="shared" si="6"/>
        <v>0</v>
      </c>
      <c r="Q240" s="5" t="str">
        <f t="shared" si="7"/>
        <v/>
      </c>
      <c r="R240" s="5"/>
      <c r="S240" s="5"/>
      <c r="T240" s="5"/>
    </row>
    <row r="241" spans="1:20" ht="26.4" x14ac:dyDescent="0.3">
      <c r="A241" s="6">
        <v>481</v>
      </c>
      <c r="B241" s="1" t="s">
        <v>438</v>
      </c>
      <c r="C241" s="5" t="s">
        <v>435</v>
      </c>
      <c r="D241" s="5" t="s">
        <v>436</v>
      </c>
      <c r="E241" s="6" t="s">
        <v>60</v>
      </c>
      <c r="F241" s="6" t="s">
        <v>56</v>
      </c>
      <c r="G241" s="5"/>
      <c r="H241" s="6" t="s">
        <v>57</v>
      </c>
      <c r="I241" s="6"/>
      <c r="J241" s="6" t="str">
        <f>IF(OR(I241="Sí",H241="Alta",AND(Parámetros!$B$4&lt;&gt;"Alta",H241="Media"),AND(Parámetros!$B$4="Baja",H241="Baja")),"Sí","")</f>
        <v/>
      </c>
      <c r="K241" s="6"/>
      <c r="L241" s="6"/>
      <c r="M241" s="6"/>
      <c r="N241" s="6"/>
      <c r="O241" s="6"/>
      <c r="P241" s="6">
        <f t="shared" si="6"/>
        <v>0</v>
      </c>
      <c r="Q241" s="5" t="str">
        <f t="shared" si="7"/>
        <v/>
      </c>
      <c r="R241" s="5" t="s">
        <v>154</v>
      </c>
      <c r="S241" s="5"/>
      <c r="T241" s="5"/>
    </row>
    <row r="242" spans="1:20" ht="26.4" x14ac:dyDescent="0.3">
      <c r="A242" s="6">
        <v>501</v>
      </c>
      <c r="B242" s="1" t="s">
        <v>439</v>
      </c>
      <c r="C242" s="5" t="s">
        <v>435</v>
      </c>
      <c r="D242" s="5" t="s">
        <v>440</v>
      </c>
      <c r="E242" s="6" t="s">
        <v>55</v>
      </c>
      <c r="F242" s="6" t="s">
        <v>56</v>
      </c>
      <c r="G242" s="5"/>
      <c r="H242" s="6" t="s">
        <v>57</v>
      </c>
      <c r="I242" s="6"/>
      <c r="J242" s="6" t="str">
        <f>IF(OR(I242="Sí",H242="Alta",AND(Parámetros!$B$4&lt;&gt;"Alta",H242="Media"),AND(Parámetros!$B$4="Baja",H242="Baja")),"Sí","")</f>
        <v/>
      </c>
      <c r="K242" s="6"/>
      <c r="L242" s="6"/>
      <c r="M242" s="6"/>
      <c r="N242" s="6"/>
      <c r="O242" s="6"/>
      <c r="P242" s="6">
        <f t="shared" si="6"/>
        <v>0</v>
      </c>
      <c r="Q242" s="5" t="str">
        <f t="shared" si="7"/>
        <v/>
      </c>
      <c r="R242" s="5" t="s">
        <v>58</v>
      </c>
      <c r="S242" s="5"/>
      <c r="T242" s="5"/>
    </row>
    <row r="243" spans="1:20" ht="26.4" x14ac:dyDescent="0.3">
      <c r="A243" s="6">
        <v>522</v>
      </c>
      <c r="B243" s="1" t="s">
        <v>441</v>
      </c>
      <c r="C243" s="5" t="s">
        <v>435</v>
      </c>
      <c r="D243" s="5" t="s">
        <v>440</v>
      </c>
      <c r="E243" s="6" t="s">
        <v>60</v>
      </c>
      <c r="F243" s="6" t="s">
        <v>76</v>
      </c>
      <c r="G243" s="5" t="s">
        <v>72</v>
      </c>
      <c r="H243" s="6" t="s">
        <v>78</v>
      </c>
      <c r="I243" s="6"/>
      <c r="J243" s="6" t="str">
        <f>IF(OR(I243="Sí",H243="Alta",AND(Parámetros!$B$4&lt;&gt;"Alta",H243="Media"),AND(Parámetros!$B$4="Baja",H243="Baja")),"Sí","")</f>
        <v/>
      </c>
      <c r="K243" s="6"/>
      <c r="L243" s="6"/>
      <c r="M243" s="6"/>
      <c r="N243" s="6"/>
      <c r="O243" s="6"/>
      <c r="P243" s="6">
        <f t="shared" si="6"/>
        <v>0</v>
      </c>
      <c r="Q243" s="5" t="str">
        <f t="shared" si="7"/>
        <v/>
      </c>
      <c r="R243" s="5"/>
      <c r="S243" s="5"/>
      <c r="T243" s="5"/>
    </row>
    <row r="244" spans="1:20" ht="39.6" x14ac:dyDescent="0.3">
      <c r="A244" s="6">
        <v>379</v>
      </c>
      <c r="B244" s="1" t="s">
        <v>442</v>
      </c>
      <c r="C244" s="5" t="s">
        <v>443</v>
      </c>
      <c r="D244" s="5" t="s">
        <v>444</v>
      </c>
      <c r="E244" s="6" t="s">
        <v>60</v>
      </c>
      <c r="F244" s="6" t="s">
        <v>56</v>
      </c>
      <c r="G244" s="5" t="s">
        <v>72</v>
      </c>
      <c r="H244" s="6" t="s">
        <v>73</v>
      </c>
      <c r="I244" s="6"/>
      <c r="J244" s="6" t="str">
        <f>IF(OR(I244="Sí",H244="Alta",AND(Parámetros!$B$4&lt;&gt;"Alta",H244="Media"),AND(Parámetros!$B$4="Baja",H244="Baja")),"Sí","")</f>
        <v/>
      </c>
      <c r="K244" s="6"/>
      <c r="L244" s="6"/>
      <c r="M244" s="6"/>
      <c r="N244" s="6"/>
      <c r="O244" s="6"/>
      <c r="P244" s="6">
        <f t="shared" si="6"/>
        <v>0</v>
      </c>
      <c r="Q244" s="5" t="str">
        <f t="shared" si="7"/>
        <v/>
      </c>
      <c r="R244" s="5"/>
      <c r="S244" s="5"/>
      <c r="T244" s="5"/>
    </row>
    <row r="245" spans="1:20" ht="39.6" x14ac:dyDescent="0.3">
      <c r="A245" s="6">
        <v>381</v>
      </c>
      <c r="B245" s="1" t="s">
        <v>445</v>
      </c>
      <c r="C245" s="5" t="s">
        <v>443</v>
      </c>
      <c r="D245" s="5" t="s">
        <v>444</v>
      </c>
      <c r="E245" s="6" t="s">
        <v>60</v>
      </c>
      <c r="F245" s="6" t="s">
        <v>56</v>
      </c>
      <c r="G245" s="5" t="s">
        <v>72</v>
      </c>
      <c r="H245" s="6" t="s">
        <v>73</v>
      </c>
      <c r="I245" s="6"/>
      <c r="J245" s="6" t="str">
        <f>IF(OR(I245="Sí",H245="Alta",AND(Parámetros!$B$4&lt;&gt;"Alta",H245="Media"),AND(Parámetros!$B$4="Baja",H245="Baja")),"Sí","")</f>
        <v/>
      </c>
      <c r="K245" s="6"/>
      <c r="L245" s="6"/>
      <c r="M245" s="6"/>
      <c r="N245" s="6"/>
      <c r="O245" s="6"/>
      <c r="P245" s="6">
        <f t="shared" si="6"/>
        <v>0</v>
      </c>
      <c r="Q245" s="5" t="str">
        <f t="shared" si="7"/>
        <v/>
      </c>
      <c r="R245" s="5"/>
      <c r="S245" s="5"/>
      <c r="T245" s="5"/>
    </row>
    <row r="246" spans="1:20" ht="39.6" x14ac:dyDescent="0.3">
      <c r="A246" s="6">
        <v>382</v>
      </c>
      <c r="B246" s="1" t="s">
        <v>446</v>
      </c>
      <c r="C246" s="5" t="s">
        <v>443</v>
      </c>
      <c r="D246" s="5" t="s">
        <v>444</v>
      </c>
      <c r="E246" s="6" t="s">
        <v>60</v>
      </c>
      <c r="F246" s="6" t="s">
        <v>56</v>
      </c>
      <c r="G246" s="5" t="s">
        <v>72</v>
      </c>
      <c r="H246" s="6" t="s">
        <v>73</v>
      </c>
      <c r="I246" s="6"/>
      <c r="J246" s="6" t="str">
        <f>IF(OR(I246="Sí",H246="Alta",AND(Parámetros!$B$4&lt;&gt;"Alta",H246="Media"),AND(Parámetros!$B$4="Baja",H246="Baja")),"Sí","")</f>
        <v/>
      </c>
      <c r="K246" s="6"/>
      <c r="L246" s="6"/>
      <c r="M246" s="6"/>
      <c r="N246" s="6"/>
      <c r="O246" s="6"/>
      <c r="P246" s="6">
        <f t="shared" si="6"/>
        <v>0</v>
      </c>
      <c r="Q246" s="5" t="str">
        <f t="shared" si="7"/>
        <v/>
      </c>
      <c r="R246" s="5"/>
      <c r="S246" s="5"/>
      <c r="T246" s="5"/>
    </row>
    <row r="247" spans="1:20" ht="39.6" x14ac:dyDescent="0.3">
      <c r="A247" s="6">
        <v>383</v>
      </c>
      <c r="B247" s="1" t="s">
        <v>447</v>
      </c>
      <c r="C247" s="5" t="s">
        <v>443</v>
      </c>
      <c r="D247" s="5" t="s">
        <v>444</v>
      </c>
      <c r="E247" s="6" t="s">
        <v>60</v>
      </c>
      <c r="F247" s="6" t="s">
        <v>56</v>
      </c>
      <c r="G247" s="5" t="s">
        <v>72</v>
      </c>
      <c r="H247" s="6" t="s">
        <v>73</v>
      </c>
      <c r="I247" s="6"/>
      <c r="J247" s="6" t="str">
        <f>IF(OR(I247="Sí",H247="Alta",AND(Parámetros!$B$4&lt;&gt;"Alta",H247="Media"),AND(Parámetros!$B$4="Baja",H247="Baja")),"Sí","")</f>
        <v/>
      </c>
      <c r="K247" s="6"/>
      <c r="L247" s="6"/>
      <c r="M247" s="6"/>
      <c r="N247" s="6"/>
      <c r="O247" s="6"/>
      <c r="P247" s="6">
        <f t="shared" si="6"/>
        <v>0</v>
      </c>
      <c r="Q247" s="5" t="str">
        <f t="shared" si="7"/>
        <v/>
      </c>
      <c r="R247" s="5"/>
      <c r="S247" s="5"/>
      <c r="T247" s="5"/>
    </row>
    <row r="248" spans="1:20" ht="39.6" x14ac:dyDescent="0.3">
      <c r="A248" s="6">
        <v>384</v>
      </c>
      <c r="B248" s="1" t="s">
        <v>448</v>
      </c>
      <c r="C248" s="5" t="s">
        <v>443</v>
      </c>
      <c r="D248" s="5" t="s">
        <v>444</v>
      </c>
      <c r="E248" s="6" t="s">
        <v>60</v>
      </c>
      <c r="F248" s="6" t="s">
        <v>56</v>
      </c>
      <c r="G248" s="5" t="s">
        <v>72</v>
      </c>
      <c r="H248" s="6" t="s">
        <v>73</v>
      </c>
      <c r="I248" s="6"/>
      <c r="J248" s="6" t="str">
        <f>IF(OR(I248="Sí",H248="Alta",AND(Parámetros!$B$4&lt;&gt;"Alta",H248="Media"),AND(Parámetros!$B$4="Baja",H248="Baja")),"Sí","")</f>
        <v/>
      </c>
      <c r="K248" s="6"/>
      <c r="L248" s="6"/>
      <c r="M248" s="6"/>
      <c r="N248" s="6"/>
      <c r="O248" s="6"/>
      <c r="P248" s="6">
        <f t="shared" si="6"/>
        <v>0</v>
      </c>
      <c r="Q248" s="5" t="str">
        <f t="shared" si="7"/>
        <v/>
      </c>
      <c r="R248" s="5"/>
      <c r="S248" s="5"/>
      <c r="T248" s="5"/>
    </row>
    <row r="249" spans="1:20" ht="39.6" x14ac:dyDescent="0.3">
      <c r="A249" s="6">
        <v>553</v>
      </c>
      <c r="B249" s="1" t="s">
        <v>449</v>
      </c>
      <c r="C249" s="5" t="s">
        <v>443</v>
      </c>
      <c r="D249" s="5" t="s">
        <v>444</v>
      </c>
      <c r="E249" s="6" t="s">
        <v>55</v>
      </c>
      <c r="F249" s="6" t="s">
        <v>56</v>
      </c>
      <c r="G249" s="5"/>
      <c r="H249" s="6" t="s">
        <v>57</v>
      </c>
      <c r="I249" s="6"/>
      <c r="J249" s="6" t="str">
        <f>IF(OR(I249="Sí",H249="Alta",AND(Parámetros!$B$4&lt;&gt;"Alta",H249="Media"),AND(Parámetros!$B$4="Baja",H249="Baja")),"Sí","")</f>
        <v/>
      </c>
      <c r="K249" s="6" t="s">
        <v>83</v>
      </c>
      <c r="L249" s="6"/>
      <c r="M249" s="6"/>
      <c r="N249" s="6"/>
      <c r="O249" s="6"/>
      <c r="P249" s="6">
        <f t="shared" si="6"/>
        <v>1</v>
      </c>
      <c r="Q249" s="5" t="str">
        <f t="shared" si="7"/>
        <v>2</v>
      </c>
      <c r="R249" s="5" t="s">
        <v>58</v>
      </c>
      <c r="S249" s="5"/>
      <c r="T249" s="5"/>
    </row>
    <row r="250" spans="1:20" ht="39.6" x14ac:dyDescent="0.3">
      <c r="A250" s="6">
        <v>143</v>
      </c>
      <c r="B250" s="1" t="s">
        <v>450</v>
      </c>
      <c r="C250" s="5" t="s">
        <v>451</v>
      </c>
      <c r="D250" s="5" t="s">
        <v>452</v>
      </c>
      <c r="E250" s="6" t="s">
        <v>75</v>
      </c>
      <c r="F250" s="6" t="s">
        <v>56</v>
      </c>
      <c r="G250" s="5" t="s">
        <v>196</v>
      </c>
      <c r="H250" s="6" t="s">
        <v>36</v>
      </c>
      <c r="I250" s="6"/>
      <c r="J250" s="6"/>
      <c r="K250" s="6"/>
      <c r="L250" s="6"/>
      <c r="M250" s="6"/>
      <c r="N250" s="6"/>
      <c r="O250" s="6"/>
      <c r="P250" s="6">
        <f t="shared" si="6"/>
        <v>0</v>
      </c>
      <c r="Q250" s="5" t="str">
        <f t="shared" si="7"/>
        <v/>
      </c>
      <c r="R250" s="5"/>
      <c r="S250" s="5"/>
      <c r="T250" s="5"/>
    </row>
    <row r="251" spans="1:20" ht="39.6" x14ac:dyDescent="0.3">
      <c r="A251" s="6">
        <v>144</v>
      </c>
      <c r="B251" s="1" t="s">
        <v>453</v>
      </c>
      <c r="C251" s="5" t="s">
        <v>451</v>
      </c>
      <c r="D251" s="5" t="s">
        <v>452</v>
      </c>
      <c r="E251" s="6" t="s">
        <v>60</v>
      </c>
      <c r="F251" s="6" t="s">
        <v>76</v>
      </c>
      <c r="G251" s="5" t="s">
        <v>196</v>
      </c>
      <c r="H251" s="6" t="s">
        <v>36</v>
      </c>
      <c r="I251" s="6"/>
      <c r="J251" s="6"/>
      <c r="K251" s="6"/>
      <c r="L251" s="6"/>
      <c r="M251" s="6"/>
      <c r="N251" s="6"/>
      <c r="O251" s="6"/>
      <c r="P251" s="6">
        <f t="shared" si="6"/>
        <v>0</v>
      </c>
      <c r="Q251" s="5" t="str">
        <f t="shared" si="7"/>
        <v/>
      </c>
      <c r="R251" s="5"/>
      <c r="S251" s="5"/>
      <c r="T251" s="5"/>
    </row>
    <row r="252" spans="1:20" ht="39.6" x14ac:dyDescent="0.3">
      <c r="A252" s="6">
        <v>146</v>
      </c>
      <c r="B252" s="1" t="s">
        <v>454</v>
      </c>
      <c r="C252" s="5" t="s">
        <v>451</v>
      </c>
      <c r="D252" s="5" t="s">
        <v>452</v>
      </c>
      <c r="E252" s="6" t="s">
        <v>71</v>
      </c>
      <c r="F252" s="6" t="s">
        <v>56</v>
      </c>
      <c r="G252" s="5" t="s">
        <v>196</v>
      </c>
      <c r="H252" s="6" t="s">
        <v>36</v>
      </c>
      <c r="I252" s="6"/>
      <c r="J252" s="6" t="str">
        <f>IF(OR(I252="Sí",H252="Alta",AND(Parámetros!$B$4&lt;&gt;"Alta",H252="Media"),AND(Parámetros!$B$4="Baja",H252="Baja")),"Sí","")</f>
        <v>Sí</v>
      </c>
      <c r="K252" s="6"/>
      <c r="L252" s="6"/>
      <c r="M252" s="6"/>
      <c r="N252" s="6"/>
      <c r="O252" s="6"/>
      <c r="P252" s="6">
        <f t="shared" si="6"/>
        <v>1</v>
      </c>
      <c r="Q252" s="5" t="str">
        <f t="shared" si="7"/>
        <v>1</v>
      </c>
      <c r="R252" s="5"/>
      <c r="S252" s="5"/>
      <c r="T252" s="5"/>
    </row>
    <row r="253" spans="1:20" ht="39.6" x14ac:dyDescent="0.3">
      <c r="A253" s="6">
        <v>147</v>
      </c>
      <c r="B253" s="1" t="s">
        <v>455</v>
      </c>
      <c r="C253" s="5" t="s">
        <v>451</v>
      </c>
      <c r="D253" s="5" t="s">
        <v>452</v>
      </c>
      <c r="E253" s="6" t="s">
        <v>60</v>
      </c>
      <c r="F253" s="6" t="s">
        <v>76</v>
      </c>
      <c r="G253" s="5" t="s">
        <v>196</v>
      </c>
      <c r="H253" s="6" t="s">
        <v>78</v>
      </c>
      <c r="I253" s="6"/>
      <c r="J253" s="6" t="str">
        <f>IF(OR(I253="Sí",H253="Alta",AND(Parámetros!$B$4&lt;&gt;"Alta",H253="Media"),AND(Parámetros!$B$4="Baja",H253="Baja")),"Sí","")</f>
        <v/>
      </c>
      <c r="K253" s="6"/>
      <c r="L253" s="6"/>
      <c r="M253" s="6"/>
      <c r="N253" s="6"/>
      <c r="O253" s="6"/>
      <c r="P253" s="6">
        <f t="shared" si="6"/>
        <v>0</v>
      </c>
      <c r="Q253" s="5" t="str">
        <f t="shared" si="7"/>
        <v/>
      </c>
      <c r="R253" s="5"/>
      <c r="S253" s="5"/>
      <c r="T253" s="5"/>
    </row>
    <row r="254" spans="1:20" ht="39.6" x14ac:dyDescent="0.3">
      <c r="A254" s="6">
        <v>150</v>
      </c>
      <c r="B254" s="1" t="s">
        <v>456</v>
      </c>
      <c r="C254" s="5" t="s">
        <v>451</v>
      </c>
      <c r="D254" s="5" t="s">
        <v>221</v>
      </c>
      <c r="E254" s="6" t="s">
        <v>55</v>
      </c>
      <c r="F254" s="6" t="s">
        <v>56</v>
      </c>
      <c r="G254" s="5"/>
      <c r="H254" s="6" t="s">
        <v>57</v>
      </c>
      <c r="I254" s="6"/>
      <c r="J254" s="6" t="str">
        <f>IF(OR(I254="Sí",H254="Alta",AND(Parámetros!$B$4&lt;&gt;"Alta",H254="Media"),AND(Parámetros!$B$4="Baja",H254="Baja")),"Sí","")</f>
        <v/>
      </c>
      <c r="K254" s="6"/>
      <c r="L254" s="6"/>
      <c r="M254" s="6"/>
      <c r="N254" s="6"/>
      <c r="O254" s="6"/>
      <c r="P254" s="6">
        <f t="shared" si="6"/>
        <v>0</v>
      </c>
      <c r="Q254" s="5" t="str">
        <f t="shared" si="7"/>
        <v/>
      </c>
      <c r="R254" s="5" t="s">
        <v>58</v>
      </c>
      <c r="S254" s="5"/>
      <c r="T254" s="5"/>
    </row>
    <row r="255" spans="1:20" ht="39.6" x14ac:dyDescent="0.3">
      <c r="A255" s="6">
        <v>635</v>
      </c>
      <c r="B255" s="1" t="s">
        <v>457</v>
      </c>
      <c r="C255" s="5" t="s">
        <v>451</v>
      </c>
      <c r="D255" s="5" t="s">
        <v>458</v>
      </c>
      <c r="E255" s="6" t="s">
        <v>60</v>
      </c>
      <c r="F255" s="6" t="s">
        <v>56</v>
      </c>
      <c r="G255" s="5" t="s">
        <v>196</v>
      </c>
      <c r="H255" s="6" t="s">
        <v>78</v>
      </c>
      <c r="I255" s="6"/>
      <c r="J255" s="6" t="str">
        <f>IF(OR(I255="Sí",H255="Alta",AND(Parámetros!$B$4&lt;&gt;"Alta",H255="Media"),AND(Parámetros!$B$4="Baja",H255="Baja")),"Sí","")</f>
        <v/>
      </c>
      <c r="K255" s="6" t="s">
        <v>83</v>
      </c>
      <c r="L255" s="6"/>
      <c r="M255" s="6"/>
      <c r="N255" s="6"/>
      <c r="O255" s="6"/>
      <c r="P255" s="6">
        <f t="shared" si="6"/>
        <v>1</v>
      </c>
      <c r="Q255" s="5" t="str">
        <f t="shared" si="7"/>
        <v>2</v>
      </c>
      <c r="R255" s="5"/>
      <c r="S255" s="5"/>
      <c r="T255" s="5"/>
    </row>
    <row r="256" spans="1:20" ht="26.4" x14ac:dyDescent="0.3">
      <c r="A256" s="6">
        <v>401</v>
      </c>
      <c r="B256" s="1" t="s">
        <v>459</v>
      </c>
      <c r="C256" s="5" t="s">
        <v>460</v>
      </c>
      <c r="D256" s="5" t="s">
        <v>461</v>
      </c>
      <c r="E256" s="6" t="s">
        <v>60</v>
      </c>
      <c r="F256" s="6" t="s">
        <v>56</v>
      </c>
      <c r="G256" s="5" t="s">
        <v>72</v>
      </c>
      <c r="H256" s="6" t="s">
        <v>73</v>
      </c>
      <c r="I256" s="6"/>
      <c r="J256" s="6" t="str">
        <f>IF(OR(I256="Sí",H256="Alta",AND(Parámetros!$B$4&lt;&gt;"Alta",H256="Media"),AND(Parámetros!$B$4="Baja",H256="Baja")),"Sí","")</f>
        <v/>
      </c>
      <c r="K256" s="6"/>
      <c r="L256" s="6"/>
      <c r="M256" s="6"/>
      <c r="N256" s="6"/>
      <c r="O256" s="6"/>
      <c r="P256" s="6">
        <f t="shared" si="6"/>
        <v>0</v>
      </c>
      <c r="Q256" s="5" t="str">
        <f t="shared" si="7"/>
        <v/>
      </c>
      <c r="R256" s="5"/>
      <c r="S256" s="5"/>
      <c r="T256" s="5"/>
    </row>
    <row r="257" spans="1:20" ht="26.4" x14ac:dyDescent="0.3">
      <c r="A257" s="6">
        <v>402</v>
      </c>
      <c r="B257" s="1" t="s">
        <v>462</v>
      </c>
      <c r="C257" s="5" t="s">
        <v>460</v>
      </c>
      <c r="D257" s="5" t="s">
        <v>461</v>
      </c>
      <c r="E257" s="6" t="s">
        <v>60</v>
      </c>
      <c r="F257" s="6" t="s">
        <v>76</v>
      </c>
      <c r="G257" s="5" t="s">
        <v>72</v>
      </c>
      <c r="H257" s="6" t="s">
        <v>73</v>
      </c>
      <c r="I257" s="6"/>
      <c r="J257" s="6" t="str">
        <f>IF(OR(I257="Sí",H257="Alta",AND(Parámetros!$B$4&lt;&gt;"Alta",H257="Media"),AND(Parámetros!$B$4="Baja",H257="Baja")),"Sí","")</f>
        <v/>
      </c>
      <c r="K257" s="6"/>
      <c r="L257" s="6"/>
      <c r="M257" s="6"/>
      <c r="N257" s="6"/>
      <c r="O257" s="6"/>
      <c r="P257" s="6">
        <f t="shared" si="6"/>
        <v>0</v>
      </c>
      <c r="Q257" s="5" t="str">
        <f t="shared" si="7"/>
        <v/>
      </c>
      <c r="R257" s="5"/>
      <c r="S257" s="5"/>
      <c r="T257" s="5"/>
    </row>
    <row r="258" spans="1:20" ht="26.4" x14ac:dyDescent="0.3">
      <c r="A258" s="6">
        <v>403</v>
      </c>
      <c r="B258" s="1" t="s">
        <v>463</v>
      </c>
      <c r="C258" s="5" t="s">
        <v>460</v>
      </c>
      <c r="D258" s="5" t="s">
        <v>464</v>
      </c>
      <c r="E258" s="6" t="s">
        <v>75</v>
      </c>
      <c r="F258" s="6" t="s">
        <v>56</v>
      </c>
      <c r="G258" s="5" t="s">
        <v>72</v>
      </c>
      <c r="H258" s="6" t="s">
        <v>73</v>
      </c>
      <c r="I258" s="6"/>
      <c r="J258" s="6" t="str">
        <f>IF(OR(I258="Sí",H258="Alta",AND(Parámetros!$B$4&lt;&gt;"Alta",H258="Media"),AND(Parámetros!$B$4="Baja",H258="Baja")),"Sí","")</f>
        <v/>
      </c>
      <c r="K258" s="6"/>
      <c r="L258" s="6"/>
      <c r="M258" s="6"/>
      <c r="N258" s="6"/>
      <c r="O258" s="6"/>
      <c r="P258" s="6">
        <f t="shared" ref="P258:P321" si="8">COUNTIF(J258:O258,"Sí*")</f>
        <v>0</v>
      </c>
      <c r="Q258" s="5" t="str">
        <f t="shared" ref="Q258:Q321" si="9">MID(IF(J258="Sí",", 1","")&amp;IF(LEFT(K258,2)="Sí",", 2","")&amp;IF(LEFT(L258,2)="Sí",", 3","")&amp;IF(M258="Sí",", 4","")&amp;IF(N258="Sí",", 5","")&amp;IF(O258="Sí",", 6",""),3,40)</f>
        <v/>
      </c>
      <c r="R258" s="5"/>
      <c r="S258" s="5"/>
      <c r="T258" s="5"/>
    </row>
    <row r="259" spans="1:20" ht="26.4" x14ac:dyDescent="0.3">
      <c r="A259" s="6">
        <v>504</v>
      </c>
      <c r="B259" s="1" t="s">
        <v>465</v>
      </c>
      <c r="C259" s="5" t="s">
        <v>460</v>
      </c>
      <c r="D259" s="5" t="s">
        <v>466</v>
      </c>
      <c r="E259" s="6" t="s">
        <v>55</v>
      </c>
      <c r="F259" s="6" t="s">
        <v>56</v>
      </c>
      <c r="G259" s="5"/>
      <c r="H259" s="6" t="s">
        <v>57</v>
      </c>
      <c r="I259" s="6"/>
      <c r="J259" s="6" t="str">
        <f>IF(OR(I259="Sí",H259="Alta",AND(Parámetros!$B$4&lt;&gt;"Alta",H259="Media"),AND(Parámetros!$B$4="Baja",H259="Baja")),"Sí","")</f>
        <v/>
      </c>
      <c r="K259" s="6"/>
      <c r="L259" s="6"/>
      <c r="M259" s="6"/>
      <c r="N259" s="6"/>
      <c r="O259" s="6"/>
      <c r="P259" s="6">
        <f t="shared" si="8"/>
        <v>0</v>
      </c>
      <c r="Q259" s="5" t="str">
        <f t="shared" si="9"/>
        <v/>
      </c>
      <c r="R259" s="5" t="s">
        <v>58</v>
      </c>
      <c r="S259" s="5"/>
      <c r="T259" s="5"/>
    </row>
    <row r="260" spans="1:20" ht="26.4" x14ac:dyDescent="0.3">
      <c r="A260" s="6">
        <v>544</v>
      </c>
      <c r="B260" s="1" t="s">
        <v>467</v>
      </c>
      <c r="C260" s="5" t="s">
        <v>460</v>
      </c>
      <c r="D260" s="5" t="s">
        <v>464</v>
      </c>
      <c r="E260" s="6" t="s">
        <v>60</v>
      </c>
      <c r="F260" s="6" t="s">
        <v>56</v>
      </c>
      <c r="G260" s="5" t="s">
        <v>72</v>
      </c>
      <c r="H260" s="6" t="s">
        <v>73</v>
      </c>
      <c r="I260" s="6"/>
      <c r="J260" s="6" t="str">
        <f>IF(OR(I260="Sí",H260="Alta",AND(Parámetros!$B$4&lt;&gt;"Alta",H260="Media"),AND(Parámetros!$B$4="Baja",H260="Baja")),"Sí","")</f>
        <v/>
      </c>
      <c r="K260" s="6"/>
      <c r="L260" s="6"/>
      <c r="M260" s="6"/>
      <c r="N260" s="6"/>
      <c r="O260" s="6"/>
      <c r="P260" s="6">
        <f t="shared" si="8"/>
        <v>0</v>
      </c>
      <c r="Q260" s="5" t="str">
        <f t="shared" si="9"/>
        <v/>
      </c>
      <c r="R260" s="5"/>
      <c r="S260" s="5"/>
      <c r="T260" s="5"/>
    </row>
    <row r="261" spans="1:20" ht="26.4" x14ac:dyDescent="0.3">
      <c r="A261" s="6">
        <v>613</v>
      </c>
      <c r="B261" s="1" t="s">
        <v>468</v>
      </c>
      <c r="C261" s="5" t="s">
        <v>460</v>
      </c>
      <c r="D261" s="5" t="s">
        <v>469</v>
      </c>
      <c r="E261" s="6" t="s">
        <v>55</v>
      </c>
      <c r="F261" s="6" t="s">
        <v>56</v>
      </c>
      <c r="G261" s="5"/>
      <c r="H261" s="6" t="s">
        <v>57</v>
      </c>
      <c r="I261" s="6"/>
      <c r="J261" s="6" t="str">
        <f>IF(OR(I261="Sí",H261="Alta",AND(Parámetros!$B$4&lt;&gt;"Alta",H261="Media"),AND(Parámetros!$B$4="Baja",H261="Baja")),"Sí","")</f>
        <v/>
      </c>
      <c r="K261" s="6"/>
      <c r="L261" s="6"/>
      <c r="M261" s="6"/>
      <c r="N261" s="6"/>
      <c r="O261" s="6"/>
      <c r="P261" s="6">
        <f t="shared" si="8"/>
        <v>0</v>
      </c>
      <c r="Q261" s="5" t="str">
        <f t="shared" si="9"/>
        <v/>
      </c>
      <c r="R261" s="5" t="s">
        <v>58</v>
      </c>
      <c r="S261" s="5"/>
      <c r="T261" s="5"/>
    </row>
    <row r="262" spans="1:20" ht="39.6" x14ac:dyDescent="0.3">
      <c r="A262" s="6">
        <v>614</v>
      </c>
      <c r="B262" s="1" t="s">
        <v>470</v>
      </c>
      <c r="C262" s="5" t="s">
        <v>460</v>
      </c>
      <c r="D262" s="5" t="s">
        <v>469</v>
      </c>
      <c r="E262" s="6" t="s">
        <v>55</v>
      </c>
      <c r="F262" s="6" t="s">
        <v>56</v>
      </c>
      <c r="G262" s="5" t="s">
        <v>72</v>
      </c>
      <c r="H262" s="6" t="s">
        <v>73</v>
      </c>
      <c r="I262" s="6"/>
      <c r="J262" s="6" t="str">
        <f>IF(OR(I262="Sí",H262="Alta",AND(Parámetros!$B$4&lt;&gt;"Alta",H262="Media"),AND(Parámetros!$B$4="Baja",H262="Baja")),"Sí","")</f>
        <v/>
      </c>
      <c r="K262" s="6"/>
      <c r="L262" s="6"/>
      <c r="M262" s="6"/>
      <c r="N262" s="6"/>
      <c r="O262" s="6"/>
      <c r="P262" s="6">
        <f t="shared" si="8"/>
        <v>0</v>
      </c>
      <c r="Q262" s="5" t="str">
        <f t="shared" si="9"/>
        <v/>
      </c>
      <c r="R262" s="5"/>
      <c r="S262" s="5"/>
      <c r="T262" s="5"/>
    </row>
    <row r="263" spans="1:20" ht="26.4" x14ac:dyDescent="0.3">
      <c r="A263" s="6">
        <v>626</v>
      </c>
      <c r="B263" s="1" t="s">
        <v>471</v>
      </c>
      <c r="C263" s="5" t="s">
        <v>460</v>
      </c>
      <c r="D263" s="5" t="s">
        <v>461</v>
      </c>
      <c r="E263" s="6" t="s">
        <v>75</v>
      </c>
      <c r="F263" s="6" t="s">
        <v>56</v>
      </c>
      <c r="G263" s="5" t="s">
        <v>72</v>
      </c>
      <c r="H263" s="6" t="s">
        <v>73</v>
      </c>
      <c r="I263" s="6"/>
      <c r="J263" s="6" t="str">
        <f>IF(OR(I263="Sí",H263="Alta",AND(Parámetros!$B$4&lt;&gt;"Alta",H263="Media"),AND(Parámetros!$B$4="Baja",H263="Baja")),"Sí","")</f>
        <v/>
      </c>
      <c r="K263" s="6" t="s">
        <v>83</v>
      </c>
      <c r="L263" s="6"/>
      <c r="M263" s="6"/>
      <c r="N263" s="6"/>
      <c r="O263" s="6"/>
      <c r="P263" s="6">
        <f t="shared" si="8"/>
        <v>1</v>
      </c>
      <c r="Q263" s="5" t="str">
        <f t="shared" si="9"/>
        <v>2</v>
      </c>
      <c r="R263" s="5"/>
      <c r="S263" s="5"/>
      <c r="T263" s="5"/>
    </row>
    <row r="264" spans="1:20" ht="26.4" x14ac:dyDescent="0.3">
      <c r="A264" s="6">
        <v>627</v>
      </c>
      <c r="B264" s="1" t="s">
        <v>472</v>
      </c>
      <c r="C264" s="5" t="s">
        <v>460</v>
      </c>
      <c r="D264" s="5" t="s">
        <v>461</v>
      </c>
      <c r="E264" s="6" t="s">
        <v>60</v>
      </c>
      <c r="F264" s="6" t="s">
        <v>56</v>
      </c>
      <c r="G264" s="5" t="s">
        <v>72</v>
      </c>
      <c r="H264" s="6" t="s">
        <v>73</v>
      </c>
      <c r="I264" s="6"/>
      <c r="J264" s="6" t="str">
        <f>IF(OR(I264="Sí",H264="Alta",AND(Parámetros!$B$4&lt;&gt;"Alta",H264="Media"),AND(Parámetros!$B$4="Baja",H264="Baja")),"Sí","")</f>
        <v/>
      </c>
      <c r="K264" s="6"/>
      <c r="L264" s="6"/>
      <c r="M264" s="6"/>
      <c r="N264" s="6"/>
      <c r="O264" s="6"/>
      <c r="P264" s="6">
        <f t="shared" si="8"/>
        <v>0</v>
      </c>
      <c r="Q264" s="5" t="str">
        <f t="shared" si="9"/>
        <v/>
      </c>
      <c r="R264" s="5"/>
      <c r="S264" s="5"/>
      <c r="T264" s="5"/>
    </row>
    <row r="265" spans="1:20" ht="26.4" x14ac:dyDescent="0.3">
      <c r="A265" s="6">
        <v>422</v>
      </c>
      <c r="B265" s="1" t="s">
        <v>473</v>
      </c>
      <c r="C265" s="5" t="s">
        <v>474</v>
      </c>
      <c r="D265" s="5" t="s">
        <v>475</v>
      </c>
      <c r="E265" s="6" t="s">
        <v>60</v>
      </c>
      <c r="F265" s="6" t="s">
        <v>56</v>
      </c>
      <c r="G265" s="5"/>
      <c r="H265" s="6" t="s">
        <v>57</v>
      </c>
      <c r="I265" s="6"/>
      <c r="J265" s="6" t="str">
        <f>IF(OR(I265="Sí",H265="Alta",AND(Parámetros!$B$4&lt;&gt;"Alta",H265="Media"),AND(Parámetros!$B$4="Baja",H265="Baja")),"Sí","")</f>
        <v/>
      </c>
      <c r="K265" s="6"/>
      <c r="L265" s="6"/>
      <c r="M265" s="6"/>
      <c r="N265" s="6"/>
      <c r="O265" s="6"/>
      <c r="P265" s="6">
        <f t="shared" si="8"/>
        <v>0</v>
      </c>
      <c r="Q265" s="5" t="str">
        <f t="shared" si="9"/>
        <v/>
      </c>
      <c r="R265" s="5"/>
      <c r="S265" s="5"/>
      <c r="T265" s="5"/>
    </row>
    <row r="266" spans="1:20" ht="26.4" x14ac:dyDescent="0.3">
      <c r="A266" s="6">
        <v>423</v>
      </c>
      <c r="B266" s="1" t="s">
        <v>476</v>
      </c>
      <c r="C266" s="5" t="s">
        <v>474</v>
      </c>
      <c r="D266" s="5" t="s">
        <v>477</v>
      </c>
      <c r="E266" s="6" t="s">
        <v>55</v>
      </c>
      <c r="F266" s="6" t="s">
        <v>76</v>
      </c>
      <c r="G266" s="5"/>
      <c r="H266" s="6" t="s">
        <v>57</v>
      </c>
      <c r="I266" s="6"/>
      <c r="J266" s="6" t="str">
        <f>IF(OR(I266="Sí",H266="Alta",AND(Parámetros!$B$4&lt;&gt;"Alta",H266="Media"),AND(Parámetros!$B$4="Baja",H266="Baja")),"Sí","")</f>
        <v/>
      </c>
      <c r="K266" s="6"/>
      <c r="L266" s="6"/>
      <c r="M266" s="6"/>
      <c r="N266" s="6"/>
      <c r="O266" s="6"/>
      <c r="P266" s="6">
        <f t="shared" si="8"/>
        <v>0</v>
      </c>
      <c r="Q266" s="5" t="str">
        <f t="shared" si="9"/>
        <v/>
      </c>
      <c r="R266" s="5"/>
      <c r="S266" s="5"/>
      <c r="T266" s="5"/>
    </row>
    <row r="267" spans="1:20" ht="26.4" x14ac:dyDescent="0.3">
      <c r="A267" s="6">
        <v>424</v>
      </c>
      <c r="B267" s="1" t="s">
        <v>478</v>
      </c>
      <c r="C267" s="5" t="s">
        <v>474</v>
      </c>
      <c r="D267" s="5" t="s">
        <v>477</v>
      </c>
      <c r="E267" s="6" t="s">
        <v>60</v>
      </c>
      <c r="F267" s="6" t="s">
        <v>76</v>
      </c>
      <c r="G267" s="5"/>
      <c r="H267" s="6" t="s">
        <v>57</v>
      </c>
      <c r="I267" s="6"/>
      <c r="J267" s="6" t="str">
        <f>IF(OR(I267="Sí",H267="Alta",AND(Parámetros!$B$4&lt;&gt;"Alta",H267="Media"),AND(Parámetros!$B$4="Baja",H267="Baja")),"Sí","")</f>
        <v/>
      </c>
      <c r="K267" s="6"/>
      <c r="L267" s="6"/>
      <c r="M267" s="6"/>
      <c r="N267" s="6"/>
      <c r="O267" s="6"/>
      <c r="P267" s="6">
        <f t="shared" si="8"/>
        <v>0</v>
      </c>
      <c r="Q267" s="5" t="str">
        <f t="shared" si="9"/>
        <v/>
      </c>
      <c r="R267" s="5"/>
      <c r="S267" s="5"/>
      <c r="T267" s="5"/>
    </row>
    <row r="268" spans="1:20" ht="26.4" x14ac:dyDescent="0.3">
      <c r="A268" s="6">
        <v>505</v>
      </c>
      <c r="B268" s="1" t="s">
        <v>479</v>
      </c>
      <c r="C268" s="5" t="s">
        <v>474</v>
      </c>
      <c r="D268" s="5" t="s">
        <v>477</v>
      </c>
      <c r="E268" s="6" t="s">
        <v>55</v>
      </c>
      <c r="F268" s="6" t="s">
        <v>56</v>
      </c>
      <c r="G268" s="5"/>
      <c r="H268" s="6" t="s">
        <v>57</v>
      </c>
      <c r="I268" s="6"/>
      <c r="J268" s="6" t="str">
        <f>IF(OR(I268="Sí",H268="Alta",AND(Parámetros!$B$4&lt;&gt;"Alta",H268="Media"),AND(Parámetros!$B$4="Baja",H268="Baja")),"Sí","")</f>
        <v/>
      </c>
      <c r="K268" s="6"/>
      <c r="L268" s="6"/>
      <c r="M268" s="6"/>
      <c r="N268" s="6"/>
      <c r="O268" s="6"/>
      <c r="P268" s="6">
        <f t="shared" si="8"/>
        <v>0</v>
      </c>
      <c r="Q268" s="5" t="str">
        <f t="shared" si="9"/>
        <v/>
      </c>
      <c r="R268" s="5" t="s">
        <v>58</v>
      </c>
      <c r="S268" s="5"/>
      <c r="T268" s="5"/>
    </row>
    <row r="269" spans="1:20" ht="26.4" x14ac:dyDescent="0.3">
      <c r="A269" s="6">
        <v>524</v>
      </c>
      <c r="B269" s="1" t="s">
        <v>480</v>
      </c>
      <c r="C269" s="5" t="s">
        <v>474</v>
      </c>
      <c r="D269" s="5" t="s">
        <v>475</v>
      </c>
      <c r="E269" s="6" t="s">
        <v>60</v>
      </c>
      <c r="F269" s="6" t="s">
        <v>56</v>
      </c>
      <c r="G269" s="5"/>
      <c r="H269" s="6" t="s">
        <v>57</v>
      </c>
      <c r="I269" s="6"/>
      <c r="J269" s="6" t="str">
        <f>IF(OR(I269="Sí",H269="Alta",AND(Parámetros!$B$4&lt;&gt;"Alta",H269="Media"),AND(Parámetros!$B$4="Baja",H269="Baja")),"Sí","")</f>
        <v/>
      </c>
      <c r="K269" s="6" t="s">
        <v>83</v>
      </c>
      <c r="L269" s="6"/>
      <c r="M269" s="6"/>
      <c r="N269" s="6"/>
      <c r="O269" s="6"/>
      <c r="P269" s="6">
        <f t="shared" si="8"/>
        <v>1</v>
      </c>
      <c r="Q269" s="5" t="str">
        <f t="shared" si="9"/>
        <v>2</v>
      </c>
      <c r="R269" s="5"/>
      <c r="S269" s="5"/>
      <c r="T269" s="5"/>
    </row>
    <row r="270" spans="1:20" ht="26.4" x14ac:dyDescent="0.3">
      <c r="A270" s="6">
        <v>385</v>
      </c>
      <c r="B270" s="1" t="s">
        <v>481</v>
      </c>
      <c r="C270" s="5" t="s">
        <v>482</v>
      </c>
      <c r="D270" s="5" t="s">
        <v>444</v>
      </c>
      <c r="E270" s="6" t="s">
        <v>60</v>
      </c>
      <c r="F270" s="6" t="s">
        <v>56</v>
      </c>
      <c r="G270" s="5"/>
      <c r="H270" s="6" t="s">
        <v>57</v>
      </c>
      <c r="I270" s="6"/>
      <c r="J270" s="6" t="str">
        <f>IF(OR(I270="Sí",H270="Alta",AND(Parámetros!$B$4&lt;&gt;"Alta",H270="Media"),AND(Parámetros!$B$4="Baja",H270="Baja")),"Sí","")</f>
        <v/>
      </c>
      <c r="K270" s="6"/>
      <c r="L270" s="6"/>
      <c r="M270" s="6"/>
      <c r="N270" s="6"/>
      <c r="O270" s="6"/>
      <c r="P270" s="6">
        <f t="shared" si="8"/>
        <v>0</v>
      </c>
      <c r="Q270" s="5" t="str">
        <f t="shared" si="9"/>
        <v/>
      </c>
      <c r="R270" s="5"/>
      <c r="S270" s="5"/>
      <c r="T270" s="5"/>
    </row>
    <row r="271" spans="1:20" ht="26.4" x14ac:dyDescent="0.3">
      <c r="A271" s="6">
        <v>386</v>
      </c>
      <c r="B271" s="1" t="s">
        <v>483</v>
      </c>
      <c r="C271" s="5" t="s">
        <v>482</v>
      </c>
      <c r="D271" s="5" t="s">
        <v>444</v>
      </c>
      <c r="E271" s="6" t="s">
        <v>71</v>
      </c>
      <c r="F271" s="6" t="s">
        <v>56</v>
      </c>
      <c r="G271" s="5"/>
      <c r="H271" s="6" t="s">
        <v>57</v>
      </c>
      <c r="I271" s="6"/>
      <c r="J271" s="6" t="str">
        <f>IF(OR(I271="Sí",H271="Alta",AND(Parámetros!$B$4&lt;&gt;"Alta",H271="Media"),AND(Parámetros!$B$4="Baja",H271="Baja")),"Sí","")</f>
        <v/>
      </c>
      <c r="K271" s="6"/>
      <c r="L271" s="6"/>
      <c r="M271" s="6"/>
      <c r="N271" s="6"/>
      <c r="O271" s="6"/>
      <c r="P271" s="6">
        <f t="shared" si="8"/>
        <v>0</v>
      </c>
      <c r="Q271" s="5" t="str">
        <f t="shared" si="9"/>
        <v/>
      </c>
      <c r="R271" s="5"/>
      <c r="S271" s="5"/>
      <c r="T271" s="5"/>
    </row>
    <row r="272" spans="1:20" ht="26.4" x14ac:dyDescent="0.3">
      <c r="A272" s="6">
        <v>555</v>
      </c>
      <c r="B272" s="1" t="s">
        <v>484</v>
      </c>
      <c r="C272" s="5" t="s">
        <v>482</v>
      </c>
      <c r="D272" s="5" t="s">
        <v>485</v>
      </c>
      <c r="E272" s="6" t="s">
        <v>55</v>
      </c>
      <c r="F272" s="6" t="s">
        <v>56</v>
      </c>
      <c r="G272" s="5"/>
      <c r="H272" s="6" t="s">
        <v>57</v>
      </c>
      <c r="I272" s="6"/>
      <c r="J272" s="6" t="str">
        <f>IF(OR(I272="Sí",H272="Alta",AND(Parámetros!$B$4&lt;&gt;"Alta",H272="Media"),AND(Parámetros!$B$4="Baja",H272="Baja")),"Sí","")</f>
        <v/>
      </c>
      <c r="K272" s="6"/>
      <c r="L272" s="6"/>
      <c r="M272" s="6"/>
      <c r="N272" s="6"/>
      <c r="O272" s="6"/>
      <c r="P272" s="6">
        <f t="shared" si="8"/>
        <v>0</v>
      </c>
      <c r="Q272" s="5" t="str">
        <f t="shared" si="9"/>
        <v/>
      </c>
      <c r="R272" s="5" t="s">
        <v>58</v>
      </c>
      <c r="S272" s="5"/>
      <c r="T272" s="5"/>
    </row>
    <row r="273" spans="1:20" ht="26.4" x14ac:dyDescent="0.3">
      <c r="A273" s="6">
        <v>620</v>
      </c>
      <c r="B273" s="1" t="s">
        <v>486</v>
      </c>
      <c r="C273" s="5" t="s">
        <v>482</v>
      </c>
      <c r="D273" s="5" t="s">
        <v>485</v>
      </c>
      <c r="E273" s="6" t="s">
        <v>60</v>
      </c>
      <c r="F273" s="6" t="s">
        <v>56</v>
      </c>
      <c r="G273" s="5"/>
      <c r="H273" s="6" t="s">
        <v>57</v>
      </c>
      <c r="I273" s="6"/>
      <c r="J273" s="6" t="str">
        <f>IF(OR(I273="Sí",H273="Alta",AND(Parámetros!$B$4&lt;&gt;"Alta",H273="Media"),AND(Parámetros!$B$4="Baja",H273="Baja")),"Sí","")</f>
        <v/>
      </c>
      <c r="K273" s="6"/>
      <c r="L273" s="6"/>
      <c r="M273" s="6"/>
      <c r="N273" s="6"/>
      <c r="O273" s="6"/>
      <c r="P273" s="6">
        <f t="shared" si="8"/>
        <v>0</v>
      </c>
      <c r="Q273" s="5" t="str">
        <f t="shared" si="9"/>
        <v/>
      </c>
      <c r="R273" s="5" t="s">
        <v>98</v>
      </c>
      <c r="S273" s="5"/>
      <c r="T273" s="5"/>
    </row>
    <row r="274" spans="1:20" ht="26.4" x14ac:dyDescent="0.3">
      <c r="A274" s="6">
        <v>621</v>
      </c>
      <c r="B274" s="1" t="s">
        <v>487</v>
      </c>
      <c r="C274" s="5" t="s">
        <v>482</v>
      </c>
      <c r="D274" s="5" t="s">
        <v>485</v>
      </c>
      <c r="E274" s="6" t="s">
        <v>60</v>
      </c>
      <c r="F274" s="6" t="s">
        <v>56</v>
      </c>
      <c r="G274" s="5"/>
      <c r="H274" s="6" t="s">
        <v>57</v>
      </c>
      <c r="I274" s="6"/>
      <c r="J274" s="6" t="str">
        <f>IF(OR(I274="Sí",H274="Alta",AND(Parámetros!$B$4&lt;&gt;"Alta",H274="Media"),AND(Parámetros!$B$4="Baja",H274="Baja")),"Sí","")</f>
        <v/>
      </c>
      <c r="K274" s="6"/>
      <c r="L274" s="6"/>
      <c r="M274" s="6"/>
      <c r="N274" s="6"/>
      <c r="O274" s="6"/>
      <c r="P274" s="6">
        <f t="shared" si="8"/>
        <v>0</v>
      </c>
      <c r="Q274" s="5" t="str">
        <f t="shared" si="9"/>
        <v/>
      </c>
      <c r="R274" s="5"/>
      <c r="S274" s="5"/>
      <c r="T274" s="5"/>
    </row>
    <row r="275" spans="1:20" ht="26.4" x14ac:dyDescent="0.3">
      <c r="A275" s="6">
        <v>362</v>
      </c>
      <c r="B275" s="1" t="s">
        <v>488</v>
      </c>
      <c r="C275" s="5" t="s">
        <v>489</v>
      </c>
      <c r="D275" s="5" t="s">
        <v>490</v>
      </c>
      <c r="E275" s="6" t="s">
        <v>60</v>
      </c>
      <c r="F275" s="6" t="s">
        <v>56</v>
      </c>
      <c r="G275" s="5"/>
      <c r="H275" s="6" t="s">
        <v>57</v>
      </c>
      <c r="I275" s="6"/>
      <c r="J275" s="6" t="str">
        <f>IF(OR(I275="Sí",H275="Alta",AND(Parámetros!$B$4&lt;&gt;"Alta",H275="Media"),AND(Parámetros!$B$4="Baja",H275="Baja")),"Sí","")</f>
        <v/>
      </c>
      <c r="K275" s="6"/>
      <c r="L275" s="6"/>
      <c r="M275" s="6"/>
      <c r="N275" s="6"/>
      <c r="O275" s="6"/>
      <c r="P275" s="6">
        <f t="shared" si="8"/>
        <v>0</v>
      </c>
      <c r="Q275" s="5" t="str">
        <f t="shared" si="9"/>
        <v/>
      </c>
      <c r="R275" s="5" t="s">
        <v>131</v>
      </c>
      <c r="S275" s="5"/>
      <c r="T275" s="5"/>
    </row>
    <row r="276" spans="1:20" ht="26.4" x14ac:dyDescent="0.3">
      <c r="A276" s="6">
        <v>366</v>
      </c>
      <c r="B276" s="1" t="s">
        <v>491</v>
      </c>
      <c r="C276" s="5" t="s">
        <v>489</v>
      </c>
      <c r="D276" s="5" t="s">
        <v>492</v>
      </c>
      <c r="E276" s="6" t="s">
        <v>60</v>
      </c>
      <c r="F276" s="6" t="s">
        <v>76</v>
      </c>
      <c r="G276" s="5"/>
      <c r="H276" s="6" t="s">
        <v>57</v>
      </c>
      <c r="I276" s="6"/>
      <c r="J276" s="6" t="str">
        <f>IF(OR(I276="Sí",H276="Alta",AND(Parámetros!$B$4&lt;&gt;"Alta",H276="Media"),AND(Parámetros!$B$4="Baja",H276="Baja")),"Sí","")</f>
        <v/>
      </c>
      <c r="K276" s="6"/>
      <c r="L276" s="6"/>
      <c r="M276" s="6"/>
      <c r="N276" s="6"/>
      <c r="O276" s="6"/>
      <c r="P276" s="6">
        <f t="shared" si="8"/>
        <v>0</v>
      </c>
      <c r="Q276" s="5" t="str">
        <f t="shared" si="9"/>
        <v/>
      </c>
      <c r="R276" s="5"/>
      <c r="S276" s="5"/>
      <c r="T276" s="5"/>
    </row>
    <row r="277" spans="1:20" ht="26.4" x14ac:dyDescent="0.3">
      <c r="A277" s="6">
        <v>375</v>
      </c>
      <c r="B277" s="1" t="s">
        <v>493</v>
      </c>
      <c r="C277" s="5" t="s">
        <v>489</v>
      </c>
      <c r="D277" s="5" t="s">
        <v>494</v>
      </c>
      <c r="E277" s="6" t="s">
        <v>60</v>
      </c>
      <c r="F277" s="6" t="s">
        <v>56</v>
      </c>
      <c r="G277" s="5"/>
      <c r="H277" s="6" t="s">
        <v>57</v>
      </c>
      <c r="I277" s="6"/>
      <c r="J277" s="6" t="str">
        <f>IF(OR(I277="Sí",H277="Alta",AND(Parámetros!$B$4&lt;&gt;"Alta",H277="Media"),AND(Parámetros!$B$4="Baja",H277="Baja")),"Sí","")</f>
        <v/>
      </c>
      <c r="K277" s="6"/>
      <c r="L277" s="6"/>
      <c r="M277" s="6"/>
      <c r="N277" s="6"/>
      <c r="O277" s="6"/>
      <c r="P277" s="6">
        <f t="shared" si="8"/>
        <v>0</v>
      </c>
      <c r="Q277" s="5" t="str">
        <f t="shared" si="9"/>
        <v/>
      </c>
      <c r="R277" s="5" t="s">
        <v>154</v>
      </c>
      <c r="S277" s="5"/>
      <c r="T277" s="5"/>
    </row>
    <row r="278" spans="1:20" ht="26.4" x14ac:dyDescent="0.3">
      <c r="A278" s="6">
        <v>439</v>
      </c>
      <c r="B278" s="1" t="s">
        <v>495</v>
      </c>
      <c r="C278" s="5" t="s">
        <v>489</v>
      </c>
      <c r="D278" s="5" t="s">
        <v>494</v>
      </c>
      <c r="E278" s="6" t="s">
        <v>60</v>
      </c>
      <c r="F278" s="6" t="s">
        <v>56</v>
      </c>
      <c r="G278" s="5"/>
      <c r="H278" s="6" t="s">
        <v>57</v>
      </c>
      <c r="I278" s="6"/>
      <c r="J278" s="6" t="str">
        <f>IF(OR(I278="Sí",H278="Alta",AND(Parámetros!$B$4&lt;&gt;"Alta",H278="Media"),AND(Parámetros!$B$4="Baja",H278="Baja")),"Sí","")</f>
        <v/>
      </c>
      <c r="K278" s="6"/>
      <c r="L278" s="6"/>
      <c r="M278" s="6"/>
      <c r="N278" s="6"/>
      <c r="O278" s="6"/>
      <c r="P278" s="6">
        <f t="shared" si="8"/>
        <v>0</v>
      </c>
      <c r="Q278" s="5" t="str">
        <f t="shared" si="9"/>
        <v/>
      </c>
      <c r="R278" s="5" t="s">
        <v>154</v>
      </c>
      <c r="S278" s="5"/>
      <c r="T278" s="5"/>
    </row>
    <row r="279" spans="1:20" ht="26.4" x14ac:dyDescent="0.3">
      <c r="A279" s="6">
        <v>440</v>
      </c>
      <c r="B279" s="1" t="s">
        <v>496</v>
      </c>
      <c r="C279" s="5" t="s">
        <v>489</v>
      </c>
      <c r="D279" s="5" t="s">
        <v>490</v>
      </c>
      <c r="E279" s="6" t="s">
        <v>60</v>
      </c>
      <c r="F279" s="6" t="s">
        <v>56</v>
      </c>
      <c r="G279" s="5"/>
      <c r="H279" s="6" t="s">
        <v>57</v>
      </c>
      <c r="I279" s="6"/>
      <c r="J279" s="6" t="str">
        <f>IF(OR(I279="Sí",H279="Alta",AND(Parámetros!$B$4&lt;&gt;"Alta",H279="Media"),AND(Parámetros!$B$4="Baja",H279="Baja")),"Sí","")</f>
        <v/>
      </c>
      <c r="K279" s="6"/>
      <c r="L279" s="6"/>
      <c r="M279" s="6"/>
      <c r="N279" s="6"/>
      <c r="O279" s="6"/>
      <c r="P279" s="6">
        <f t="shared" si="8"/>
        <v>0</v>
      </c>
      <c r="Q279" s="5" t="str">
        <f t="shared" si="9"/>
        <v/>
      </c>
      <c r="R279" s="5" t="s">
        <v>131</v>
      </c>
      <c r="S279" s="5"/>
      <c r="T279" s="5"/>
    </row>
    <row r="280" spans="1:20" ht="26.4" x14ac:dyDescent="0.3">
      <c r="A280" s="6">
        <v>549</v>
      </c>
      <c r="B280" s="1" t="s">
        <v>497</v>
      </c>
      <c r="C280" s="5" t="s">
        <v>489</v>
      </c>
      <c r="D280" s="5" t="s">
        <v>492</v>
      </c>
      <c r="E280" s="6" t="s">
        <v>60</v>
      </c>
      <c r="F280" s="6" t="s">
        <v>56</v>
      </c>
      <c r="G280" s="5"/>
      <c r="H280" s="6" t="s">
        <v>57</v>
      </c>
      <c r="I280" s="6"/>
      <c r="J280" s="6" t="str">
        <f>IF(OR(I280="Sí",H280="Alta",AND(Parámetros!$B$4&lt;&gt;"Alta",H280="Media"),AND(Parámetros!$B$4="Baja",H280="Baja")),"Sí","")</f>
        <v/>
      </c>
      <c r="K280" s="6"/>
      <c r="L280" s="6"/>
      <c r="M280" s="6"/>
      <c r="N280" s="6"/>
      <c r="O280" s="6"/>
      <c r="P280" s="6">
        <f t="shared" si="8"/>
        <v>0</v>
      </c>
      <c r="Q280" s="5" t="str">
        <f t="shared" si="9"/>
        <v/>
      </c>
      <c r="R280" s="5" t="s">
        <v>98</v>
      </c>
      <c r="S280" s="5"/>
      <c r="T280" s="5"/>
    </row>
    <row r="281" spans="1:20" ht="26.4" x14ac:dyDescent="0.3">
      <c r="A281" s="6">
        <v>564</v>
      </c>
      <c r="B281" s="1" t="s">
        <v>498</v>
      </c>
      <c r="C281" s="5" t="s">
        <v>489</v>
      </c>
      <c r="D281" s="5" t="s">
        <v>499</v>
      </c>
      <c r="E281" s="6" t="s">
        <v>60</v>
      </c>
      <c r="F281" s="6" t="s">
        <v>56</v>
      </c>
      <c r="G281" s="5"/>
      <c r="H281" s="6" t="s">
        <v>57</v>
      </c>
      <c r="I281" s="6"/>
      <c r="J281" s="6" t="str">
        <f>IF(OR(I281="Sí",H281="Alta",AND(Parámetros!$B$4&lt;&gt;"Alta",H281="Media"),AND(Parámetros!$B$4="Baja",H281="Baja")),"Sí","")</f>
        <v/>
      </c>
      <c r="K281" s="6"/>
      <c r="L281" s="6"/>
      <c r="M281" s="6"/>
      <c r="N281" s="6"/>
      <c r="O281" s="6"/>
      <c r="P281" s="6">
        <f t="shared" si="8"/>
        <v>0</v>
      </c>
      <c r="Q281" s="5" t="str">
        <f t="shared" si="9"/>
        <v/>
      </c>
      <c r="R281" s="5" t="s">
        <v>154</v>
      </c>
      <c r="S281" s="5"/>
      <c r="T281" s="5"/>
    </row>
    <row r="282" spans="1:20" ht="26.4" x14ac:dyDescent="0.3">
      <c r="A282" s="6">
        <v>565</v>
      </c>
      <c r="B282" s="1" t="s">
        <v>500</v>
      </c>
      <c r="C282" s="5" t="s">
        <v>489</v>
      </c>
      <c r="D282" s="5" t="s">
        <v>490</v>
      </c>
      <c r="E282" s="6" t="s">
        <v>60</v>
      </c>
      <c r="F282" s="6" t="s">
        <v>56</v>
      </c>
      <c r="G282" s="5"/>
      <c r="H282" s="6" t="s">
        <v>57</v>
      </c>
      <c r="I282" s="6"/>
      <c r="J282" s="6" t="str">
        <f>IF(OR(I282="Sí",H282="Alta",AND(Parámetros!$B$4&lt;&gt;"Alta",H282="Media"),AND(Parámetros!$B$4="Baja",H282="Baja")),"Sí","")</f>
        <v/>
      </c>
      <c r="K282" s="6"/>
      <c r="L282" s="6"/>
      <c r="M282" s="6"/>
      <c r="N282" s="6"/>
      <c r="O282" s="6"/>
      <c r="P282" s="6">
        <f t="shared" si="8"/>
        <v>0</v>
      </c>
      <c r="Q282" s="5" t="str">
        <f t="shared" si="9"/>
        <v/>
      </c>
      <c r="R282" s="5"/>
      <c r="S282" s="5"/>
      <c r="T282" s="5"/>
    </row>
    <row r="283" spans="1:20" ht="39.6" x14ac:dyDescent="0.3">
      <c r="A283" s="6">
        <v>578</v>
      </c>
      <c r="B283" s="1" t="s">
        <v>501</v>
      </c>
      <c r="C283" s="5" t="s">
        <v>489</v>
      </c>
      <c r="D283" s="5" t="s">
        <v>494</v>
      </c>
      <c r="E283" s="6" t="s">
        <v>60</v>
      </c>
      <c r="F283" s="6" t="s">
        <v>56</v>
      </c>
      <c r="G283" s="5"/>
      <c r="H283" s="6" t="s">
        <v>57</v>
      </c>
      <c r="I283" s="6"/>
      <c r="J283" s="6" t="str">
        <f>IF(OR(I283="Sí",H283="Alta",AND(Parámetros!$B$4&lt;&gt;"Alta",H283="Media"),AND(Parámetros!$B$4="Baja",H283="Baja")),"Sí","")</f>
        <v/>
      </c>
      <c r="K283" s="6"/>
      <c r="L283" s="6"/>
      <c r="M283" s="6"/>
      <c r="N283" s="6"/>
      <c r="O283" s="6"/>
      <c r="P283" s="6">
        <f t="shared" si="8"/>
        <v>0</v>
      </c>
      <c r="Q283" s="5" t="str">
        <f t="shared" si="9"/>
        <v/>
      </c>
      <c r="R283" s="5"/>
      <c r="S283" s="5" t="s">
        <v>155</v>
      </c>
      <c r="T283" s="5"/>
    </row>
    <row r="284" spans="1:20" ht="26.4" x14ac:dyDescent="0.3">
      <c r="A284" s="6">
        <v>368</v>
      </c>
      <c r="B284" s="1" t="s">
        <v>502</v>
      </c>
      <c r="C284" s="5" t="s">
        <v>503</v>
      </c>
      <c r="D284" s="5" t="s">
        <v>504</v>
      </c>
      <c r="E284" s="6" t="s">
        <v>55</v>
      </c>
      <c r="F284" s="6" t="s">
        <v>61</v>
      </c>
      <c r="G284" s="5" t="s">
        <v>72</v>
      </c>
      <c r="H284" s="6" t="s">
        <v>73</v>
      </c>
      <c r="I284" s="6"/>
      <c r="J284" s="6" t="str">
        <f>IF(OR(I284="Sí",H284="Alta",AND(Parámetros!$B$4&lt;&gt;"Alta",H284="Media"),AND(Parámetros!$B$4="Baja",H284="Baja")),"Sí","")</f>
        <v/>
      </c>
      <c r="K284" s="6"/>
      <c r="L284" s="6"/>
      <c r="M284" s="6"/>
      <c r="N284" s="6"/>
      <c r="O284" s="6"/>
      <c r="P284" s="6">
        <f t="shared" si="8"/>
        <v>0</v>
      </c>
      <c r="Q284" s="5" t="str">
        <f t="shared" si="9"/>
        <v/>
      </c>
      <c r="R284" s="5" t="s">
        <v>58</v>
      </c>
      <c r="S284" s="5"/>
      <c r="T284" s="5"/>
    </row>
    <row r="285" spans="1:20" ht="26.4" x14ac:dyDescent="0.3">
      <c r="A285" s="6">
        <v>372</v>
      </c>
      <c r="B285" s="1" t="s">
        <v>505</v>
      </c>
      <c r="C285" s="5" t="s">
        <v>503</v>
      </c>
      <c r="D285" s="5" t="s">
        <v>504</v>
      </c>
      <c r="E285" s="6" t="s">
        <v>55</v>
      </c>
      <c r="F285" s="6" t="s">
        <v>61</v>
      </c>
      <c r="G285" s="5"/>
      <c r="H285" s="6" t="s">
        <v>57</v>
      </c>
      <c r="I285" s="6"/>
      <c r="J285" s="6" t="str">
        <f>IF(OR(I285="Sí",H285="Alta",AND(Parámetros!$B$4&lt;&gt;"Alta",H285="Media"),AND(Parámetros!$B$4="Baja",H285="Baja")),"Sí","")</f>
        <v/>
      </c>
      <c r="K285" s="6"/>
      <c r="L285" s="6"/>
      <c r="M285" s="6"/>
      <c r="N285" s="6"/>
      <c r="O285" s="6"/>
      <c r="P285" s="6">
        <f t="shared" si="8"/>
        <v>0</v>
      </c>
      <c r="Q285" s="5" t="str">
        <f t="shared" si="9"/>
        <v/>
      </c>
      <c r="R285" s="5"/>
      <c r="S285" s="5"/>
      <c r="T285" s="5"/>
    </row>
    <row r="286" spans="1:20" ht="26.4" x14ac:dyDescent="0.3">
      <c r="A286" s="6">
        <v>561</v>
      </c>
      <c r="B286" s="1" t="s">
        <v>506</v>
      </c>
      <c r="C286" s="5" t="s">
        <v>503</v>
      </c>
      <c r="D286" s="5" t="s">
        <v>504</v>
      </c>
      <c r="E286" s="6" t="s">
        <v>55</v>
      </c>
      <c r="F286" s="6" t="s">
        <v>178</v>
      </c>
      <c r="G286" s="5"/>
      <c r="H286" s="6" t="s">
        <v>57</v>
      </c>
      <c r="I286" s="6"/>
      <c r="J286" s="6" t="str">
        <f>IF(OR(I286="Sí",H286="Alta",AND(Parámetros!$B$4&lt;&gt;"Alta",H286="Media"),AND(Parámetros!$B$4="Baja",H286="Baja")),"Sí","")</f>
        <v/>
      </c>
      <c r="K286" s="6"/>
      <c r="L286" s="6"/>
      <c r="M286" s="6"/>
      <c r="N286" s="6"/>
      <c r="O286" s="6"/>
      <c r="P286" s="6">
        <f t="shared" si="8"/>
        <v>0</v>
      </c>
      <c r="Q286" s="5" t="str">
        <f t="shared" si="9"/>
        <v/>
      </c>
      <c r="R286" s="5"/>
      <c r="S286" s="5"/>
      <c r="T286" s="5"/>
    </row>
    <row r="287" spans="1:20" ht="26.4" x14ac:dyDescent="0.3">
      <c r="A287" s="6">
        <v>562</v>
      </c>
      <c r="B287" s="1" t="s">
        <v>507</v>
      </c>
      <c r="C287" s="5" t="s">
        <v>503</v>
      </c>
      <c r="D287" s="5" t="s">
        <v>504</v>
      </c>
      <c r="E287" s="6" t="s">
        <v>60</v>
      </c>
      <c r="F287" s="6" t="s">
        <v>230</v>
      </c>
      <c r="G287" s="5"/>
      <c r="H287" s="6" t="s">
        <v>57</v>
      </c>
      <c r="I287" s="6"/>
      <c r="J287" s="6" t="str">
        <f>IF(OR(I287="Sí",H287="Alta",AND(Parámetros!$B$4&lt;&gt;"Alta",H287="Media"),AND(Parámetros!$B$4="Baja",H287="Baja")),"Sí","")</f>
        <v/>
      </c>
      <c r="K287" s="6"/>
      <c r="L287" s="6"/>
      <c r="M287" s="6"/>
      <c r="N287" s="6"/>
      <c r="O287" s="6"/>
      <c r="P287" s="6">
        <f t="shared" si="8"/>
        <v>0</v>
      </c>
      <c r="Q287" s="5" t="str">
        <f t="shared" si="9"/>
        <v/>
      </c>
      <c r="R287" s="5"/>
      <c r="S287" s="5"/>
      <c r="T287" s="5"/>
    </row>
    <row r="288" spans="1:20" ht="26.4" x14ac:dyDescent="0.3">
      <c r="A288" s="6">
        <v>630</v>
      </c>
      <c r="B288" s="1" t="s">
        <v>508</v>
      </c>
      <c r="C288" s="5" t="s">
        <v>503</v>
      </c>
      <c r="D288" s="5" t="s">
        <v>504</v>
      </c>
      <c r="E288" s="6" t="s">
        <v>60</v>
      </c>
      <c r="F288" s="6" t="s">
        <v>230</v>
      </c>
      <c r="G288" s="5"/>
      <c r="H288" s="6" t="s">
        <v>57</v>
      </c>
      <c r="I288" s="6"/>
      <c r="J288" s="6" t="str">
        <f>IF(OR(I288="Sí",H288="Alta",AND(Parámetros!$B$4&lt;&gt;"Alta",H288="Media"),AND(Parámetros!$B$4="Baja",H288="Baja")),"Sí","")</f>
        <v/>
      </c>
      <c r="K288" s="6"/>
      <c r="L288" s="6"/>
      <c r="M288" s="6"/>
      <c r="N288" s="6"/>
      <c r="O288" s="6"/>
      <c r="P288" s="6">
        <f t="shared" si="8"/>
        <v>0</v>
      </c>
      <c r="Q288" s="5" t="str">
        <f t="shared" si="9"/>
        <v/>
      </c>
      <c r="R288" s="5"/>
      <c r="S288" s="5"/>
      <c r="T288" s="5"/>
    </row>
    <row r="289" spans="1:20" ht="26.4" x14ac:dyDescent="0.3">
      <c r="A289" s="6">
        <v>631</v>
      </c>
      <c r="B289" s="1" t="s">
        <v>509</v>
      </c>
      <c r="C289" s="5" t="s">
        <v>503</v>
      </c>
      <c r="D289" s="5" t="s">
        <v>504</v>
      </c>
      <c r="E289" s="6" t="s">
        <v>60</v>
      </c>
      <c r="F289" s="6" t="s">
        <v>230</v>
      </c>
      <c r="G289" s="5"/>
      <c r="H289" s="6" t="s">
        <v>57</v>
      </c>
      <c r="I289" s="6"/>
      <c r="J289" s="6" t="str">
        <f>IF(OR(I289="Sí",H289="Alta",AND(Parámetros!$B$4&lt;&gt;"Alta",H289="Media"),AND(Parámetros!$B$4="Baja",H289="Baja")),"Sí","")</f>
        <v/>
      </c>
      <c r="K289" s="6"/>
      <c r="L289" s="6"/>
      <c r="M289" s="6"/>
      <c r="N289" s="6"/>
      <c r="O289" s="6"/>
      <c r="P289" s="6">
        <f t="shared" si="8"/>
        <v>0</v>
      </c>
      <c r="Q289" s="5" t="str">
        <f t="shared" si="9"/>
        <v/>
      </c>
      <c r="R289" s="5"/>
      <c r="S289" s="5"/>
      <c r="T289" s="5"/>
    </row>
    <row r="290" spans="1:20" x14ac:dyDescent="0.3">
      <c r="A290" s="6">
        <v>245</v>
      </c>
      <c r="B290" s="1" t="s">
        <v>510</v>
      </c>
      <c r="C290" s="5" t="s">
        <v>511</v>
      </c>
      <c r="D290" s="5" t="s">
        <v>512</v>
      </c>
      <c r="E290" s="6" t="s">
        <v>60</v>
      </c>
      <c r="F290" s="6" t="s">
        <v>56</v>
      </c>
      <c r="G290" s="5" t="s">
        <v>72</v>
      </c>
      <c r="H290" s="6" t="s">
        <v>36</v>
      </c>
      <c r="I290" s="6"/>
      <c r="J290" s="6" t="str">
        <f>IF(OR(I290="Sí",H290="Alta",AND(Parámetros!$B$4&lt;&gt;"Alta",H290="Media"),AND(Parámetros!$B$4="Baja",H290="Baja")),"Sí","")</f>
        <v>Sí</v>
      </c>
      <c r="K290" s="6" t="s">
        <v>83</v>
      </c>
      <c r="L290" s="6"/>
      <c r="M290" s="6"/>
      <c r="N290" s="6"/>
      <c r="O290" s="6"/>
      <c r="P290" s="6">
        <f t="shared" si="8"/>
        <v>2</v>
      </c>
      <c r="Q290" s="5" t="str">
        <f t="shared" si="9"/>
        <v>1, 2</v>
      </c>
      <c r="R290" s="5"/>
      <c r="S290" s="5"/>
      <c r="T290" s="5"/>
    </row>
    <row r="291" spans="1:20" ht="26.4" x14ac:dyDescent="0.3">
      <c r="A291" s="6">
        <v>252</v>
      </c>
      <c r="B291" s="1" t="s">
        <v>513</v>
      </c>
      <c r="C291" s="5" t="s">
        <v>511</v>
      </c>
      <c r="D291" s="5" t="s">
        <v>512</v>
      </c>
      <c r="E291" s="6" t="s">
        <v>60</v>
      </c>
      <c r="F291" s="6" t="s">
        <v>56</v>
      </c>
      <c r="G291" s="5" t="s">
        <v>72</v>
      </c>
      <c r="H291" s="6" t="s">
        <v>36</v>
      </c>
      <c r="I291" s="6"/>
      <c r="J291" s="6" t="str">
        <f>IF(OR(I291="Sí",H291="Alta",AND(Parámetros!$B$4&lt;&gt;"Alta",H291="Media"),AND(Parámetros!$B$4="Baja",H291="Baja")),"Sí","")</f>
        <v>Sí</v>
      </c>
      <c r="K291" s="6" t="s">
        <v>83</v>
      </c>
      <c r="L291" s="6"/>
      <c r="M291" s="6"/>
      <c r="N291" s="6"/>
      <c r="O291" s="6"/>
      <c r="P291" s="6">
        <f t="shared" si="8"/>
        <v>2</v>
      </c>
      <c r="Q291" s="5" t="str">
        <f t="shared" si="9"/>
        <v>1, 2</v>
      </c>
      <c r="R291" s="5"/>
      <c r="S291" s="5"/>
      <c r="T291" s="5"/>
    </row>
    <row r="292" spans="1:20" ht="26.4" x14ac:dyDescent="0.3">
      <c r="A292" s="6">
        <v>554</v>
      </c>
      <c r="B292" s="1" t="s">
        <v>514</v>
      </c>
      <c r="C292" s="5" t="s">
        <v>511</v>
      </c>
      <c r="D292" s="5" t="s">
        <v>512</v>
      </c>
      <c r="E292" s="6" t="s">
        <v>55</v>
      </c>
      <c r="F292" s="6" t="s">
        <v>56</v>
      </c>
      <c r="G292" s="5"/>
      <c r="H292" s="6" t="s">
        <v>57</v>
      </c>
      <c r="I292" s="6"/>
      <c r="J292" s="6" t="str">
        <f>IF(OR(I292="Sí",H292="Alta",AND(Parámetros!$B$4&lt;&gt;"Alta",H292="Media"),AND(Parámetros!$B$4="Baja",H292="Baja")),"Sí","")</f>
        <v/>
      </c>
      <c r="K292" s="6"/>
      <c r="L292" s="6"/>
      <c r="M292" s="6"/>
      <c r="N292" s="6"/>
      <c r="O292" s="6"/>
      <c r="P292" s="6">
        <f t="shared" si="8"/>
        <v>0</v>
      </c>
      <c r="Q292" s="5" t="str">
        <f t="shared" si="9"/>
        <v/>
      </c>
      <c r="R292" s="5" t="s">
        <v>58</v>
      </c>
      <c r="S292" s="5"/>
      <c r="T292" s="5"/>
    </row>
    <row r="293" spans="1:20" x14ac:dyDescent="0.3">
      <c r="A293" s="6">
        <v>584</v>
      </c>
      <c r="B293" s="1" t="s">
        <v>515</v>
      </c>
      <c r="C293" s="5" t="s">
        <v>511</v>
      </c>
      <c r="D293" s="5" t="s">
        <v>512</v>
      </c>
      <c r="E293" s="6" t="s">
        <v>60</v>
      </c>
      <c r="F293" s="6" t="s">
        <v>56</v>
      </c>
      <c r="G293" s="5" t="s">
        <v>72</v>
      </c>
      <c r="H293" s="6" t="s">
        <v>36</v>
      </c>
      <c r="I293" s="6"/>
      <c r="J293" s="6" t="str">
        <f>IF(OR(I293="Sí",H293="Alta",AND(Parámetros!$B$4&lt;&gt;"Alta",H293="Media"),AND(Parámetros!$B$4="Baja",H293="Baja")),"Sí","")</f>
        <v>Sí</v>
      </c>
      <c r="K293" s="6"/>
      <c r="L293" s="6"/>
      <c r="M293" s="6"/>
      <c r="N293" s="6"/>
      <c r="O293" s="6"/>
      <c r="P293" s="6">
        <f t="shared" si="8"/>
        <v>1</v>
      </c>
      <c r="Q293" s="5" t="str">
        <f t="shared" si="9"/>
        <v>1</v>
      </c>
      <c r="R293" s="5"/>
      <c r="S293" s="5"/>
      <c r="T293" s="5"/>
    </row>
    <row r="294" spans="1:20" ht="26.4" x14ac:dyDescent="0.3">
      <c r="A294" s="6">
        <v>585</v>
      </c>
      <c r="B294" s="1" t="s">
        <v>516</v>
      </c>
      <c r="C294" s="5" t="s">
        <v>511</v>
      </c>
      <c r="D294" s="5" t="s">
        <v>512</v>
      </c>
      <c r="E294" s="6" t="s">
        <v>55</v>
      </c>
      <c r="F294" s="6" t="s">
        <v>56</v>
      </c>
      <c r="G294" s="5" t="s">
        <v>72</v>
      </c>
      <c r="H294" s="6" t="s">
        <v>36</v>
      </c>
      <c r="I294" s="6"/>
      <c r="J294" s="6" t="str">
        <f>IF(OR(I294="Sí",H294="Alta",AND(Parámetros!$B$4&lt;&gt;"Alta",H294="Media"),AND(Parámetros!$B$4="Baja",H294="Baja")),"Sí","")</f>
        <v>Sí</v>
      </c>
      <c r="K294" s="6" t="s">
        <v>83</v>
      </c>
      <c r="L294" s="6"/>
      <c r="M294" s="6"/>
      <c r="N294" s="6"/>
      <c r="O294" s="6"/>
      <c r="P294" s="6">
        <f t="shared" si="8"/>
        <v>2</v>
      </c>
      <c r="Q294" s="5" t="str">
        <f t="shared" si="9"/>
        <v>1, 2</v>
      </c>
      <c r="R294" s="5"/>
      <c r="S294" s="5"/>
      <c r="T294" s="5" t="s">
        <v>517</v>
      </c>
    </row>
    <row r="295" spans="1:20" ht="26.4" x14ac:dyDescent="0.3">
      <c r="A295" s="6">
        <v>373</v>
      </c>
      <c r="B295" s="1" t="s">
        <v>518</v>
      </c>
      <c r="C295" s="5" t="s">
        <v>519</v>
      </c>
      <c r="D295" s="5" t="s">
        <v>520</v>
      </c>
      <c r="E295" s="6" t="s">
        <v>60</v>
      </c>
      <c r="F295" s="6" t="s">
        <v>61</v>
      </c>
      <c r="G295" s="5"/>
      <c r="H295" s="6" t="s">
        <v>65</v>
      </c>
      <c r="I295" s="6"/>
      <c r="J295" s="6" t="str">
        <f>IF(OR(I295="Sí",H295="Alta",AND(Parámetros!$B$4&lt;&gt;"Alta",H295="Media"),AND(Parámetros!$B$4="Baja",H295="Baja")),"Sí","")</f>
        <v/>
      </c>
      <c r="K295" s="6"/>
      <c r="L295" s="6"/>
      <c r="M295" s="6"/>
      <c r="N295" s="6"/>
      <c r="O295" s="6"/>
      <c r="P295" s="6">
        <f t="shared" si="8"/>
        <v>0</v>
      </c>
      <c r="Q295" s="5" t="str">
        <f t="shared" si="9"/>
        <v/>
      </c>
      <c r="R295" s="5"/>
      <c r="S295" s="5"/>
      <c r="T295" s="5"/>
    </row>
    <row r="296" spans="1:20" ht="26.4" x14ac:dyDescent="0.3">
      <c r="A296" s="6">
        <v>390</v>
      </c>
      <c r="B296" s="1" t="s">
        <v>521</v>
      </c>
      <c r="C296" s="5" t="s">
        <v>519</v>
      </c>
      <c r="D296" s="5" t="s">
        <v>520</v>
      </c>
      <c r="E296" s="6" t="s">
        <v>60</v>
      </c>
      <c r="F296" s="6" t="s">
        <v>61</v>
      </c>
      <c r="G296" s="5"/>
      <c r="H296" s="6" t="s">
        <v>57</v>
      </c>
      <c r="I296" s="6"/>
      <c r="J296" s="6" t="str">
        <f>IF(OR(I296="Sí",H296="Alta",AND(Parámetros!$B$4&lt;&gt;"Alta",H296="Media"),AND(Parámetros!$B$4="Baja",H296="Baja")),"Sí","")</f>
        <v/>
      </c>
      <c r="K296" s="6"/>
      <c r="L296" s="6"/>
      <c r="M296" s="6"/>
      <c r="N296" s="6"/>
      <c r="O296" s="6"/>
      <c r="P296" s="6">
        <f t="shared" si="8"/>
        <v>0</v>
      </c>
      <c r="Q296" s="5" t="str">
        <f t="shared" si="9"/>
        <v/>
      </c>
      <c r="R296" s="5"/>
      <c r="S296" s="5"/>
      <c r="T296" s="5"/>
    </row>
    <row r="297" spans="1:20" ht="26.4" x14ac:dyDescent="0.3">
      <c r="A297" s="6">
        <v>414</v>
      </c>
      <c r="B297" s="1" t="s">
        <v>522</v>
      </c>
      <c r="C297" s="5" t="s">
        <v>519</v>
      </c>
      <c r="D297" s="5" t="s">
        <v>520</v>
      </c>
      <c r="E297" s="6" t="s">
        <v>60</v>
      </c>
      <c r="F297" s="6" t="s">
        <v>61</v>
      </c>
      <c r="G297" s="5"/>
      <c r="H297" s="6" t="s">
        <v>57</v>
      </c>
      <c r="I297" s="6"/>
      <c r="J297" s="6" t="str">
        <f>IF(OR(I297="Sí",H297="Alta",AND(Parámetros!$B$4&lt;&gt;"Alta",H297="Media"),AND(Parámetros!$B$4="Baja",H297="Baja")),"Sí","")</f>
        <v/>
      </c>
      <c r="K297" s="6"/>
      <c r="L297" s="6"/>
      <c r="M297" s="6"/>
      <c r="N297" s="6"/>
      <c r="O297" s="6"/>
      <c r="P297" s="6">
        <f t="shared" si="8"/>
        <v>0</v>
      </c>
      <c r="Q297" s="5" t="str">
        <f t="shared" si="9"/>
        <v/>
      </c>
      <c r="R297" s="5"/>
      <c r="S297" s="5"/>
      <c r="T297" s="5"/>
    </row>
    <row r="298" spans="1:20" ht="26.4" x14ac:dyDescent="0.3">
      <c r="A298" s="6">
        <v>415</v>
      </c>
      <c r="B298" s="1" t="s">
        <v>523</v>
      </c>
      <c r="C298" s="5" t="s">
        <v>519</v>
      </c>
      <c r="D298" s="5" t="s">
        <v>520</v>
      </c>
      <c r="E298" s="6" t="s">
        <v>60</v>
      </c>
      <c r="F298" s="6" t="s">
        <v>61</v>
      </c>
      <c r="G298" s="5"/>
      <c r="H298" s="6" t="s">
        <v>57</v>
      </c>
      <c r="I298" s="6"/>
      <c r="J298" s="6" t="str">
        <f>IF(OR(I298="Sí",H298="Alta",AND(Parámetros!$B$4&lt;&gt;"Alta",H298="Media"),AND(Parámetros!$B$4="Baja",H298="Baja")),"Sí","")</f>
        <v/>
      </c>
      <c r="K298" s="6"/>
      <c r="L298" s="6"/>
      <c r="M298" s="6"/>
      <c r="N298" s="6"/>
      <c r="O298" s="6"/>
      <c r="P298" s="6">
        <f t="shared" si="8"/>
        <v>0</v>
      </c>
      <c r="Q298" s="5" t="str">
        <f t="shared" si="9"/>
        <v/>
      </c>
      <c r="R298" s="5"/>
      <c r="S298" s="5"/>
      <c r="T298" s="5"/>
    </row>
    <row r="299" spans="1:20" ht="26.4" x14ac:dyDescent="0.3">
      <c r="A299" s="6">
        <v>416</v>
      </c>
      <c r="B299" s="1" t="s">
        <v>524</v>
      </c>
      <c r="C299" s="5" t="s">
        <v>519</v>
      </c>
      <c r="D299" s="5" t="s">
        <v>520</v>
      </c>
      <c r="E299" s="6" t="s">
        <v>60</v>
      </c>
      <c r="F299" s="6" t="s">
        <v>61</v>
      </c>
      <c r="G299" s="5"/>
      <c r="H299" s="6" t="s">
        <v>57</v>
      </c>
      <c r="I299" s="6"/>
      <c r="J299" s="6" t="str">
        <f>IF(OR(I299="Sí",H299="Alta",AND(Parámetros!$B$4&lt;&gt;"Alta",H299="Media"),AND(Parámetros!$B$4="Baja",H299="Baja")),"Sí","")</f>
        <v/>
      </c>
      <c r="K299" s="6"/>
      <c r="L299" s="6"/>
      <c r="M299" s="6"/>
      <c r="N299" s="6"/>
      <c r="O299" s="6"/>
      <c r="P299" s="6">
        <f t="shared" si="8"/>
        <v>0</v>
      </c>
      <c r="Q299" s="5" t="str">
        <f t="shared" si="9"/>
        <v/>
      </c>
      <c r="R299" s="5"/>
      <c r="S299" s="5"/>
      <c r="T299" s="5"/>
    </row>
    <row r="300" spans="1:20" ht="26.4" x14ac:dyDescent="0.3">
      <c r="A300" s="6">
        <v>417</v>
      </c>
      <c r="B300" s="1" t="s">
        <v>525</v>
      </c>
      <c r="C300" s="5" t="s">
        <v>519</v>
      </c>
      <c r="D300" s="5" t="s">
        <v>520</v>
      </c>
      <c r="E300" s="6" t="s">
        <v>60</v>
      </c>
      <c r="F300" s="6" t="s">
        <v>61</v>
      </c>
      <c r="G300" s="5"/>
      <c r="H300" s="6" t="s">
        <v>57</v>
      </c>
      <c r="I300" s="6"/>
      <c r="J300" s="6" t="str">
        <f>IF(OR(I300="Sí",H300="Alta",AND(Parámetros!$B$4&lt;&gt;"Alta",H300="Media"),AND(Parámetros!$B$4="Baja",H300="Baja")),"Sí","")</f>
        <v/>
      </c>
      <c r="K300" s="6"/>
      <c r="L300" s="6"/>
      <c r="M300" s="6"/>
      <c r="N300" s="6"/>
      <c r="O300" s="6"/>
      <c r="P300" s="6">
        <f t="shared" si="8"/>
        <v>0</v>
      </c>
      <c r="Q300" s="5" t="str">
        <f t="shared" si="9"/>
        <v/>
      </c>
      <c r="R300" s="5"/>
      <c r="S300" s="5"/>
      <c r="T300" s="5"/>
    </row>
    <row r="301" spans="1:20" ht="26.4" x14ac:dyDescent="0.3">
      <c r="A301" s="6">
        <v>418</v>
      </c>
      <c r="B301" s="1" t="s">
        <v>526</v>
      </c>
      <c r="C301" s="5" t="s">
        <v>519</v>
      </c>
      <c r="D301" s="5" t="s">
        <v>520</v>
      </c>
      <c r="E301" s="6" t="s">
        <v>60</v>
      </c>
      <c r="F301" s="6" t="s">
        <v>61</v>
      </c>
      <c r="G301" s="5"/>
      <c r="H301" s="6" t="s">
        <v>57</v>
      </c>
      <c r="I301" s="6"/>
      <c r="J301" s="6" t="str">
        <f>IF(OR(I301="Sí",H301="Alta",AND(Parámetros!$B$4&lt;&gt;"Alta",H301="Media"),AND(Parámetros!$B$4="Baja",H301="Baja")),"Sí","")</f>
        <v/>
      </c>
      <c r="K301" s="6"/>
      <c r="L301" s="6"/>
      <c r="M301" s="6"/>
      <c r="N301" s="6"/>
      <c r="O301" s="6"/>
      <c r="P301" s="6">
        <f t="shared" si="8"/>
        <v>0</v>
      </c>
      <c r="Q301" s="5" t="str">
        <f t="shared" si="9"/>
        <v/>
      </c>
      <c r="R301" s="5"/>
      <c r="S301" s="5"/>
      <c r="T301" s="5"/>
    </row>
    <row r="302" spans="1:20" ht="26.4" x14ac:dyDescent="0.3">
      <c r="A302" s="6">
        <v>420</v>
      </c>
      <c r="B302" s="1" t="s">
        <v>527</v>
      </c>
      <c r="C302" s="5" t="s">
        <v>519</v>
      </c>
      <c r="D302" s="5" t="s">
        <v>520</v>
      </c>
      <c r="E302" s="6" t="s">
        <v>60</v>
      </c>
      <c r="F302" s="6" t="s">
        <v>61</v>
      </c>
      <c r="G302" s="5"/>
      <c r="H302" s="6" t="s">
        <v>57</v>
      </c>
      <c r="I302" s="6"/>
      <c r="J302" s="6" t="str">
        <f>IF(OR(I302="Sí",H302="Alta",AND(Parámetros!$B$4&lt;&gt;"Alta",H302="Media"),AND(Parámetros!$B$4="Baja",H302="Baja")),"Sí","")</f>
        <v/>
      </c>
      <c r="K302" s="6"/>
      <c r="L302" s="6"/>
      <c r="M302" s="6"/>
      <c r="N302" s="6"/>
      <c r="O302" s="6"/>
      <c r="P302" s="6">
        <f t="shared" si="8"/>
        <v>0</v>
      </c>
      <c r="Q302" s="5" t="str">
        <f t="shared" si="9"/>
        <v/>
      </c>
      <c r="R302" s="5"/>
      <c r="S302" s="5"/>
      <c r="T302" s="5"/>
    </row>
    <row r="303" spans="1:20" ht="26.4" x14ac:dyDescent="0.3">
      <c r="A303" s="6">
        <v>469</v>
      </c>
      <c r="B303" s="1" t="s">
        <v>528</v>
      </c>
      <c r="C303" s="5" t="s">
        <v>519</v>
      </c>
      <c r="D303" s="5" t="s">
        <v>520</v>
      </c>
      <c r="E303" s="6" t="s">
        <v>60</v>
      </c>
      <c r="F303" s="6" t="s">
        <v>61</v>
      </c>
      <c r="G303" s="5"/>
      <c r="H303" s="6" t="s">
        <v>57</v>
      </c>
      <c r="I303" s="6"/>
      <c r="J303" s="6" t="str">
        <f>IF(OR(I303="Sí",H303="Alta",AND(Parámetros!$B$4&lt;&gt;"Alta",H303="Media"),AND(Parámetros!$B$4="Baja",H303="Baja")),"Sí","")</f>
        <v/>
      </c>
      <c r="K303" s="6"/>
      <c r="L303" s="6"/>
      <c r="M303" s="6"/>
      <c r="N303" s="6"/>
      <c r="O303" s="6"/>
      <c r="P303" s="6">
        <f t="shared" si="8"/>
        <v>0</v>
      </c>
      <c r="Q303" s="5" t="str">
        <f t="shared" si="9"/>
        <v/>
      </c>
      <c r="R303" s="5"/>
      <c r="S303" s="5"/>
      <c r="T303" s="5"/>
    </row>
    <row r="304" spans="1:20" ht="26.4" x14ac:dyDescent="0.3">
      <c r="A304" s="6">
        <v>470</v>
      </c>
      <c r="B304" s="1" t="s">
        <v>529</v>
      </c>
      <c r="C304" s="5" t="s">
        <v>519</v>
      </c>
      <c r="D304" s="5" t="s">
        <v>520</v>
      </c>
      <c r="E304" s="6" t="s">
        <v>60</v>
      </c>
      <c r="F304" s="6" t="s">
        <v>61</v>
      </c>
      <c r="G304" s="5"/>
      <c r="H304" s="6" t="s">
        <v>57</v>
      </c>
      <c r="I304" s="6"/>
      <c r="J304" s="6" t="str">
        <f>IF(OR(I304="Sí",H304="Alta",AND(Parámetros!$B$4&lt;&gt;"Alta",H304="Media"),AND(Parámetros!$B$4="Baja",H304="Baja")),"Sí","")</f>
        <v/>
      </c>
      <c r="K304" s="6"/>
      <c r="L304" s="6"/>
      <c r="M304" s="6"/>
      <c r="N304" s="6"/>
      <c r="O304" s="6"/>
      <c r="P304" s="6">
        <f t="shared" si="8"/>
        <v>0</v>
      </c>
      <c r="Q304" s="5" t="str">
        <f t="shared" si="9"/>
        <v/>
      </c>
      <c r="R304" s="5"/>
      <c r="S304" s="5"/>
      <c r="T304" s="5"/>
    </row>
    <row r="305" spans="1:20" ht="26.4" x14ac:dyDescent="0.3">
      <c r="A305" s="6">
        <v>471</v>
      </c>
      <c r="B305" s="1" t="s">
        <v>530</v>
      </c>
      <c r="C305" s="5" t="s">
        <v>519</v>
      </c>
      <c r="D305" s="5" t="s">
        <v>520</v>
      </c>
      <c r="E305" s="6" t="s">
        <v>60</v>
      </c>
      <c r="F305" s="6" t="s">
        <v>61</v>
      </c>
      <c r="G305" s="5"/>
      <c r="H305" s="6" t="s">
        <v>57</v>
      </c>
      <c r="I305" s="6"/>
      <c r="J305" s="6" t="str">
        <f>IF(OR(I305="Sí",H305="Alta",AND(Parámetros!$B$4&lt;&gt;"Alta",H305="Media"),AND(Parámetros!$B$4="Baja",H305="Baja")),"Sí","")</f>
        <v/>
      </c>
      <c r="K305" s="6"/>
      <c r="L305" s="6"/>
      <c r="M305" s="6"/>
      <c r="N305" s="6"/>
      <c r="O305" s="6"/>
      <c r="P305" s="6">
        <f t="shared" si="8"/>
        <v>0</v>
      </c>
      <c r="Q305" s="5" t="str">
        <f t="shared" si="9"/>
        <v/>
      </c>
      <c r="R305" s="5"/>
      <c r="S305" s="5"/>
      <c r="T305" s="5"/>
    </row>
    <row r="306" spans="1:20" ht="26.4" x14ac:dyDescent="0.3">
      <c r="A306" s="6">
        <v>490</v>
      </c>
      <c r="B306" s="1" t="s">
        <v>531</v>
      </c>
      <c r="C306" s="5" t="s">
        <v>519</v>
      </c>
      <c r="D306" s="5" t="s">
        <v>520</v>
      </c>
      <c r="E306" s="6" t="s">
        <v>55</v>
      </c>
      <c r="F306" s="6" t="s">
        <v>56</v>
      </c>
      <c r="G306" s="5"/>
      <c r="H306" s="6" t="s">
        <v>57</v>
      </c>
      <c r="I306" s="6"/>
      <c r="J306" s="6" t="str">
        <f>IF(OR(I306="Sí",H306="Alta",AND(Parámetros!$B$4&lt;&gt;"Alta",H306="Media"),AND(Parámetros!$B$4="Baja",H306="Baja")),"Sí","")</f>
        <v/>
      </c>
      <c r="K306" s="6"/>
      <c r="L306" s="6"/>
      <c r="M306" s="6"/>
      <c r="N306" s="6"/>
      <c r="O306" s="6"/>
      <c r="P306" s="6">
        <f t="shared" si="8"/>
        <v>0</v>
      </c>
      <c r="Q306" s="5" t="str">
        <f t="shared" si="9"/>
        <v/>
      </c>
      <c r="R306" s="5" t="s">
        <v>58</v>
      </c>
      <c r="S306" s="5"/>
      <c r="T306" s="5"/>
    </row>
    <row r="307" spans="1:20" ht="39.6" x14ac:dyDescent="0.3">
      <c r="A307" s="6">
        <v>527</v>
      </c>
      <c r="B307" s="1" t="s">
        <v>532</v>
      </c>
      <c r="C307" s="5" t="s">
        <v>519</v>
      </c>
      <c r="D307" s="5" t="s">
        <v>520</v>
      </c>
      <c r="E307" s="6" t="s">
        <v>60</v>
      </c>
      <c r="F307" s="6" t="s">
        <v>76</v>
      </c>
      <c r="G307" s="5" t="s">
        <v>331</v>
      </c>
      <c r="H307" s="6" t="s">
        <v>78</v>
      </c>
      <c r="I307" s="6" t="s">
        <v>83</v>
      </c>
      <c r="J307" s="6"/>
      <c r="K307" s="6" t="s">
        <v>83</v>
      </c>
      <c r="L307" s="6"/>
      <c r="M307" s="6"/>
      <c r="N307" s="6"/>
      <c r="O307" s="6"/>
      <c r="P307" s="6">
        <f t="shared" si="8"/>
        <v>1</v>
      </c>
      <c r="Q307" s="5" t="str">
        <f t="shared" si="9"/>
        <v>2</v>
      </c>
      <c r="R307" s="5"/>
      <c r="S307" s="5"/>
      <c r="T307" s="5" t="s">
        <v>533</v>
      </c>
    </row>
    <row r="308" spans="1:20" ht="26.4" x14ac:dyDescent="0.3">
      <c r="A308" s="6">
        <v>528</v>
      </c>
      <c r="B308" s="1" t="s">
        <v>534</v>
      </c>
      <c r="C308" s="5" t="s">
        <v>519</v>
      </c>
      <c r="D308" s="5" t="s">
        <v>520</v>
      </c>
      <c r="E308" s="6" t="s">
        <v>60</v>
      </c>
      <c r="F308" s="6" t="s">
        <v>76</v>
      </c>
      <c r="G308" s="5" t="s">
        <v>331</v>
      </c>
      <c r="H308" s="6" t="s">
        <v>73</v>
      </c>
      <c r="I308" s="6"/>
      <c r="J308" s="6" t="str">
        <f>IF(OR(I308="Sí",H308="Alta",AND(Parámetros!$B$4&lt;&gt;"Alta",H308="Media"),AND(Parámetros!$B$4="Baja",H308="Baja")),"Sí","")</f>
        <v/>
      </c>
      <c r="K308" s="6" t="s">
        <v>83</v>
      </c>
      <c r="L308" s="6"/>
      <c r="M308" s="6"/>
      <c r="N308" s="6"/>
      <c r="O308" s="6"/>
      <c r="P308" s="6">
        <f t="shared" si="8"/>
        <v>1</v>
      </c>
      <c r="Q308" s="5" t="str">
        <f t="shared" si="9"/>
        <v>2</v>
      </c>
      <c r="R308" s="5"/>
      <c r="S308" s="5"/>
      <c r="T308" s="5"/>
    </row>
    <row r="309" spans="1:20" ht="26.4" x14ac:dyDescent="0.3">
      <c r="A309" s="6">
        <v>557</v>
      </c>
      <c r="B309" s="1" t="s">
        <v>535</v>
      </c>
      <c r="C309" s="5" t="s">
        <v>519</v>
      </c>
      <c r="D309" s="5" t="s">
        <v>165</v>
      </c>
      <c r="E309" s="6" t="s">
        <v>75</v>
      </c>
      <c r="F309" s="6" t="s">
        <v>56</v>
      </c>
      <c r="G309" s="5" t="s">
        <v>225</v>
      </c>
      <c r="H309" s="6" t="s">
        <v>78</v>
      </c>
      <c r="I309" s="6"/>
      <c r="J309" s="6" t="str">
        <f>IF(OR(I309="Sí",H309="Alta",AND(Parámetros!$B$4&lt;&gt;"Alta",H309="Media"),AND(Parámetros!$B$4="Baja",H309="Baja")),"Sí","")</f>
        <v/>
      </c>
      <c r="K309" s="6"/>
      <c r="L309" s="6"/>
      <c r="M309" s="6"/>
      <c r="N309" s="6"/>
      <c r="O309" s="6"/>
      <c r="P309" s="6">
        <f t="shared" si="8"/>
        <v>0</v>
      </c>
      <c r="Q309" s="5" t="str">
        <f t="shared" si="9"/>
        <v/>
      </c>
      <c r="R309" s="5"/>
      <c r="S309" s="5"/>
      <c r="T309" s="5"/>
    </row>
    <row r="310" spans="1:20" ht="26.4" x14ac:dyDescent="0.3">
      <c r="A310" s="6">
        <v>558</v>
      </c>
      <c r="B310" s="1" t="s">
        <v>536</v>
      </c>
      <c r="C310" s="5" t="s">
        <v>519</v>
      </c>
      <c r="D310" s="5" t="s">
        <v>520</v>
      </c>
      <c r="E310" s="6" t="s">
        <v>60</v>
      </c>
      <c r="F310" s="6" t="s">
        <v>76</v>
      </c>
      <c r="G310" s="5"/>
      <c r="H310" s="6" t="s">
        <v>57</v>
      </c>
      <c r="I310" s="6"/>
      <c r="J310" s="6" t="str">
        <f>IF(OR(I310="Sí",H310="Alta",AND(Parámetros!$B$4&lt;&gt;"Alta",H310="Media"),AND(Parámetros!$B$4="Baja",H310="Baja")),"Sí","")</f>
        <v/>
      </c>
      <c r="K310" s="6"/>
      <c r="L310" s="6"/>
      <c r="M310" s="6"/>
      <c r="N310" s="6"/>
      <c r="O310" s="6"/>
      <c r="P310" s="6">
        <f t="shared" si="8"/>
        <v>0</v>
      </c>
      <c r="Q310" s="5" t="str">
        <f t="shared" si="9"/>
        <v/>
      </c>
      <c r="R310" s="5"/>
      <c r="S310" s="5"/>
      <c r="T310" s="5"/>
    </row>
    <row r="311" spans="1:20" ht="26.4" x14ac:dyDescent="0.3">
      <c r="A311" s="6">
        <v>559</v>
      </c>
      <c r="B311" s="1" t="s">
        <v>537</v>
      </c>
      <c r="C311" s="5" t="s">
        <v>519</v>
      </c>
      <c r="D311" s="5" t="s">
        <v>520</v>
      </c>
      <c r="E311" s="6" t="s">
        <v>60</v>
      </c>
      <c r="F311" s="6" t="s">
        <v>76</v>
      </c>
      <c r="G311" s="5"/>
      <c r="H311" s="6" t="s">
        <v>57</v>
      </c>
      <c r="I311" s="6"/>
      <c r="J311" s="6" t="str">
        <f>IF(OR(I311="Sí",H311="Alta",AND(Parámetros!$B$4&lt;&gt;"Alta",H311="Media"),AND(Parámetros!$B$4="Baja",H311="Baja")),"Sí","")</f>
        <v/>
      </c>
      <c r="K311" s="6"/>
      <c r="L311" s="6"/>
      <c r="M311" s="6"/>
      <c r="N311" s="6"/>
      <c r="O311" s="6"/>
      <c r="P311" s="6">
        <f t="shared" si="8"/>
        <v>0</v>
      </c>
      <c r="Q311" s="5" t="str">
        <f t="shared" si="9"/>
        <v/>
      </c>
      <c r="R311" s="5"/>
      <c r="S311" s="5"/>
      <c r="T311" s="5"/>
    </row>
    <row r="312" spans="1:20" ht="26.4" x14ac:dyDescent="0.3">
      <c r="A312" s="6">
        <v>203</v>
      </c>
      <c r="B312" s="1" t="s">
        <v>538</v>
      </c>
      <c r="C312" s="5" t="s">
        <v>539</v>
      </c>
      <c r="D312" s="5" t="s">
        <v>540</v>
      </c>
      <c r="E312" s="6" t="s">
        <v>71</v>
      </c>
      <c r="F312" s="6" t="s">
        <v>56</v>
      </c>
      <c r="G312" s="5"/>
      <c r="H312" s="6" t="s">
        <v>57</v>
      </c>
      <c r="I312" s="6"/>
      <c r="J312" s="6" t="str">
        <f>IF(OR(I312="Sí",H312="Alta",AND(Parámetros!$B$4&lt;&gt;"Alta",H312="Media"),AND(Parámetros!$B$4="Baja",H312="Baja")),"Sí","")</f>
        <v/>
      </c>
      <c r="K312" s="6"/>
      <c r="L312" s="6"/>
      <c r="M312" s="6"/>
      <c r="N312" s="6"/>
      <c r="O312" s="6"/>
      <c r="P312" s="6">
        <f t="shared" si="8"/>
        <v>0</v>
      </c>
      <c r="Q312" s="5" t="str">
        <f t="shared" si="9"/>
        <v/>
      </c>
      <c r="R312" s="5"/>
      <c r="S312" s="5"/>
      <c r="T312" s="5"/>
    </row>
    <row r="313" spans="1:20" ht="26.4" x14ac:dyDescent="0.3">
      <c r="A313" s="6">
        <v>204</v>
      </c>
      <c r="B313" s="1" t="s">
        <v>541</v>
      </c>
      <c r="C313" s="5" t="s">
        <v>539</v>
      </c>
      <c r="D313" s="5" t="s">
        <v>540</v>
      </c>
      <c r="E313" s="6" t="s">
        <v>60</v>
      </c>
      <c r="F313" s="6" t="s">
        <v>56</v>
      </c>
      <c r="G313" s="5"/>
      <c r="H313" s="6" t="s">
        <v>57</v>
      </c>
      <c r="I313" s="6"/>
      <c r="J313" s="6" t="str">
        <f>IF(OR(I313="Sí",H313="Alta",AND(Parámetros!$B$4&lt;&gt;"Alta",H313="Media"),AND(Parámetros!$B$4="Baja",H313="Baja")),"Sí","")</f>
        <v/>
      </c>
      <c r="K313" s="6"/>
      <c r="L313" s="6"/>
      <c r="M313" s="6"/>
      <c r="N313" s="6"/>
      <c r="O313" s="6"/>
      <c r="P313" s="6">
        <f t="shared" si="8"/>
        <v>0</v>
      </c>
      <c r="Q313" s="5" t="str">
        <f t="shared" si="9"/>
        <v/>
      </c>
      <c r="R313" s="5"/>
      <c r="S313" s="5"/>
      <c r="T313" s="5"/>
    </row>
    <row r="314" spans="1:20" ht="26.4" x14ac:dyDescent="0.3">
      <c r="A314" s="6">
        <v>205</v>
      </c>
      <c r="B314" s="1" t="s">
        <v>542</v>
      </c>
      <c r="C314" s="5" t="s">
        <v>539</v>
      </c>
      <c r="D314" s="5" t="s">
        <v>540</v>
      </c>
      <c r="E314" s="6" t="s">
        <v>71</v>
      </c>
      <c r="F314" s="6" t="s">
        <v>56</v>
      </c>
      <c r="G314" s="5"/>
      <c r="H314" s="6" t="s">
        <v>57</v>
      </c>
      <c r="I314" s="6"/>
      <c r="J314" s="6" t="str">
        <f>IF(OR(I314="Sí",H314="Alta",AND(Parámetros!$B$4&lt;&gt;"Alta",H314="Media"),AND(Parámetros!$B$4="Baja",H314="Baja")),"Sí","")</f>
        <v/>
      </c>
      <c r="K314" s="6"/>
      <c r="L314" s="6"/>
      <c r="M314" s="6"/>
      <c r="N314" s="6"/>
      <c r="O314" s="6"/>
      <c r="P314" s="6">
        <f t="shared" si="8"/>
        <v>0</v>
      </c>
      <c r="Q314" s="5" t="str">
        <f t="shared" si="9"/>
        <v/>
      </c>
      <c r="R314" s="5"/>
      <c r="S314" s="5"/>
      <c r="T314" s="5"/>
    </row>
    <row r="315" spans="1:20" ht="26.4" x14ac:dyDescent="0.3">
      <c r="A315" s="6">
        <v>206</v>
      </c>
      <c r="B315" s="1" t="s">
        <v>543</v>
      </c>
      <c r="C315" s="5" t="s">
        <v>539</v>
      </c>
      <c r="D315" s="5" t="s">
        <v>540</v>
      </c>
      <c r="E315" s="6" t="s">
        <v>71</v>
      </c>
      <c r="F315" s="6" t="s">
        <v>76</v>
      </c>
      <c r="G315" s="5"/>
      <c r="H315" s="6" t="s">
        <v>57</v>
      </c>
      <c r="I315" s="6"/>
      <c r="J315" s="6" t="str">
        <f>IF(OR(I315="Sí",H315="Alta",AND(Parámetros!$B$4&lt;&gt;"Alta",H315="Media"),AND(Parámetros!$B$4="Baja",H315="Baja")),"Sí","")</f>
        <v/>
      </c>
      <c r="K315" s="6"/>
      <c r="L315" s="6"/>
      <c r="M315" s="6"/>
      <c r="N315" s="6"/>
      <c r="O315" s="6"/>
      <c r="P315" s="6">
        <f t="shared" si="8"/>
        <v>0</v>
      </c>
      <c r="Q315" s="5" t="str">
        <f t="shared" si="9"/>
        <v/>
      </c>
      <c r="R315" s="5"/>
      <c r="S315" s="5"/>
      <c r="T315" s="5"/>
    </row>
    <row r="316" spans="1:20" ht="26.4" x14ac:dyDescent="0.3">
      <c r="A316" s="6">
        <v>207</v>
      </c>
      <c r="B316" s="1" t="s">
        <v>544</v>
      </c>
      <c r="C316" s="5" t="s">
        <v>539</v>
      </c>
      <c r="D316" s="5" t="s">
        <v>540</v>
      </c>
      <c r="E316" s="6" t="s">
        <v>71</v>
      </c>
      <c r="F316" s="6" t="s">
        <v>56</v>
      </c>
      <c r="G316" s="5"/>
      <c r="H316" s="6" t="s">
        <v>57</v>
      </c>
      <c r="I316" s="6"/>
      <c r="J316" s="6" t="str">
        <f>IF(OR(I316="Sí",H316="Alta",AND(Parámetros!$B$4&lt;&gt;"Alta",H316="Media"),AND(Parámetros!$B$4="Baja",H316="Baja")),"Sí","")</f>
        <v/>
      </c>
      <c r="K316" s="6"/>
      <c r="L316" s="6"/>
      <c r="M316" s="6"/>
      <c r="N316" s="6"/>
      <c r="O316" s="6"/>
      <c r="P316" s="6">
        <f t="shared" si="8"/>
        <v>0</v>
      </c>
      <c r="Q316" s="5" t="str">
        <f t="shared" si="9"/>
        <v/>
      </c>
      <c r="R316" s="5"/>
      <c r="S316" s="5"/>
      <c r="T316" s="5"/>
    </row>
    <row r="317" spans="1:20" ht="26.4" x14ac:dyDescent="0.3">
      <c r="A317" s="6">
        <v>376</v>
      </c>
      <c r="B317" s="1" t="s">
        <v>545</v>
      </c>
      <c r="C317" s="5" t="s">
        <v>539</v>
      </c>
      <c r="D317" s="5" t="s">
        <v>540</v>
      </c>
      <c r="E317" s="6" t="s">
        <v>71</v>
      </c>
      <c r="F317" s="6" t="s">
        <v>56</v>
      </c>
      <c r="G317" s="5"/>
      <c r="H317" s="6" t="s">
        <v>57</v>
      </c>
      <c r="I317" s="6"/>
      <c r="J317" s="6" t="str">
        <f>IF(OR(I317="Sí",H317="Alta",AND(Parámetros!$B$4&lt;&gt;"Alta",H317="Media"),AND(Parámetros!$B$4="Baja",H317="Baja")),"Sí","")</f>
        <v/>
      </c>
      <c r="K317" s="6"/>
      <c r="L317" s="6"/>
      <c r="M317" s="6"/>
      <c r="N317" s="6"/>
      <c r="O317" s="6"/>
      <c r="P317" s="6">
        <f t="shared" si="8"/>
        <v>0</v>
      </c>
      <c r="Q317" s="5" t="str">
        <f t="shared" si="9"/>
        <v/>
      </c>
      <c r="R317" s="5"/>
      <c r="S317" s="5"/>
      <c r="T317" s="5"/>
    </row>
    <row r="318" spans="1:20" ht="26.4" x14ac:dyDescent="0.3">
      <c r="A318" s="6">
        <v>377</v>
      </c>
      <c r="B318" s="1" t="s">
        <v>546</v>
      </c>
      <c r="C318" s="5" t="s">
        <v>539</v>
      </c>
      <c r="D318" s="5" t="s">
        <v>540</v>
      </c>
      <c r="E318" s="6" t="s">
        <v>71</v>
      </c>
      <c r="F318" s="6" t="s">
        <v>76</v>
      </c>
      <c r="G318" s="5"/>
      <c r="H318" s="6" t="s">
        <v>57</v>
      </c>
      <c r="I318" s="6"/>
      <c r="J318" s="6" t="str">
        <f>IF(OR(I318="Sí",H318="Alta",AND(Parámetros!$B$4&lt;&gt;"Alta",H318="Media"),AND(Parámetros!$B$4="Baja",H318="Baja")),"Sí","")</f>
        <v/>
      </c>
      <c r="K318" s="6"/>
      <c r="L318" s="6"/>
      <c r="M318" s="6"/>
      <c r="N318" s="6"/>
      <c r="O318" s="6"/>
      <c r="P318" s="6">
        <f t="shared" si="8"/>
        <v>0</v>
      </c>
      <c r="Q318" s="5" t="str">
        <f t="shared" si="9"/>
        <v/>
      </c>
      <c r="R318" s="5"/>
      <c r="S318" s="5"/>
      <c r="T318" s="5"/>
    </row>
    <row r="319" spans="1:20" ht="26.4" x14ac:dyDescent="0.3">
      <c r="A319" s="6">
        <v>430</v>
      </c>
      <c r="B319" s="1" t="s">
        <v>547</v>
      </c>
      <c r="C319" s="5" t="s">
        <v>539</v>
      </c>
      <c r="D319" s="5" t="s">
        <v>540</v>
      </c>
      <c r="E319" s="6" t="s">
        <v>60</v>
      </c>
      <c r="F319" s="6" t="s">
        <v>56</v>
      </c>
      <c r="G319" s="5"/>
      <c r="H319" s="6" t="s">
        <v>57</v>
      </c>
      <c r="I319" s="6"/>
      <c r="J319" s="6" t="str">
        <f>IF(OR(I319="Sí",H319="Alta",AND(Parámetros!$B$4&lt;&gt;"Alta",H319="Media"),AND(Parámetros!$B$4="Baja",H319="Baja")),"Sí","")</f>
        <v/>
      </c>
      <c r="K319" s="6"/>
      <c r="L319" s="6"/>
      <c r="M319" s="6"/>
      <c r="N319" s="6"/>
      <c r="O319" s="6"/>
      <c r="P319" s="6">
        <f t="shared" si="8"/>
        <v>0</v>
      </c>
      <c r="Q319" s="5" t="str">
        <f t="shared" si="9"/>
        <v/>
      </c>
      <c r="R319" s="5"/>
      <c r="S319" s="5"/>
      <c r="T319" s="5"/>
    </row>
    <row r="320" spans="1:20" ht="26.4" x14ac:dyDescent="0.3">
      <c r="A320" s="6">
        <v>496</v>
      </c>
      <c r="B320" s="1" t="s">
        <v>548</v>
      </c>
      <c r="C320" s="5" t="s">
        <v>539</v>
      </c>
      <c r="D320" s="5" t="s">
        <v>540</v>
      </c>
      <c r="E320" s="6" t="s">
        <v>55</v>
      </c>
      <c r="F320" s="6" t="s">
        <v>56</v>
      </c>
      <c r="G320" s="5"/>
      <c r="H320" s="6" t="s">
        <v>57</v>
      </c>
      <c r="I320" s="6"/>
      <c r="J320" s="6" t="str">
        <f>IF(OR(I320="Sí",H320="Alta",AND(Parámetros!$B$4&lt;&gt;"Alta",H320="Media"),AND(Parámetros!$B$4="Baja",H320="Baja")),"Sí","")</f>
        <v/>
      </c>
      <c r="K320" s="6"/>
      <c r="L320" s="6"/>
      <c r="M320" s="6"/>
      <c r="N320" s="6"/>
      <c r="O320" s="6"/>
      <c r="P320" s="6">
        <f t="shared" si="8"/>
        <v>0</v>
      </c>
      <c r="Q320" s="5" t="str">
        <f t="shared" si="9"/>
        <v/>
      </c>
      <c r="R320" s="5" t="s">
        <v>58</v>
      </c>
      <c r="S320" s="5"/>
      <c r="T320" s="5"/>
    </row>
    <row r="321" spans="1:20" ht="26.4" x14ac:dyDescent="0.3">
      <c r="A321" s="6">
        <v>523</v>
      </c>
      <c r="B321" s="1" t="s">
        <v>481</v>
      </c>
      <c r="C321" s="5" t="s">
        <v>539</v>
      </c>
      <c r="D321" s="5" t="s">
        <v>540</v>
      </c>
      <c r="E321" s="6" t="s">
        <v>60</v>
      </c>
      <c r="F321" s="6" t="s">
        <v>56</v>
      </c>
      <c r="G321" s="5"/>
      <c r="H321" s="6" t="s">
        <v>57</v>
      </c>
      <c r="I321" s="6"/>
      <c r="J321" s="6" t="str">
        <f>IF(OR(I321="Sí",H321="Alta",AND(Parámetros!$B$4&lt;&gt;"Alta",H321="Media"),AND(Parámetros!$B$4="Baja",H321="Baja")),"Sí","")</f>
        <v/>
      </c>
      <c r="K321" s="6"/>
      <c r="L321" s="6"/>
      <c r="M321" s="6"/>
      <c r="N321" s="6"/>
      <c r="O321" s="6"/>
      <c r="P321" s="6">
        <f t="shared" si="8"/>
        <v>0</v>
      </c>
      <c r="Q321" s="5" t="str">
        <f t="shared" si="9"/>
        <v/>
      </c>
      <c r="R321" s="5"/>
      <c r="S321" s="5"/>
      <c r="T321" s="5"/>
    </row>
    <row r="322" spans="1:20" ht="26.4" x14ac:dyDescent="0.3">
      <c r="A322" s="6">
        <v>290</v>
      </c>
      <c r="B322" s="1" t="s">
        <v>549</v>
      </c>
      <c r="C322" s="5" t="s">
        <v>550</v>
      </c>
      <c r="D322" s="5" t="s">
        <v>409</v>
      </c>
      <c r="E322" s="6" t="s">
        <v>60</v>
      </c>
      <c r="F322" s="6" t="s">
        <v>178</v>
      </c>
      <c r="G322" s="5"/>
      <c r="H322" s="6" t="s">
        <v>57</v>
      </c>
      <c r="I322" s="6"/>
      <c r="J322" s="6" t="str">
        <f>IF(OR(I322="Sí",H322="Alta",AND(Parámetros!$B$4&lt;&gt;"Alta",H322="Media"),AND(Parámetros!$B$4="Baja",H322="Baja")),"Sí","")</f>
        <v/>
      </c>
      <c r="K322" s="6"/>
      <c r="L322" s="6" t="s">
        <v>83</v>
      </c>
      <c r="M322" s="6"/>
      <c r="N322" s="6"/>
      <c r="O322" s="6"/>
      <c r="P322" s="6">
        <f t="shared" ref="P322:P351" si="10">COUNTIF(J322:O322,"Sí*")</f>
        <v>1</v>
      </c>
      <c r="Q322" s="5" t="str">
        <f t="shared" ref="Q322:Q351" si="11">MID(IF(J322="Sí",", 1","")&amp;IF(LEFT(K322,2)="Sí",", 2","")&amp;IF(LEFT(L322,2)="Sí",", 3","")&amp;IF(M322="Sí",", 4","")&amp;IF(N322="Sí",", 5","")&amp;IF(O322="Sí",", 6",""),3,40)</f>
        <v>3</v>
      </c>
      <c r="R322" s="5" t="s">
        <v>551</v>
      </c>
      <c r="S322" s="5"/>
      <c r="T322" s="5"/>
    </row>
    <row r="323" spans="1:20" ht="26.4" x14ac:dyDescent="0.3">
      <c r="A323" s="6">
        <v>526</v>
      </c>
      <c r="B323" s="1" t="s">
        <v>552</v>
      </c>
      <c r="C323" s="5" t="s">
        <v>550</v>
      </c>
      <c r="D323" s="5" t="s">
        <v>409</v>
      </c>
      <c r="E323" s="6" t="s">
        <v>60</v>
      </c>
      <c r="F323" s="6" t="s">
        <v>61</v>
      </c>
      <c r="G323" s="5"/>
      <c r="H323" s="6" t="s">
        <v>65</v>
      </c>
      <c r="I323" s="6"/>
      <c r="J323" s="6" t="str">
        <f>IF(OR(I323="Sí",H323="Alta",AND(Parámetros!$B$4&lt;&gt;"Alta",H323="Media"),AND(Parámetros!$B$4="Baja",H323="Baja")),"Sí","")</f>
        <v/>
      </c>
      <c r="K323" s="6"/>
      <c r="L323" s="6"/>
      <c r="M323" s="6"/>
      <c r="N323" s="6"/>
      <c r="O323" s="6"/>
      <c r="P323" s="6">
        <f t="shared" si="10"/>
        <v>0</v>
      </c>
      <c r="Q323" s="5" t="str">
        <f t="shared" si="11"/>
        <v/>
      </c>
      <c r="R323" s="5"/>
      <c r="S323" s="5"/>
      <c r="T323" s="5"/>
    </row>
    <row r="324" spans="1:20" ht="39.6" x14ac:dyDescent="0.3">
      <c r="A324" s="6">
        <v>358</v>
      </c>
      <c r="B324" s="1" t="s">
        <v>553</v>
      </c>
      <c r="C324" s="5" t="s">
        <v>554</v>
      </c>
      <c r="D324" s="5" t="s">
        <v>555</v>
      </c>
      <c r="E324" s="6" t="s">
        <v>60</v>
      </c>
      <c r="F324" s="6" t="s">
        <v>56</v>
      </c>
      <c r="G324" s="5" t="s">
        <v>203</v>
      </c>
      <c r="H324" s="6" t="s">
        <v>78</v>
      </c>
      <c r="I324" s="6"/>
      <c r="J324" s="6" t="str">
        <f>IF(OR(I324="Sí",H324="Alta",AND(Parámetros!$B$4&lt;&gt;"Alta",H324="Media"),AND(Parámetros!$B$4="Baja",H324="Baja")),"Sí","")</f>
        <v/>
      </c>
      <c r="K324" s="6"/>
      <c r="L324" s="6"/>
      <c r="M324" s="6"/>
      <c r="N324" s="6"/>
      <c r="O324" s="6"/>
      <c r="P324" s="6">
        <f t="shared" si="10"/>
        <v>0</v>
      </c>
      <c r="Q324" s="5" t="str">
        <f t="shared" si="11"/>
        <v/>
      </c>
      <c r="R324" s="5"/>
      <c r="S324" s="5"/>
      <c r="T324" s="5"/>
    </row>
    <row r="325" spans="1:20" ht="26.4" x14ac:dyDescent="0.3">
      <c r="A325" s="6">
        <v>506</v>
      </c>
      <c r="B325" s="1" t="s">
        <v>556</v>
      </c>
      <c r="C325" s="5" t="s">
        <v>554</v>
      </c>
      <c r="D325" s="5" t="s">
        <v>555</v>
      </c>
      <c r="E325" s="6" t="s">
        <v>55</v>
      </c>
      <c r="F325" s="6" t="s">
        <v>56</v>
      </c>
      <c r="G325" s="5"/>
      <c r="H325" s="6" t="s">
        <v>57</v>
      </c>
      <c r="I325" s="6"/>
      <c r="J325" s="6" t="str">
        <f>IF(OR(I325="Sí",H325="Alta",AND(Parámetros!$B$4&lt;&gt;"Alta",H325="Media"),AND(Parámetros!$B$4="Baja",H325="Baja")),"Sí","")</f>
        <v/>
      </c>
      <c r="K325" s="6"/>
      <c r="L325" s="6"/>
      <c r="M325" s="6"/>
      <c r="N325" s="6"/>
      <c r="O325" s="6"/>
      <c r="P325" s="6">
        <f t="shared" si="10"/>
        <v>0</v>
      </c>
      <c r="Q325" s="5" t="str">
        <f t="shared" si="11"/>
        <v/>
      </c>
      <c r="R325" s="5" t="s">
        <v>58</v>
      </c>
      <c r="S325" s="5"/>
      <c r="T325" s="5"/>
    </row>
    <row r="326" spans="1:20" ht="26.4" x14ac:dyDescent="0.3">
      <c r="A326" s="6">
        <v>246</v>
      </c>
      <c r="B326" s="1" t="s">
        <v>557</v>
      </c>
      <c r="C326" s="5" t="s">
        <v>558</v>
      </c>
      <c r="D326" s="5" t="s">
        <v>559</v>
      </c>
      <c r="E326" s="6" t="s">
        <v>55</v>
      </c>
      <c r="F326" s="6" t="s">
        <v>56</v>
      </c>
      <c r="G326" s="5"/>
      <c r="H326" s="6" t="s">
        <v>57</v>
      </c>
      <c r="I326" s="6"/>
      <c r="J326" s="6" t="str">
        <f>IF(OR(I326="Sí",H326="Alta",AND(Parámetros!$B$4&lt;&gt;"Alta",H326="Media"),AND(Parámetros!$B$4="Baja",H326="Baja")),"Sí","")</f>
        <v/>
      </c>
      <c r="K326" s="6"/>
      <c r="L326" s="6"/>
      <c r="M326" s="6"/>
      <c r="N326" s="6"/>
      <c r="O326" s="6"/>
      <c r="P326" s="6">
        <f t="shared" si="10"/>
        <v>0</v>
      </c>
      <c r="Q326" s="5" t="str">
        <f t="shared" si="11"/>
        <v/>
      </c>
      <c r="R326" s="5" t="s">
        <v>58</v>
      </c>
      <c r="S326" s="5"/>
      <c r="T326" s="5"/>
    </row>
    <row r="327" spans="1:20" ht="26.4" x14ac:dyDescent="0.3">
      <c r="A327" s="6">
        <v>444</v>
      </c>
      <c r="B327" s="1" t="s">
        <v>560</v>
      </c>
      <c r="C327" s="5" t="s">
        <v>558</v>
      </c>
      <c r="D327" s="5" t="s">
        <v>559</v>
      </c>
      <c r="E327" s="6" t="s">
        <v>60</v>
      </c>
      <c r="F327" s="6" t="s">
        <v>56</v>
      </c>
      <c r="G327" s="5"/>
      <c r="H327" s="6" t="s">
        <v>57</v>
      </c>
      <c r="I327" s="6"/>
      <c r="J327" s="6" t="str">
        <f>IF(OR(I327="Sí",H327="Alta",AND(Parámetros!$B$4&lt;&gt;"Alta",H327="Media"),AND(Parámetros!$B$4="Baja",H327="Baja")),"Sí","")</f>
        <v/>
      </c>
      <c r="K327" s="6"/>
      <c r="L327" s="6"/>
      <c r="M327" s="6"/>
      <c r="N327" s="6"/>
      <c r="O327" s="6"/>
      <c r="P327" s="6">
        <f t="shared" si="10"/>
        <v>0</v>
      </c>
      <c r="Q327" s="5" t="str">
        <f t="shared" si="11"/>
        <v/>
      </c>
      <c r="R327" s="5" t="s">
        <v>98</v>
      </c>
      <c r="S327" s="5"/>
      <c r="T327" s="5"/>
    </row>
    <row r="328" spans="1:20" ht="26.4" x14ac:dyDescent="0.3">
      <c r="A328" s="6">
        <v>445</v>
      </c>
      <c r="B328" s="1" t="s">
        <v>561</v>
      </c>
      <c r="C328" s="5" t="s">
        <v>558</v>
      </c>
      <c r="D328" s="5" t="s">
        <v>559</v>
      </c>
      <c r="E328" s="6" t="s">
        <v>55</v>
      </c>
      <c r="F328" s="6" t="s">
        <v>56</v>
      </c>
      <c r="G328" s="5"/>
      <c r="H328" s="6" t="s">
        <v>57</v>
      </c>
      <c r="I328" s="6"/>
      <c r="J328" s="6" t="str">
        <f>IF(OR(I328="Sí",H328="Alta",AND(Parámetros!$B$4&lt;&gt;"Alta",H328="Media"),AND(Parámetros!$B$4="Baja",H328="Baja")),"Sí","")</f>
        <v/>
      </c>
      <c r="K328" s="6"/>
      <c r="L328" s="6"/>
      <c r="M328" s="6"/>
      <c r="N328" s="6"/>
      <c r="O328" s="6"/>
      <c r="P328" s="6">
        <f t="shared" si="10"/>
        <v>0</v>
      </c>
      <c r="Q328" s="5" t="str">
        <f t="shared" si="11"/>
        <v/>
      </c>
      <c r="R328" s="5" t="s">
        <v>58</v>
      </c>
      <c r="S328" s="5"/>
      <c r="T328" s="5"/>
    </row>
    <row r="329" spans="1:20" ht="26.4" x14ac:dyDescent="0.3">
      <c r="A329" s="6">
        <v>539</v>
      </c>
      <c r="B329" s="1" t="s">
        <v>562</v>
      </c>
      <c r="C329" s="5" t="s">
        <v>558</v>
      </c>
      <c r="D329" s="5" t="s">
        <v>559</v>
      </c>
      <c r="E329" s="6" t="s">
        <v>55</v>
      </c>
      <c r="F329" s="6" t="s">
        <v>56</v>
      </c>
      <c r="G329" s="5"/>
      <c r="H329" s="6" t="s">
        <v>57</v>
      </c>
      <c r="I329" s="6"/>
      <c r="J329" s="6" t="str">
        <f>IF(OR(I329="Sí",H329="Alta",AND(Parámetros!$B$4&lt;&gt;"Alta",H329="Media"),AND(Parámetros!$B$4="Baja",H329="Baja")),"Sí","")</f>
        <v/>
      </c>
      <c r="K329" s="6"/>
      <c r="L329" s="6"/>
      <c r="M329" s="6"/>
      <c r="N329" s="6"/>
      <c r="O329" s="6"/>
      <c r="P329" s="6">
        <f t="shared" si="10"/>
        <v>0</v>
      </c>
      <c r="Q329" s="5" t="str">
        <f t="shared" si="11"/>
        <v/>
      </c>
      <c r="R329" s="5" t="s">
        <v>98</v>
      </c>
      <c r="S329" s="5"/>
      <c r="T329" s="5"/>
    </row>
    <row r="330" spans="1:20" ht="26.4" x14ac:dyDescent="0.3">
      <c r="A330" s="6">
        <v>567</v>
      </c>
      <c r="B330" s="1" t="s">
        <v>563</v>
      </c>
      <c r="C330" s="5" t="s">
        <v>558</v>
      </c>
      <c r="D330" s="5" t="s">
        <v>559</v>
      </c>
      <c r="E330" s="6" t="s">
        <v>75</v>
      </c>
      <c r="F330" s="6" t="s">
        <v>56</v>
      </c>
      <c r="G330" s="5"/>
      <c r="H330" s="6" t="s">
        <v>57</v>
      </c>
      <c r="I330" s="6"/>
      <c r="J330" s="6" t="str">
        <f>IF(OR(I330="Sí",H330="Alta",AND(Parámetros!$B$4&lt;&gt;"Alta",H330="Media"),AND(Parámetros!$B$4="Baja",H330="Baja")),"Sí","")</f>
        <v/>
      </c>
      <c r="K330" s="6"/>
      <c r="L330" s="6"/>
      <c r="M330" s="6"/>
      <c r="N330" s="6"/>
      <c r="O330" s="6"/>
      <c r="P330" s="6">
        <f t="shared" si="10"/>
        <v>0</v>
      </c>
      <c r="Q330" s="5" t="str">
        <f t="shared" si="11"/>
        <v/>
      </c>
      <c r="R330" s="5" t="s">
        <v>154</v>
      </c>
      <c r="S330" s="5"/>
      <c r="T330" s="5"/>
    </row>
    <row r="331" spans="1:20" ht="26.4" x14ac:dyDescent="0.3">
      <c r="A331" s="6">
        <v>260</v>
      </c>
      <c r="B331" s="1" t="s">
        <v>564</v>
      </c>
      <c r="C331" s="5" t="s">
        <v>565</v>
      </c>
      <c r="D331" s="5" t="s">
        <v>566</v>
      </c>
      <c r="E331" s="6" t="s">
        <v>71</v>
      </c>
      <c r="F331" s="6" t="s">
        <v>56</v>
      </c>
      <c r="G331" s="5"/>
      <c r="H331" s="6" t="s">
        <v>57</v>
      </c>
      <c r="I331" s="6"/>
      <c r="J331" s="6" t="str">
        <f>IF(OR(I331="Sí",H331="Alta",AND(Parámetros!$B$4&lt;&gt;"Alta",H331="Media"),AND(Parámetros!$B$4="Baja",H331="Baja")),"Sí","")</f>
        <v/>
      </c>
      <c r="K331" s="6"/>
      <c r="L331" s="6"/>
      <c r="M331" s="6"/>
      <c r="N331" s="6"/>
      <c r="O331" s="6"/>
      <c r="P331" s="6">
        <f t="shared" si="10"/>
        <v>0</v>
      </c>
      <c r="Q331" s="5" t="str">
        <f t="shared" si="11"/>
        <v/>
      </c>
      <c r="R331" s="5" t="s">
        <v>98</v>
      </c>
      <c r="S331" s="5"/>
      <c r="T331" s="5"/>
    </row>
    <row r="332" spans="1:20" x14ac:dyDescent="0.3">
      <c r="A332" s="6">
        <v>274</v>
      </c>
      <c r="B332" s="1" t="s">
        <v>567</v>
      </c>
      <c r="C332" s="5" t="s">
        <v>565</v>
      </c>
      <c r="D332" s="5" t="s">
        <v>566</v>
      </c>
      <c r="E332" s="6" t="s">
        <v>60</v>
      </c>
      <c r="F332" s="6" t="s">
        <v>56</v>
      </c>
      <c r="G332" s="5" t="s">
        <v>72</v>
      </c>
      <c r="H332" s="6" t="s">
        <v>73</v>
      </c>
      <c r="I332" s="6"/>
      <c r="J332" s="6" t="str">
        <f>IF(OR(I332="Sí",H332="Alta",AND(Parámetros!$B$4&lt;&gt;"Alta",H332="Media"),AND(Parámetros!$B$4="Baja",H332="Baja")),"Sí","")</f>
        <v/>
      </c>
      <c r="K332" s="6"/>
      <c r="L332" s="6"/>
      <c r="M332" s="6"/>
      <c r="N332" s="6"/>
      <c r="O332" s="6"/>
      <c r="P332" s="6">
        <f t="shared" si="10"/>
        <v>0</v>
      </c>
      <c r="Q332" s="5" t="str">
        <f t="shared" si="11"/>
        <v/>
      </c>
      <c r="R332" s="5"/>
      <c r="S332" s="5"/>
      <c r="T332" s="5"/>
    </row>
    <row r="333" spans="1:20" ht="26.4" x14ac:dyDescent="0.3">
      <c r="A333" s="6">
        <v>581</v>
      </c>
      <c r="B333" s="1" t="s">
        <v>568</v>
      </c>
      <c r="C333" s="5" t="s">
        <v>565</v>
      </c>
      <c r="D333" s="5" t="s">
        <v>566</v>
      </c>
      <c r="E333" s="6" t="s">
        <v>60</v>
      </c>
      <c r="F333" s="6" t="s">
        <v>56</v>
      </c>
      <c r="G333" s="5" t="s">
        <v>72</v>
      </c>
      <c r="H333" s="6" t="s">
        <v>78</v>
      </c>
      <c r="I333" s="6"/>
      <c r="J333" s="6" t="str">
        <f>IF(OR(I333="Sí",H333="Alta",AND(Parámetros!$B$4&lt;&gt;"Alta",H333="Media"),AND(Parámetros!$B$4="Baja",H333="Baja")),"Sí","")</f>
        <v/>
      </c>
      <c r="K333" s="6"/>
      <c r="L333" s="6"/>
      <c r="M333" s="6"/>
      <c r="N333" s="6"/>
      <c r="O333" s="6"/>
      <c r="P333" s="6">
        <f t="shared" si="10"/>
        <v>0</v>
      </c>
      <c r="Q333" s="5" t="str">
        <f t="shared" si="11"/>
        <v/>
      </c>
      <c r="R333" s="5"/>
      <c r="S333" s="5"/>
      <c r="T333" s="5"/>
    </row>
    <row r="334" spans="1:20" ht="26.4" x14ac:dyDescent="0.3">
      <c r="A334" s="6">
        <v>193</v>
      </c>
      <c r="B334" s="1" t="s">
        <v>569</v>
      </c>
      <c r="C334" s="5" t="s">
        <v>570</v>
      </c>
      <c r="D334" s="5" t="s">
        <v>571</v>
      </c>
      <c r="E334" s="6" t="s">
        <v>71</v>
      </c>
      <c r="F334" s="6" t="s">
        <v>56</v>
      </c>
      <c r="G334" s="5"/>
      <c r="H334" s="6" t="s">
        <v>57</v>
      </c>
      <c r="I334" s="6"/>
      <c r="J334" s="6" t="str">
        <f>IF(OR(I334="Sí",H334="Alta",AND(Parámetros!$B$4&lt;&gt;"Alta",H334="Media"),AND(Parámetros!$B$4="Baja",H334="Baja")),"Sí","")</f>
        <v/>
      </c>
      <c r="K334" s="6"/>
      <c r="L334" s="6"/>
      <c r="M334" s="6"/>
      <c r="N334" s="6"/>
      <c r="O334" s="6"/>
      <c r="P334" s="6">
        <f t="shared" si="10"/>
        <v>0</v>
      </c>
      <c r="Q334" s="5" t="str">
        <f t="shared" si="11"/>
        <v/>
      </c>
      <c r="R334" s="5" t="s">
        <v>154</v>
      </c>
      <c r="S334" s="5"/>
      <c r="T334" s="5"/>
    </row>
    <row r="335" spans="1:20" ht="26.4" x14ac:dyDescent="0.3">
      <c r="A335" s="6">
        <v>261</v>
      </c>
      <c r="B335" s="1" t="s">
        <v>572</v>
      </c>
      <c r="C335" s="5" t="s">
        <v>570</v>
      </c>
      <c r="D335" s="5" t="s">
        <v>573</v>
      </c>
      <c r="E335" s="6" t="s">
        <v>71</v>
      </c>
      <c r="F335" s="6" t="s">
        <v>56</v>
      </c>
      <c r="G335" s="5"/>
      <c r="H335" s="6" t="s">
        <v>57</v>
      </c>
      <c r="I335" s="6"/>
      <c r="J335" s="6" t="str">
        <f>IF(OR(I335="Sí",H335="Alta",AND(Parámetros!$B$4&lt;&gt;"Alta",H335="Media"),AND(Parámetros!$B$4="Baja",H335="Baja")),"Sí","")</f>
        <v/>
      </c>
      <c r="K335" s="6"/>
      <c r="L335" s="6"/>
      <c r="M335" s="6"/>
      <c r="N335" s="6"/>
      <c r="O335" s="6"/>
      <c r="P335" s="6">
        <f t="shared" si="10"/>
        <v>0</v>
      </c>
      <c r="Q335" s="5" t="str">
        <f t="shared" si="11"/>
        <v/>
      </c>
      <c r="R335" s="5" t="s">
        <v>98</v>
      </c>
      <c r="S335" s="5"/>
      <c r="T335" s="5"/>
    </row>
    <row r="336" spans="1:20" ht="26.4" x14ac:dyDescent="0.3">
      <c r="A336" s="6">
        <v>537</v>
      </c>
      <c r="B336" s="1" t="s">
        <v>574</v>
      </c>
      <c r="C336" s="5" t="s">
        <v>570</v>
      </c>
      <c r="D336" s="5" t="s">
        <v>571</v>
      </c>
      <c r="E336" s="6" t="s">
        <v>60</v>
      </c>
      <c r="F336" s="6" t="s">
        <v>56</v>
      </c>
      <c r="G336" s="5"/>
      <c r="H336" s="6" t="s">
        <v>57</v>
      </c>
      <c r="I336" s="6"/>
      <c r="J336" s="6" t="str">
        <f>IF(OR(I336="Sí",H336="Alta",AND(Parámetros!$B$4&lt;&gt;"Alta",H336="Media"),AND(Parámetros!$B$4="Baja",H336="Baja")),"Sí","")</f>
        <v/>
      </c>
      <c r="K336" s="6"/>
      <c r="L336" s="6"/>
      <c r="M336" s="6"/>
      <c r="N336" s="6"/>
      <c r="O336" s="6"/>
      <c r="P336" s="6">
        <f t="shared" si="10"/>
        <v>0</v>
      </c>
      <c r="Q336" s="5" t="str">
        <f t="shared" si="11"/>
        <v/>
      </c>
      <c r="R336" s="5" t="s">
        <v>154</v>
      </c>
      <c r="S336" s="5"/>
      <c r="T336" s="5"/>
    </row>
    <row r="337" spans="1:20" ht="26.4" x14ac:dyDescent="0.3">
      <c r="A337" s="6">
        <v>583</v>
      </c>
      <c r="B337" s="1" t="s">
        <v>575</v>
      </c>
      <c r="C337" s="5" t="s">
        <v>570</v>
      </c>
      <c r="D337" s="5" t="s">
        <v>571</v>
      </c>
      <c r="E337" s="6" t="s">
        <v>60</v>
      </c>
      <c r="F337" s="6" t="s">
        <v>56</v>
      </c>
      <c r="G337" s="5"/>
      <c r="H337" s="6" t="s">
        <v>57</v>
      </c>
      <c r="I337" s="6"/>
      <c r="J337" s="6" t="str">
        <f>IF(OR(I337="Sí",H337="Alta",AND(Parámetros!$B$4&lt;&gt;"Alta",H337="Media"),AND(Parámetros!$B$4="Baja",H337="Baja")),"Sí","")</f>
        <v/>
      </c>
      <c r="K337" s="6"/>
      <c r="L337" s="6"/>
      <c r="M337" s="6"/>
      <c r="N337" s="6"/>
      <c r="O337" s="6"/>
      <c r="P337" s="6">
        <f t="shared" si="10"/>
        <v>0</v>
      </c>
      <c r="Q337" s="5" t="str">
        <f t="shared" si="11"/>
        <v/>
      </c>
      <c r="R337" s="5" t="s">
        <v>58</v>
      </c>
      <c r="S337" s="5"/>
      <c r="T337" s="5"/>
    </row>
    <row r="338" spans="1:20" ht="26.4" x14ac:dyDescent="0.3">
      <c r="A338" s="6">
        <v>303</v>
      </c>
      <c r="B338" s="1" t="s">
        <v>576</v>
      </c>
      <c r="C338" s="5" t="s">
        <v>577</v>
      </c>
      <c r="D338" s="5" t="s">
        <v>578</v>
      </c>
      <c r="E338" s="6" t="s">
        <v>60</v>
      </c>
      <c r="F338" s="6" t="s">
        <v>56</v>
      </c>
      <c r="G338" s="5" t="s">
        <v>89</v>
      </c>
      <c r="H338" s="6" t="s">
        <v>78</v>
      </c>
      <c r="I338" s="6"/>
      <c r="J338" s="6" t="str">
        <f>IF(OR(I338="Sí",H338="Alta",AND(Parámetros!$B$4&lt;&gt;"Alta",H338="Media"),AND(Parámetros!$B$4="Baja",H338="Baja")),"Sí","")</f>
        <v/>
      </c>
      <c r="K338" s="6"/>
      <c r="L338" s="6"/>
      <c r="M338" s="6"/>
      <c r="N338" s="6"/>
      <c r="O338" s="6"/>
      <c r="P338" s="6">
        <f t="shared" si="10"/>
        <v>0</v>
      </c>
      <c r="Q338" s="5" t="str">
        <f t="shared" si="11"/>
        <v/>
      </c>
      <c r="R338" s="5"/>
      <c r="S338" s="5"/>
      <c r="T338" s="5"/>
    </row>
    <row r="339" spans="1:20" ht="26.4" x14ac:dyDescent="0.3">
      <c r="A339" s="6">
        <v>304</v>
      </c>
      <c r="B339" s="1" t="s">
        <v>579</v>
      </c>
      <c r="C339" s="5" t="s">
        <v>577</v>
      </c>
      <c r="D339" s="5" t="s">
        <v>578</v>
      </c>
      <c r="E339" s="6" t="s">
        <v>60</v>
      </c>
      <c r="F339" s="6" t="s">
        <v>56</v>
      </c>
      <c r="G339" s="5" t="s">
        <v>89</v>
      </c>
      <c r="H339" s="6" t="s">
        <v>78</v>
      </c>
      <c r="I339" s="6"/>
      <c r="J339" s="6" t="str">
        <f>IF(OR(I339="Sí",H339="Alta",AND(Parámetros!$B$4&lt;&gt;"Alta",H339="Media"),AND(Parámetros!$B$4="Baja",H339="Baja")),"Sí","")</f>
        <v/>
      </c>
      <c r="K339" s="6"/>
      <c r="L339" s="6"/>
      <c r="M339" s="6"/>
      <c r="N339" s="6"/>
      <c r="O339" s="6"/>
      <c r="P339" s="6">
        <f t="shared" si="10"/>
        <v>0</v>
      </c>
      <c r="Q339" s="5" t="str">
        <f t="shared" si="11"/>
        <v/>
      </c>
      <c r="R339" s="5"/>
      <c r="S339" s="5"/>
      <c r="T339" s="5"/>
    </row>
    <row r="340" spans="1:20" ht="39.6" x14ac:dyDescent="0.3">
      <c r="A340" s="6">
        <v>500</v>
      </c>
      <c r="B340" s="1" t="s">
        <v>580</v>
      </c>
      <c r="C340" s="5" t="s">
        <v>577</v>
      </c>
      <c r="D340" s="5" t="s">
        <v>578</v>
      </c>
      <c r="E340" s="6" t="s">
        <v>55</v>
      </c>
      <c r="F340" s="6" t="s">
        <v>56</v>
      </c>
      <c r="G340" s="5"/>
      <c r="H340" s="6" t="s">
        <v>57</v>
      </c>
      <c r="I340" s="6"/>
      <c r="J340" s="6" t="str">
        <f>IF(OR(I340="Sí",H340="Alta",AND(Parámetros!$B$4&lt;&gt;"Alta",H340="Media"),AND(Parámetros!$B$4="Baja",H340="Baja")),"Sí","")</f>
        <v/>
      </c>
      <c r="K340" s="6" t="s">
        <v>83</v>
      </c>
      <c r="L340" s="6"/>
      <c r="M340" s="6"/>
      <c r="N340" s="6"/>
      <c r="O340" s="6"/>
      <c r="P340" s="6">
        <f t="shared" si="10"/>
        <v>1</v>
      </c>
      <c r="Q340" s="5" t="str">
        <f t="shared" si="11"/>
        <v>2</v>
      </c>
      <c r="R340" s="5" t="s">
        <v>58</v>
      </c>
      <c r="S340" s="5"/>
      <c r="T340" s="5" t="s">
        <v>581</v>
      </c>
    </row>
    <row r="341" spans="1:20" ht="26.4" x14ac:dyDescent="0.3">
      <c r="A341" s="6">
        <v>355</v>
      </c>
      <c r="B341" s="1" t="s">
        <v>582</v>
      </c>
      <c r="C341" s="5" t="s">
        <v>583</v>
      </c>
      <c r="D341" s="5" t="s">
        <v>540</v>
      </c>
      <c r="E341" s="6" t="s">
        <v>71</v>
      </c>
      <c r="F341" s="6" t="s">
        <v>76</v>
      </c>
      <c r="G341" s="5"/>
      <c r="H341" s="6" t="s">
        <v>57</v>
      </c>
      <c r="I341" s="6"/>
      <c r="J341" s="6" t="str">
        <f>IF(OR(I341="Sí",H341="Alta",AND(Parámetros!$B$4&lt;&gt;"Alta",H341="Media"),AND(Parámetros!$B$4="Baja",H341="Baja")),"Sí","")</f>
        <v/>
      </c>
      <c r="K341" s="6"/>
      <c r="L341" s="6"/>
      <c r="M341" s="6"/>
      <c r="N341" s="6"/>
      <c r="O341" s="6"/>
      <c r="P341" s="6">
        <f t="shared" si="10"/>
        <v>0</v>
      </c>
      <c r="Q341" s="5" t="str">
        <f t="shared" si="11"/>
        <v/>
      </c>
      <c r="R341" s="5"/>
      <c r="S341" s="5"/>
      <c r="T341" s="5"/>
    </row>
    <row r="342" spans="1:20" ht="26.4" x14ac:dyDescent="0.3">
      <c r="A342" s="6">
        <v>356</v>
      </c>
      <c r="B342" s="1" t="s">
        <v>584</v>
      </c>
      <c r="C342" s="5" t="s">
        <v>583</v>
      </c>
      <c r="D342" s="5" t="s">
        <v>540</v>
      </c>
      <c r="E342" s="6" t="s">
        <v>71</v>
      </c>
      <c r="F342" s="6" t="s">
        <v>56</v>
      </c>
      <c r="G342" s="5"/>
      <c r="H342" s="6" t="s">
        <v>57</v>
      </c>
      <c r="I342" s="6"/>
      <c r="J342" s="6" t="str">
        <f>IF(OR(I342="Sí",H342="Alta",AND(Parámetros!$B$4&lt;&gt;"Alta",H342="Media"),AND(Parámetros!$B$4="Baja",H342="Baja")),"Sí","")</f>
        <v/>
      </c>
      <c r="K342" s="6"/>
      <c r="L342" s="6"/>
      <c r="M342" s="6"/>
      <c r="N342" s="6"/>
      <c r="O342" s="6"/>
      <c r="P342" s="6">
        <f t="shared" si="10"/>
        <v>0</v>
      </c>
      <c r="Q342" s="5" t="str">
        <f t="shared" si="11"/>
        <v/>
      </c>
      <c r="R342" s="5"/>
      <c r="S342" s="5"/>
      <c r="T342" s="5"/>
    </row>
    <row r="343" spans="1:20" ht="26.4" x14ac:dyDescent="0.3">
      <c r="A343" s="6">
        <v>357</v>
      </c>
      <c r="B343" s="1" t="s">
        <v>585</v>
      </c>
      <c r="C343" s="5" t="s">
        <v>583</v>
      </c>
      <c r="D343" s="5" t="s">
        <v>540</v>
      </c>
      <c r="E343" s="6" t="s">
        <v>60</v>
      </c>
      <c r="F343" s="6" t="s">
        <v>56</v>
      </c>
      <c r="G343" s="5"/>
      <c r="H343" s="6" t="s">
        <v>57</v>
      </c>
      <c r="I343" s="6"/>
      <c r="J343" s="6" t="str">
        <f>IF(OR(I343="Sí",H343="Alta",AND(Parámetros!$B$4&lt;&gt;"Alta",H343="Media"),AND(Parámetros!$B$4="Baja",H343="Baja")),"Sí","")</f>
        <v/>
      </c>
      <c r="K343" s="6"/>
      <c r="L343" s="6"/>
      <c r="M343" s="6"/>
      <c r="N343" s="6"/>
      <c r="O343" s="6"/>
      <c r="P343" s="6">
        <f t="shared" si="10"/>
        <v>0</v>
      </c>
      <c r="Q343" s="5" t="str">
        <f t="shared" si="11"/>
        <v/>
      </c>
      <c r="R343" s="5"/>
      <c r="S343" s="5"/>
      <c r="T343" s="5"/>
    </row>
    <row r="344" spans="1:20" ht="39.6" x14ac:dyDescent="0.3">
      <c r="A344" s="6">
        <v>318</v>
      </c>
      <c r="B344" s="1" t="s">
        <v>586</v>
      </c>
      <c r="C344" s="5" t="s">
        <v>587</v>
      </c>
      <c r="D344" s="5" t="s">
        <v>588</v>
      </c>
      <c r="E344" s="6" t="s">
        <v>55</v>
      </c>
      <c r="F344" s="6" t="s">
        <v>76</v>
      </c>
      <c r="G344" s="5" t="s">
        <v>589</v>
      </c>
      <c r="H344" s="6" t="s">
        <v>36</v>
      </c>
      <c r="I344" s="6"/>
      <c r="J344" s="6"/>
      <c r="K344" s="6" t="s">
        <v>83</v>
      </c>
      <c r="L344" s="6"/>
      <c r="M344" s="6"/>
      <c r="N344" s="6"/>
      <c r="O344" s="6"/>
      <c r="P344" s="6">
        <f t="shared" si="10"/>
        <v>1</v>
      </c>
      <c r="Q344" s="5" t="str">
        <f t="shared" si="11"/>
        <v>2</v>
      </c>
      <c r="R344" s="5"/>
      <c r="S344" s="5"/>
      <c r="T344" s="5"/>
    </row>
    <row r="345" spans="1:20" ht="39.6" x14ac:dyDescent="0.3">
      <c r="A345" s="6">
        <v>532</v>
      </c>
      <c r="B345" s="1" t="s">
        <v>590</v>
      </c>
      <c r="C345" s="5" t="s">
        <v>587</v>
      </c>
      <c r="D345" s="5" t="s">
        <v>588</v>
      </c>
      <c r="E345" s="6" t="s">
        <v>71</v>
      </c>
      <c r="F345" s="6" t="s">
        <v>56</v>
      </c>
      <c r="G345" s="5" t="s">
        <v>589</v>
      </c>
      <c r="H345" s="6" t="s">
        <v>36</v>
      </c>
      <c r="I345" s="6"/>
      <c r="J345" s="6"/>
      <c r="K345" s="6" t="s">
        <v>83</v>
      </c>
      <c r="L345" s="6"/>
      <c r="M345" s="6"/>
      <c r="N345" s="6"/>
      <c r="O345" s="6"/>
      <c r="P345" s="6">
        <f t="shared" si="10"/>
        <v>1</v>
      </c>
      <c r="Q345" s="5" t="str">
        <f t="shared" si="11"/>
        <v>2</v>
      </c>
      <c r="R345" s="5"/>
      <c r="S345" s="5"/>
      <c r="T345" s="5"/>
    </row>
    <row r="346" spans="1:20" ht="39.6" x14ac:dyDescent="0.3">
      <c r="A346" s="6">
        <v>533</v>
      </c>
      <c r="B346" s="1" t="s">
        <v>591</v>
      </c>
      <c r="C346" s="5" t="s">
        <v>587</v>
      </c>
      <c r="D346" s="5" t="s">
        <v>588</v>
      </c>
      <c r="E346" s="6" t="s">
        <v>60</v>
      </c>
      <c r="F346" s="6" t="s">
        <v>56</v>
      </c>
      <c r="G346" s="5" t="s">
        <v>426</v>
      </c>
      <c r="H346" s="6" t="s">
        <v>78</v>
      </c>
      <c r="I346" s="6"/>
      <c r="J346" s="6" t="str">
        <f>IF(OR(I346="Sí",H346="Alta",AND(Parámetros!$B$4&lt;&gt;"Alta",H346="Media"),AND(Parámetros!$B$4="Baja",H346="Baja")),"Sí","")</f>
        <v/>
      </c>
      <c r="K346" s="6" t="s">
        <v>83</v>
      </c>
      <c r="L346" s="6"/>
      <c r="M346" s="6"/>
      <c r="N346" s="6"/>
      <c r="O346" s="6"/>
      <c r="P346" s="6">
        <f t="shared" si="10"/>
        <v>1</v>
      </c>
      <c r="Q346" s="5" t="str">
        <f t="shared" si="11"/>
        <v>2</v>
      </c>
      <c r="R346" s="5"/>
      <c r="S346" s="5"/>
      <c r="T346" s="5"/>
    </row>
    <row r="347" spans="1:20" ht="39.6" x14ac:dyDescent="0.3">
      <c r="A347" s="6">
        <v>534</v>
      </c>
      <c r="B347" s="1" t="s">
        <v>592</v>
      </c>
      <c r="C347" s="5" t="s">
        <v>587</v>
      </c>
      <c r="D347" s="5" t="s">
        <v>588</v>
      </c>
      <c r="E347" s="6" t="s">
        <v>60</v>
      </c>
      <c r="F347" s="6" t="s">
        <v>56</v>
      </c>
      <c r="G347" s="5" t="s">
        <v>593</v>
      </c>
      <c r="H347" s="6" t="s">
        <v>78</v>
      </c>
      <c r="I347" s="6"/>
      <c r="J347" s="6" t="str">
        <f>IF(OR(I347="Sí",H347="Alta",AND(Parámetros!$B$4&lt;&gt;"Alta",H347="Media"),AND(Parámetros!$B$4="Baja",H347="Baja")),"Sí","")</f>
        <v/>
      </c>
      <c r="K347" s="6" t="s">
        <v>83</v>
      </c>
      <c r="L347" s="6"/>
      <c r="M347" s="6"/>
      <c r="N347" s="6"/>
      <c r="O347" s="6"/>
      <c r="P347" s="6">
        <f t="shared" si="10"/>
        <v>1</v>
      </c>
      <c r="Q347" s="5" t="str">
        <f t="shared" si="11"/>
        <v>2</v>
      </c>
      <c r="R347" s="5"/>
      <c r="S347" s="5"/>
      <c r="T347" s="5"/>
    </row>
    <row r="348" spans="1:20" ht="39.6" x14ac:dyDescent="0.3">
      <c r="A348" s="6">
        <v>535</v>
      </c>
      <c r="B348" s="1" t="s">
        <v>594</v>
      </c>
      <c r="C348" s="5" t="s">
        <v>587</v>
      </c>
      <c r="D348" s="5" t="s">
        <v>588</v>
      </c>
      <c r="E348" s="6" t="s">
        <v>60</v>
      </c>
      <c r="F348" s="6" t="s">
        <v>56</v>
      </c>
      <c r="G348" s="5" t="s">
        <v>426</v>
      </c>
      <c r="H348" s="6" t="s">
        <v>78</v>
      </c>
      <c r="I348" s="6"/>
      <c r="J348" s="6" t="str">
        <f>IF(OR(I348="Sí",H348="Alta",AND(Parámetros!$B$4&lt;&gt;"Alta",H348="Media"),AND(Parámetros!$B$4="Baja",H348="Baja")),"Sí","")</f>
        <v/>
      </c>
      <c r="K348" s="6" t="s">
        <v>83</v>
      </c>
      <c r="L348" s="6"/>
      <c r="M348" s="6"/>
      <c r="N348" s="6"/>
      <c r="O348" s="6"/>
      <c r="P348" s="6">
        <f t="shared" si="10"/>
        <v>1</v>
      </c>
      <c r="Q348" s="5" t="str">
        <f t="shared" si="11"/>
        <v>2</v>
      </c>
      <c r="R348" s="5"/>
      <c r="S348" s="5"/>
      <c r="T348" s="5" t="s">
        <v>595</v>
      </c>
    </row>
    <row r="349" spans="1:20" ht="39.6" x14ac:dyDescent="0.3">
      <c r="A349" s="6">
        <v>536</v>
      </c>
      <c r="B349" s="1" t="s">
        <v>596</v>
      </c>
      <c r="C349" s="5" t="s">
        <v>587</v>
      </c>
      <c r="D349" s="5" t="s">
        <v>588</v>
      </c>
      <c r="E349" s="6" t="s">
        <v>60</v>
      </c>
      <c r="F349" s="6" t="s">
        <v>56</v>
      </c>
      <c r="G349" s="5" t="s">
        <v>426</v>
      </c>
      <c r="H349" s="6" t="s">
        <v>78</v>
      </c>
      <c r="I349" s="6"/>
      <c r="J349" s="6" t="str">
        <f>IF(OR(I349="Sí",H349="Alta",AND(Parámetros!$B$4&lt;&gt;"Alta",H349="Media"),AND(Parámetros!$B$4="Baja",H349="Baja")),"Sí","")</f>
        <v/>
      </c>
      <c r="K349" s="6" t="s">
        <v>83</v>
      </c>
      <c r="L349" s="6"/>
      <c r="M349" s="6"/>
      <c r="N349" s="6"/>
      <c r="O349" s="6"/>
      <c r="P349" s="6">
        <f t="shared" si="10"/>
        <v>1</v>
      </c>
      <c r="Q349" s="5" t="str">
        <f t="shared" si="11"/>
        <v>2</v>
      </c>
      <c r="R349" s="5"/>
      <c r="S349" s="5"/>
      <c r="T349" s="5" t="s">
        <v>597</v>
      </c>
    </row>
    <row r="350" spans="1:20" ht="26.4" x14ac:dyDescent="0.3">
      <c r="A350" s="6">
        <v>622</v>
      </c>
      <c r="B350" s="1" t="s">
        <v>598</v>
      </c>
      <c r="C350" s="5" t="s">
        <v>587</v>
      </c>
      <c r="D350" s="5" t="s">
        <v>588</v>
      </c>
      <c r="E350" s="6" t="s">
        <v>55</v>
      </c>
      <c r="F350" s="6" t="s">
        <v>56</v>
      </c>
      <c r="G350" s="5"/>
      <c r="H350" s="6" t="s">
        <v>57</v>
      </c>
      <c r="I350" s="6"/>
      <c r="J350" s="6" t="str">
        <f>IF(OR(I350="Sí",H350="Alta",AND(Parámetros!$B$4&lt;&gt;"Alta",H350="Media"),AND(Parámetros!$B$4="Baja",H350="Baja")),"Sí","")</f>
        <v/>
      </c>
      <c r="K350" s="6"/>
      <c r="L350" s="6"/>
      <c r="M350" s="6"/>
      <c r="N350" s="6"/>
      <c r="O350" s="6"/>
      <c r="P350" s="6">
        <f t="shared" si="10"/>
        <v>0</v>
      </c>
      <c r="Q350" s="5" t="str">
        <f t="shared" si="11"/>
        <v/>
      </c>
      <c r="R350" s="5" t="s">
        <v>58</v>
      </c>
      <c r="S350" s="5"/>
      <c r="T350" s="5"/>
    </row>
    <row r="351" spans="1:20" ht="26.4" x14ac:dyDescent="0.3">
      <c r="A351" s="6">
        <v>625</v>
      </c>
      <c r="B351" s="1" t="s">
        <v>599</v>
      </c>
      <c r="C351" s="5" t="s">
        <v>587</v>
      </c>
      <c r="D351" s="5" t="s">
        <v>588</v>
      </c>
      <c r="E351" s="6" t="s">
        <v>60</v>
      </c>
      <c r="F351" s="6" t="s">
        <v>56</v>
      </c>
      <c r="G351" s="5"/>
      <c r="H351" s="6" t="s">
        <v>57</v>
      </c>
      <c r="I351" s="6"/>
      <c r="J351" s="6" t="str">
        <f>IF(OR(I351="Sí",H351="Alta",AND(Parámetros!$B$4&lt;&gt;"Alta",H351="Media"),AND(Parámetros!$B$4="Baja",H351="Baja")),"Sí","")</f>
        <v/>
      </c>
      <c r="K351" s="6"/>
      <c r="L351" s="6"/>
      <c r="M351" s="6"/>
      <c r="N351" s="6"/>
      <c r="O351" s="6"/>
      <c r="P351" s="6">
        <f t="shared" si="10"/>
        <v>0</v>
      </c>
      <c r="Q351" s="5" t="str">
        <f t="shared" si="11"/>
        <v/>
      </c>
      <c r="R351" s="5" t="s">
        <v>98</v>
      </c>
      <c r="S351" s="5"/>
      <c r="T351" s="5"/>
    </row>
  </sheetData>
  <autoFilter ref="A1:T351" xr:uid="{00000000-0001-0000-0200-000000000000}"/>
  <conditionalFormatting sqref="I2:I351">
    <cfRule type="cellIs" dxfId="4" priority="8" operator="equal">
      <formula>"Sí"</formula>
    </cfRule>
  </conditionalFormatting>
  <conditionalFormatting sqref="J2:O351">
    <cfRule type="expression" dxfId="3" priority="2">
      <formula>LEFT(J2,2)="Sí"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showGridLines="0" zoomScaleNormal="100" workbookViewId="0"/>
  </sheetViews>
  <sheetFormatPr baseColWidth="10" defaultColWidth="8.6640625" defaultRowHeight="14.4" x14ac:dyDescent="0.3"/>
  <cols>
    <col min="1" max="1" width="26" customWidth="1"/>
    <col min="2" max="2" width="66" customWidth="1"/>
    <col min="3" max="3" width="12" customWidth="1"/>
    <col min="4" max="4" width="26" customWidth="1"/>
    <col min="5" max="5" width="60" customWidth="1"/>
  </cols>
  <sheetData>
    <row r="1" spans="1:5" ht="17.399999999999999" x14ac:dyDescent="0.3">
      <c r="A1" s="3" t="s">
        <v>0</v>
      </c>
    </row>
    <row r="2" spans="1:5" x14ac:dyDescent="0.3">
      <c r="A2" s="4" t="s">
        <v>1</v>
      </c>
    </row>
    <row r="4" spans="1:5" ht="39.75" customHeight="1" x14ac:dyDescent="0.3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</row>
    <row r="5" spans="1:5" ht="57.75" customHeight="1" x14ac:dyDescent="0.3">
      <c r="A5" s="1" t="s">
        <v>7</v>
      </c>
      <c r="B5" s="5" t="s">
        <v>8</v>
      </c>
      <c r="C5" s="6">
        <f>COUNTIF('Indicadores POLISIGS'!$J$2:$J$351,"Sí*")</f>
        <v>41</v>
      </c>
      <c r="D5" s="6" t="str">
        <f>COUNTIFS('Indicadores POLISIGS'!$J$2:$J$351,"Sí",'Indicadores POLISIGS'!$H$2:$H$351,"Alta")&amp;" altas + "&amp;COUNTIF('Indicadores POLISIGS'!$I$2:$I$351,"Sí")&amp;" medias"</f>
        <v>39 altas + 6 medias</v>
      </c>
      <c r="E5" s="5" t="s">
        <v>9</v>
      </c>
    </row>
    <row r="6" spans="1:5" ht="57.75" customHeight="1" x14ac:dyDescent="0.3">
      <c r="A6" s="1" t="s">
        <v>10</v>
      </c>
      <c r="B6" s="5" t="s">
        <v>11</v>
      </c>
      <c r="C6" s="6">
        <f>COUNTIF('Indicadores POLISIGS'!$K$2:$K$351,"Sí*")</f>
        <v>37</v>
      </c>
      <c r="D6" s="6" t="str">
        <f>COUNTIF('Indicadores POLISIGS'!$K$2:$K$351,"Sí – ID*")&amp;" por ID Kawak + "&amp;COUNTIF('Indicadores POLISIGS'!$K$2:$K$351,"Sí – asoc*")&amp;" por validación"</f>
        <v>0 por ID Kawak + 0 por validación</v>
      </c>
      <c r="E6" s="5" t="s">
        <v>12</v>
      </c>
    </row>
    <row r="7" spans="1:5" ht="57.75" customHeight="1" x14ac:dyDescent="0.3">
      <c r="A7" s="1" t="s">
        <v>13</v>
      </c>
      <c r="B7" s="5" t="s">
        <v>14</v>
      </c>
      <c r="C7" s="6">
        <f>COUNTIF('Indicadores POLISIGS'!$L$2:$L$351,"Sí*")</f>
        <v>6</v>
      </c>
      <c r="D7" s="6" t="str">
        <f>COUNTIF('Indicadores POLISIGS'!$L$2:$L$351,"Sí")&amp;" definidos + "&amp;COUNTIF('Indicadores POLISIGS'!$L$2:$L$351,"Sí – amp*")&amp;" ampliados"</f>
        <v>6 definidos + 0 ampliados</v>
      </c>
      <c r="E7" s="5" t="s">
        <v>15</v>
      </c>
    </row>
    <row r="8" spans="1:5" ht="57.75" customHeight="1" x14ac:dyDescent="0.3">
      <c r="A8" s="1" t="s">
        <v>16</v>
      </c>
      <c r="B8" s="5" t="s">
        <v>17</v>
      </c>
      <c r="C8" s="6">
        <f>COUNTIF('Indicadores POLISIGS'!$M$2:$M$351,"Sí*")</f>
        <v>1</v>
      </c>
      <c r="D8" s="6"/>
      <c r="E8" s="5" t="s">
        <v>18</v>
      </c>
    </row>
    <row r="9" spans="1:5" ht="57.75" customHeight="1" x14ac:dyDescent="0.3">
      <c r="A9" s="1" t="s">
        <v>19</v>
      </c>
      <c r="B9" s="5" t="s">
        <v>20</v>
      </c>
      <c r="C9" s="6">
        <f>COUNTIF('Indicadores POLISIGS'!$N$2:$N$351,"Sí*")</f>
        <v>7</v>
      </c>
      <c r="D9" s="6"/>
      <c r="E9" s="5" t="s">
        <v>21</v>
      </c>
    </row>
    <row r="10" spans="1:5" ht="57.75" customHeight="1" x14ac:dyDescent="0.3">
      <c r="A10" s="1" t="s">
        <v>22</v>
      </c>
      <c r="B10" s="5" t="s">
        <v>23</v>
      </c>
      <c r="C10" s="6">
        <f>COUNTIF('Indicadores POLISIGS'!$O$2:$O$351,"Sí*")</f>
        <v>3</v>
      </c>
      <c r="D10" s="6"/>
      <c r="E10" s="5" t="s">
        <v>24</v>
      </c>
    </row>
    <row r="11" spans="1:5" ht="39.75" customHeight="1" x14ac:dyDescent="0.3">
      <c r="A11" s="12" t="s">
        <v>25</v>
      </c>
      <c r="B11" s="12"/>
      <c r="C11" s="2" t="s">
        <v>26</v>
      </c>
    </row>
    <row r="12" spans="1:5" ht="15" customHeight="1" x14ac:dyDescent="0.3">
      <c r="A12" s="11" t="s">
        <v>27</v>
      </c>
      <c r="B12" s="11"/>
      <c r="C12" s="6">
        <f>COUNTIF('Indicadores POLISIGS'!$P$2:$P$351,"&gt;=1")</f>
        <v>89</v>
      </c>
    </row>
    <row r="13" spans="1:5" ht="15" customHeight="1" x14ac:dyDescent="0.3">
      <c r="A13" s="11" t="s">
        <v>28</v>
      </c>
      <c r="B13" s="11"/>
      <c r="C13" s="6">
        <f>COUNTIF('Indicadores POLISIGS'!$P$2:$P$351,"&gt;=2")</f>
        <v>6</v>
      </c>
    </row>
    <row r="14" spans="1:5" ht="15" customHeight="1" x14ac:dyDescent="0.3">
      <c r="A14" s="11" t="s">
        <v>29</v>
      </c>
      <c r="B14" s="11"/>
      <c r="C14" s="6">
        <f>COUNTIF('Indicadores POLISIGS'!$P$2:$P$351,"&gt;=3")</f>
        <v>0</v>
      </c>
    </row>
    <row r="15" spans="1:5" ht="15" customHeight="1" x14ac:dyDescent="0.3">
      <c r="A15" s="11" t="s">
        <v>30</v>
      </c>
      <c r="B15" s="11"/>
      <c r="C15" s="6">
        <f>COUNTIF('Indicadores POLISIGS'!$P$2:$P$351,0)</f>
        <v>261</v>
      </c>
    </row>
    <row r="16" spans="1:5" ht="15" customHeight="1" x14ac:dyDescent="0.3">
      <c r="A16" s="11" t="s">
        <v>31</v>
      </c>
      <c r="B16" s="11"/>
      <c r="C16" s="6">
        <f>COUNTIF('Validación Plan CNA'!$K$2:$K$71,"Asociado*")</f>
        <v>39</v>
      </c>
    </row>
    <row r="17" spans="1:3" ht="15" customHeight="1" x14ac:dyDescent="0.3">
      <c r="A17" s="11" t="s">
        <v>32</v>
      </c>
      <c r="B17" s="11"/>
      <c r="C17" s="6">
        <f>COUNTIF('Validación Plan CNA'!$K$2:$K$71,"No*")+COUNTIF('Validación Plan CNA'!$K$2:$K$71,"Omitido*")</f>
        <v>31</v>
      </c>
    </row>
  </sheetData>
  <mergeCells count="7">
    <mergeCell ref="A16:B16"/>
    <mergeCell ref="A17:B17"/>
    <mergeCell ref="A11:B11"/>
    <mergeCell ref="A12:B12"/>
    <mergeCell ref="A13:B13"/>
    <mergeCell ref="A14:B14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showGridLines="0" zoomScaleNormal="100" workbookViewId="0"/>
  </sheetViews>
  <sheetFormatPr baseColWidth="10" defaultColWidth="8.6640625" defaultRowHeight="14.4" x14ac:dyDescent="0.3"/>
  <cols>
    <col min="1" max="1" width="55" customWidth="1"/>
    <col min="2" max="2" width="16" customWidth="1"/>
    <col min="3" max="3" width="85" customWidth="1"/>
  </cols>
  <sheetData>
    <row r="1" spans="1:3" ht="17.399999999999999" x14ac:dyDescent="0.3">
      <c r="A1" s="3" t="s">
        <v>33</v>
      </c>
    </row>
    <row r="2" spans="1:3" x14ac:dyDescent="0.3">
      <c r="A2" s="4" t="s">
        <v>34</v>
      </c>
    </row>
    <row r="4" spans="1:3" ht="39.75" customHeight="1" x14ac:dyDescent="0.3">
      <c r="A4" s="1" t="s">
        <v>35</v>
      </c>
      <c r="B4" s="7" t="s">
        <v>36</v>
      </c>
      <c r="C4" s="5" t="s">
        <v>37</v>
      </c>
    </row>
  </sheetData>
  <dataValidations count="1">
    <dataValidation type="list" sqref="B4" xr:uid="{00000000-0002-0000-0100-000000000000}">
      <formula1>"Alta,Media,Baja"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0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8.6640625" defaultRowHeight="14.4" x14ac:dyDescent="0.3"/>
  <cols>
    <col min="1" max="1" width="7" customWidth="1"/>
    <col min="2" max="2" width="45" customWidth="1"/>
    <col min="3" max="3" width="28" customWidth="1"/>
    <col min="4" max="4" width="30" customWidth="1"/>
    <col min="5" max="5" width="16" customWidth="1"/>
    <col min="6" max="6" width="80" customWidth="1"/>
  </cols>
  <sheetData>
    <row r="1" spans="1:6" ht="17.399999999999999" x14ac:dyDescent="0.3">
      <c r="A1" s="3" t="s">
        <v>600</v>
      </c>
    </row>
    <row r="2" spans="1:6" x14ac:dyDescent="0.3">
      <c r="A2" s="4" t="s">
        <v>601</v>
      </c>
    </row>
    <row r="4" spans="1:6" ht="39.75" customHeight="1" x14ac:dyDescent="0.3">
      <c r="A4" s="2" t="s">
        <v>38</v>
      </c>
      <c r="B4" s="2" t="s">
        <v>39</v>
      </c>
      <c r="C4" s="2" t="s">
        <v>40</v>
      </c>
      <c r="D4" s="2" t="s">
        <v>602</v>
      </c>
      <c r="E4" s="2" t="s">
        <v>603</v>
      </c>
      <c r="F4" s="2" t="s">
        <v>604</v>
      </c>
    </row>
    <row r="5" spans="1:6" ht="26.4" x14ac:dyDescent="0.3">
      <c r="A5" s="6">
        <v>339</v>
      </c>
      <c r="B5" s="1" t="s">
        <v>81</v>
      </c>
      <c r="C5" s="5" t="s">
        <v>82</v>
      </c>
      <c r="D5" s="5" t="s">
        <v>605</v>
      </c>
      <c r="E5" s="8" t="s">
        <v>606</v>
      </c>
      <c r="F5" s="5" t="s">
        <v>607</v>
      </c>
    </row>
    <row r="6" spans="1:6" ht="26.4" x14ac:dyDescent="0.3">
      <c r="A6" s="6">
        <v>597</v>
      </c>
      <c r="B6" s="1" t="s">
        <v>86</v>
      </c>
      <c r="C6" s="5" t="s">
        <v>87</v>
      </c>
      <c r="D6" s="5" t="s">
        <v>608</v>
      </c>
      <c r="E6" s="8" t="s">
        <v>606</v>
      </c>
      <c r="F6" s="5" t="s">
        <v>609</v>
      </c>
    </row>
    <row r="7" spans="1:6" ht="26.4" x14ac:dyDescent="0.3">
      <c r="A7" s="6">
        <v>238</v>
      </c>
      <c r="B7" s="1" t="s">
        <v>256</v>
      </c>
      <c r="C7" s="5" t="s">
        <v>223</v>
      </c>
      <c r="D7" s="5" t="s">
        <v>610</v>
      </c>
      <c r="E7" s="8" t="s">
        <v>606</v>
      </c>
      <c r="F7" s="5" t="s">
        <v>611</v>
      </c>
    </row>
    <row r="8" spans="1:6" ht="26.4" x14ac:dyDescent="0.3">
      <c r="A8" s="6">
        <v>244</v>
      </c>
      <c r="B8" s="1" t="s">
        <v>259</v>
      </c>
      <c r="C8" s="5" t="s">
        <v>223</v>
      </c>
      <c r="D8" s="5" t="s">
        <v>612</v>
      </c>
      <c r="E8" s="8" t="s">
        <v>606</v>
      </c>
      <c r="F8" s="5" t="s">
        <v>613</v>
      </c>
    </row>
    <row r="9" spans="1:6" ht="26.4" x14ac:dyDescent="0.3">
      <c r="A9" s="6">
        <v>202</v>
      </c>
      <c r="B9" s="1" t="s">
        <v>351</v>
      </c>
      <c r="C9" s="5" t="s">
        <v>341</v>
      </c>
      <c r="D9" s="5" t="s">
        <v>614</v>
      </c>
      <c r="E9" s="8" t="s">
        <v>606</v>
      </c>
      <c r="F9" s="5" t="s">
        <v>615</v>
      </c>
    </row>
    <row r="10" spans="1:6" ht="26.4" x14ac:dyDescent="0.3">
      <c r="A10" s="6">
        <v>527</v>
      </c>
      <c r="B10" s="1" t="s">
        <v>532</v>
      </c>
      <c r="C10" s="5" t="s">
        <v>519</v>
      </c>
      <c r="D10" s="5" t="s">
        <v>616</v>
      </c>
      <c r="E10" s="8" t="s">
        <v>606</v>
      </c>
      <c r="F10" s="5" t="s">
        <v>617</v>
      </c>
    </row>
    <row r="11" spans="1:6" ht="26.4" x14ac:dyDescent="0.3">
      <c r="A11" s="6">
        <v>327</v>
      </c>
      <c r="B11" s="1" t="s">
        <v>77</v>
      </c>
      <c r="C11" s="5" t="s">
        <v>69</v>
      </c>
      <c r="D11" s="5" t="s">
        <v>605</v>
      </c>
      <c r="E11" s="6" t="s">
        <v>618</v>
      </c>
      <c r="F11" s="5" t="s">
        <v>619</v>
      </c>
    </row>
    <row r="12" spans="1:6" ht="26.4" x14ac:dyDescent="0.3">
      <c r="A12" s="6">
        <v>337</v>
      </c>
      <c r="B12" s="1" t="s">
        <v>79</v>
      </c>
      <c r="C12" s="5" t="s">
        <v>69</v>
      </c>
      <c r="D12" s="5" t="s">
        <v>605</v>
      </c>
      <c r="E12" s="6" t="s">
        <v>618</v>
      </c>
      <c r="F12" s="5" t="s">
        <v>619</v>
      </c>
    </row>
    <row r="13" spans="1:6" ht="26.4" x14ac:dyDescent="0.3">
      <c r="A13" s="6">
        <v>325</v>
      </c>
      <c r="B13" s="1" t="s">
        <v>137</v>
      </c>
      <c r="C13" s="5" t="s">
        <v>135</v>
      </c>
      <c r="D13" s="5" t="s">
        <v>605</v>
      </c>
      <c r="E13" s="6" t="s">
        <v>618</v>
      </c>
      <c r="F13" s="5" t="s">
        <v>620</v>
      </c>
    </row>
    <row r="14" spans="1:6" x14ac:dyDescent="0.3">
      <c r="A14" s="6">
        <v>255</v>
      </c>
      <c r="B14" s="1" t="s">
        <v>195</v>
      </c>
      <c r="C14" s="5" t="s">
        <v>193</v>
      </c>
      <c r="D14" s="5" t="s">
        <v>621</v>
      </c>
      <c r="E14" s="6" t="s">
        <v>618</v>
      </c>
      <c r="F14" s="5" t="s">
        <v>622</v>
      </c>
    </row>
    <row r="15" spans="1:6" ht="26.4" x14ac:dyDescent="0.3">
      <c r="A15" s="6">
        <v>399</v>
      </c>
      <c r="B15" s="1" t="s">
        <v>204</v>
      </c>
      <c r="C15" s="5" t="s">
        <v>201</v>
      </c>
      <c r="D15" s="5" t="s">
        <v>614</v>
      </c>
      <c r="E15" s="6" t="s">
        <v>618</v>
      </c>
      <c r="F15" s="5" t="s">
        <v>623</v>
      </c>
    </row>
    <row r="16" spans="1:6" ht="26.4" x14ac:dyDescent="0.3">
      <c r="A16" s="6">
        <v>145</v>
      </c>
      <c r="B16" s="1" t="s">
        <v>215</v>
      </c>
      <c r="C16" s="5" t="s">
        <v>216</v>
      </c>
      <c r="D16" s="5" t="s">
        <v>624</v>
      </c>
      <c r="E16" s="6" t="s">
        <v>618</v>
      </c>
      <c r="F16" s="5" t="s">
        <v>625</v>
      </c>
    </row>
    <row r="17" spans="1:6" ht="26.4" x14ac:dyDescent="0.3">
      <c r="A17" s="6">
        <v>148</v>
      </c>
      <c r="B17" s="1" t="s">
        <v>219</v>
      </c>
      <c r="C17" s="5" t="s">
        <v>216</v>
      </c>
      <c r="D17" s="5" t="s">
        <v>624</v>
      </c>
      <c r="E17" s="6" t="s">
        <v>618</v>
      </c>
      <c r="F17" s="5" t="s">
        <v>625</v>
      </c>
    </row>
    <row r="18" spans="1:6" ht="26.4" x14ac:dyDescent="0.3">
      <c r="A18" s="6">
        <v>213</v>
      </c>
      <c r="B18" s="1" t="s">
        <v>222</v>
      </c>
      <c r="C18" s="5" t="s">
        <v>223</v>
      </c>
      <c r="D18" s="5" t="s">
        <v>626</v>
      </c>
      <c r="E18" s="6" t="s">
        <v>618</v>
      </c>
      <c r="F18" s="5" t="s">
        <v>627</v>
      </c>
    </row>
    <row r="19" spans="1:6" ht="26.4" x14ac:dyDescent="0.3">
      <c r="A19" s="6">
        <v>232</v>
      </c>
      <c r="B19" s="1" t="s">
        <v>251</v>
      </c>
      <c r="C19" s="5" t="s">
        <v>223</v>
      </c>
      <c r="D19" s="5" t="s">
        <v>628</v>
      </c>
      <c r="E19" s="6" t="s">
        <v>618</v>
      </c>
      <c r="F19" s="5" t="s">
        <v>629</v>
      </c>
    </row>
    <row r="20" spans="1:6" ht="26.4" x14ac:dyDescent="0.3">
      <c r="A20" s="6">
        <v>235</v>
      </c>
      <c r="B20" s="1" t="s">
        <v>255</v>
      </c>
      <c r="C20" s="5" t="s">
        <v>223</v>
      </c>
      <c r="D20" s="5" t="s">
        <v>626</v>
      </c>
      <c r="E20" s="6" t="s">
        <v>618</v>
      </c>
      <c r="F20" s="5" t="s">
        <v>630</v>
      </c>
    </row>
    <row r="21" spans="1:6" ht="26.4" x14ac:dyDescent="0.3">
      <c r="A21" s="6">
        <v>541</v>
      </c>
      <c r="B21" s="1" t="s">
        <v>385</v>
      </c>
      <c r="C21" s="5" t="s">
        <v>386</v>
      </c>
      <c r="D21" s="5" t="s">
        <v>631</v>
      </c>
      <c r="E21" s="6" t="s">
        <v>618</v>
      </c>
      <c r="F21" s="5" t="s">
        <v>632</v>
      </c>
    </row>
    <row r="22" spans="1:6" ht="26.4" x14ac:dyDescent="0.3">
      <c r="A22" s="6">
        <v>84</v>
      </c>
      <c r="B22" s="1" t="s">
        <v>298</v>
      </c>
      <c r="C22" s="5" t="s">
        <v>299</v>
      </c>
      <c r="D22" s="5" t="s">
        <v>614</v>
      </c>
      <c r="E22" s="6" t="s">
        <v>618</v>
      </c>
      <c r="F22" s="5" t="s">
        <v>633</v>
      </c>
    </row>
    <row r="23" spans="1:6" ht="26.4" x14ac:dyDescent="0.3">
      <c r="A23" s="6">
        <v>85</v>
      </c>
      <c r="B23" s="1" t="s">
        <v>301</v>
      </c>
      <c r="C23" s="5" t="s">
        <v>299</v>
      </c>
      <c r="D23" s="5" t="s">
        <v>634</v>
      </c>
      <c r="E23" s="6" t="s">
        <v>618</v>
      </c>
      <c r="F23" s="5" t="s">
        <v>633</v>
      </c>
    </row>
    <row r="24" spans="1:6" ht="26.4" x14ac:dyDescent="0.3">
      <c r="A24" s="6">
        <v>86</v>
      </c>
      <c r="B24" s="1" t="s">
        <v>303</v>
      </c>
      <c r="C24" s="5" t="s">
        <v>299</v>
      </c>
      <c r="D24" s="5" t="s">
        <v>614</v>
      </c>
      <c r="E24" s="6" t="s">
        <v>618</v>
      </c>
      <c r="F24" s="5" t="s">
        <v>633</v>
      </c>
    </row>
    <row r="25" spans="1:6" ht="26.4" x14ac:dyDescent="0.3">
      <c r="A25" s="6">
        <v>87</v>
      </c>
      <c r="B25" s="1" t="s">
        <v>304</v>
      </c>
      <c r="C25" s="5" t="s">
        <v>299</v>
      </c>
      <c r="D25" s="5" t="s">
        <v>614</v>
      </c>
      <c r="E25" s="6" t="s">
        <v>618</v>
      </c>
      <c r="F25" s="5" t="s">
        <v>633</v>
      </c>
    </row>
    <row r="26" spans="1:6" ht="26.4" x14ac:dyDescent="0.3">
      <c r="A26" s="6">
        <v>88</v>
      </c>
      <c r="B26" s="1" t="s">
        <v>306</v>
      </c>
      <c r="C26" s="5" t="s">
        <v>299</v>
      </c>
      <c r="D26" s="5" t="s">
        <v>614</v>
      </c>
      <c r="E26" s="6" t="s">
        <v>618</v>
      </c>
      <c r="F26" s="5" t="s">
        <v>633</v>
      </c>
    </row>
    <row r="27" spans="1:6" ht="26.4" x14ac:dyDescent="0.3">
      <c r="A27" s="6">
        <v>89</v>
      </c>
      <c r="B27" s="1" t="s">
        <v>307</v>
      </c>
      <c r="C27" s="5" t="s">
        <v>299</v>
      </c>
      <c r="D27" s="5" t="s">
        <v>614</v>
      </c>
      <c r="E27" s="6" t="s">
        <v>618</v>
      </c>
      <c r="F27" s="5" t="s">
        <v>633</v>
      </c>
    </row>
    <row r="28" spans="1:6" ht="26.4" x14ac:dyDescent="0.3">
      <c r="A28" s="6">
        <v>91</v>
      </c>
      <c r="B28" s="1" t="s">
        <v>309</v>
      </c>
      <c r="C28" s="5" t="s">
        <v>299</v>
      </c>
      <c r="D28" s="5" t="s">
        <v>614</v>
      </c>
      <c r="E28" s="6" t="s">
        <v>618</v>
      </c>
      <c r="F28" s="5" t="s">
        <v>633</v>
      </c>
    </row>
    <row r="29" spans="1:6" ht="26.4" x14ac:dyDescent="0.3">
      <c r="A29" s="6">
        <v>92</v>
      </c>
      <c r="B29" s="1" t="s">
        <v>310</v>
      </c>
      <c r="C29" s="5" t="s">
        <v>299</v>
      </c>
      <c r="D29" s="5" t="s">
        <v>635</v>
      </c>
      <c r="E29" s="6" t="s">
        <v>618</v>
      </c>
      <c r="F29" s="5" t="s">
        <v>633</v>
      </c>
    </row>
    <row r="30" spans="1:6" ht="26.4" x14ac:dyDescent="0.3">
      <c r="A30" s="6">
        <v>94</v>
      </c>
      <c r="B30" s="1" t="s">
        <v>312</v>
      </c>
      <c r="C30" s="5" t="s">
        <v>299</v>
      </c>
      <c r="D30" s="5" t="s">
        <v>614</v>
      </c>
      <c r="E30" s="6" t="s">
        <v>618</v>
      </c>
      <c r="F30" s="5" t="s">
        <v>633</v>
      </c>
    </row>
    <row r="31" spans="1:6" ht="26.4" x14ac:dyDescent="0.3">
      <c r="A31" s="6">
        <v>100</v>
      </c>
      <c r="B31" s="1" t="s">
        <v>314</v>
      </c>
      <c r="C31" s="5" t="s">
        <v>299</v>
      </c>
      <c r="D31" s="5" t="s">
        <v>614</v>
      </c>
      <c r="E31" s="6" t="s">
        <v>618</v>
      </c>
      <c r="F31" s="5" t="s">
        <v>636</v>
      </c>
    </row>
    <row r="32" spans="1:6" ht="26.4" x14ac:dyDescent="0.3">
      <c r="A32" s="6">
        <v>128</v>
      </c>
      <c r="B32" s="1" t="s">
        <v>320</v>
      </c>
      <c r="C32" s="5" t="s">
        <v>299</v>
      </c>
      <c r="D32" s="5" t="s">
        <v>635</v>
      </c>
      <c r="E32" s="6" t="s">
        <v>618</v>
      </c>
      <c r="F32" s="5" t="s">
        <v>633</v>
      </c>
    </row>
    <row r="33" spans="1:6" ht="26.4" x14ac:dyDescent="0.3">
      <c r="A33" s="6">
        <v>431</v>
      </c>
      <c r="B33" s="1" t="s">
        <v>323</v>
      </c>
      <c r="C33" s="5" t="s">
        <v>299</v>
      </c>
      <c r="D33" s="5" t="s">
        <v>635</v>
      </c>
      <c r="E33" s="6" t="s">
        <v>618</v>
      </c>
      <c r="F33" s="5" t="s">
        <v>633</v>
      </c>
    </row>
    <row r="34" spans="1:6" ht="26.4" x14ac:dyDescent="0.3">
      <c r="A34" s="6">
        <v>432</v>
      </c>
      <c r="B34" s="1" t="s">
        <v>324</v>
      </c>
      <c r="C34" s="5" t="s">
        <v>299</v>
      </c>
      <c r="D34" s="5" t="s">
        <v>614</v>
      </c>
      <c r="E34" s="6" t="s">
        <v>618</v>
      </c>
      <c r="F34" s="5" t="s">
        <v>633</v>
      </c>
    </row>
    <row r="35" spans="1:6" ht="26.4" x14ac:dyDescent="0.3">
      <c r="A35" s="6">
        <v>484</v>
      </c>
      <c r="B35" s="1" t="s">
        <v>325</v>
      </c>
      <c r="C35" s="5" t="s">
        <v>299</v>
      </c>
      <c r="D35" s="5" t="s">
        <v>635</v>
      </c>
      <c r="E35" s="6" t="s">
        <v>618</v>
      </c>
      <c r="F35" s="5" t="s">
        <v>633</v>
      </c>
    </row>
    <row r="36" spans="1:6" ht="26.4" x14ac:dyDescent="0.3">
      <c r="A36" s="6">
        <v>283</v>
      </c>
      <c r="B36" s="1" t="s">
        <v>370</v>
      </c>
      <c r="C36" s="5" t="s">
        <v>365</v>
      </c>
      <c r="D36" s="5" t="s">
        <v>605</v>
      </c>
      <c r="E36" s="6" t="s">
        <v>618</v>
      </c>
      <c r="F36" s="5" t="s">
        <v>637</v>
      </c>
    </row>
    <row r="37" spans="1:6" ht="26.4" x14ac:dyDescent="0.3">
      <c r="A37" s="6">
        <v>556</v>
      </c>
      <c r="B37" s="1" t="s">
        <v>357</v>
      </c>
      <c r="C37" s="5" t="s">
        <v>341</v>
      </c>
      <c r="D37" s="5" t="s">
        <v>605</v>
      </c>
      <c r="E37" s="6" t="s">
        <v>618</v>
      </c>
      <c r="F37" s="5" t="s">
        <v>638</v>
      </c>
    </row>
    <row r="38" spans="1:6" ht="26.4" x14ac:dyDescent="0.3">
      <c r="A38" s="6">
        <v>476</v>
      </c>
      <c r="B38" s="1" t="s">
        <v>437</v>
      </c>
      <c r="C38" s="5" t="s">
        <v>435</v>
      </c>
      <c r="D38" s="5" t="s">
        <v>605</v>
      </c>
      <c r="E38" s="6" t="s">
        <v>618</v>
      </c>
      <c r="F38" s="5" t="s">
        <v>639</v>
      </c>
    </row>
    <row r="39" spans="1:6" ht="26.4" x14ac:dyDescent="0.3">
      <c r="A39" s="6">
        <v>522</v>
      </c>
      <c r="B39" s="1" t="s">
        <v>441</v>
      </c>
      <c r="C39" s="5" t="s">
        <v>435</v>
      </c>
      <c r="D39" s="5" t="s">
        <v>605</v>
      </c>
      <c r="E39" s="6" t="s">
        <v>618</v>
      </c>
      <c r="F39" s="5" t="s">
        <v>639</v>
      </c>
    </row>
    <row r="40" spans="1:6" ht="39.6" x14ac:dyDescent="0.3">
      <c r="A40" s="6">
        <v>147</v>
      </c>
      <c r="B40" s="1" t="s">
        <v>455</v>
      </c>
      <c r="C40" s="5" t="s">
        <v>451</v>
      </c>
      <c r="D40" s="5" t="s">
        <v>621</v>
      </c>
      <c r="E40" s="6" t="s">
        <v>618</v>
      </c>
      <c r="F40" s="5" t="s">
        <v>640</v>
      </c>
    </row>
    <row r="41" spans="1:6" ht="39.6" x14ac:dyDescent="0.3">
      <c r="A41" s="6">
        <v>635</v>
      </c>
      <c r="B41" s="1" t="s">
        <v>457</v>
      </c>
      <c r="C41" s="5" t="s">
        <v>451</v>
      </c>
      <c r="D41" s="5" t="s">
        <v>621</v>
      </c>
      <c r="E41" s="6" t="s">
        <v>618</v>
      </c>
      <c r="F41" s="5" t="s">
        <v>641</v>
      </c>
    </row>
    <row r="42" spans="1:6" ht="26.4" x14ac:dyDescent="0.3">
      <c r="A42" s="6">
        <v>557</v>
      </c>
      <c r="B42" s="1" t="s">
        <v>535</v>
      </c>
      <c r="C42" s="5" t="s">
        <v>519</v>
      </c>
      <c r="D42" s="5" t="s">
        <v>626</v>
      </c>
      <c r="E42" s="6" t="s">
        <v>618</v>
      </c>
      <c r="F42" s="5" t="s">
        <v>642</v>
      </c>
    </row>
    <row r="43" spans="1:6" ht="26.4" x14ac:dyDescent="0.3">
      <c r="A43" s="6">
        <v>358</v>
      </c>
      <c r="B43" s="1" t="s">
        <v>553</v>
      </c>
      <c r="C43" s="5" t="s">
        <v>554</v>
      </c>
      <c r="D43" s="5" t="s">
        <v>643</v>
      </c>
      <c r="E43" s="6" t="s">
        <v>618</v>
      </c>
      <c r="F43" s="5" t="s">
        <v>644</v>
      </c>
    </row>
    <row r="44" spans="1:6" x14ac:dyDescent="0.3">
      <c r="A44" s="6">
        <v>581</v>
      </c>
      <c r="B44" s="1" t="s">
        <v>568</v>
      </c>
      <c r="C44" s="5" t="s">
        <v>565</v>
      </c>
      <c r="D44" s="5" t="s">
        <v>605</v>
      </c>
      <c r="E44" s="6" t="s">
        <v>618</v>
      </c>
      <c r="F44" s="5" t="s">
        <v>645</v>
      </c>
    </row>
    <row r="45" spans="1:6" ht="26.4" x14ac:dyDescent="0.3">
      <c r="A45" s="6">
        <v>303</v>
      </c>
      <c r="B45" s="1" t="s">
        <v>576</v>
      </c>
      <c r="C45" s="5" t="s">
        <v>577</v>
      </c>
      <c r="D45" s="5" t="s">
        <v>608</v>
      </c>
      <c r="E45" s="6" t="s">
        <v>618</v>
      </c>
      <c r="F45" s="5" t="s">
        <v>646</v>
      </c>
    </row>
    <row r="46" spans="1:6" ht="26.4" x14ac:dyDescent="0.3">
      <c r="A46" s="6">
        <v>304</v>
      </c>
      <c r="B46" s="1" t="s">
        <v>579</v>
      </c>
      <c r="C46" s="5" t="s">
        <v>577</v>
      </c>
      <c r="D46" s="5" t="s">
        <v>608</v>
      </c>
      <c r="E46" s="6" t="s">
        <v>618</v>
      </c>
      <c r="F46" s="5" t="s">
        <v>647</v>
      </c>
    </row>
    <row r="47" spans="1:6" ht="39.6" x14ac:dyDescent="0.3">
      <c r="A47" s="6">
        <v>533</v>
      </c>
      <c r="B47" s="1" t="s">
        <v>591</v>
      </c>
      <c r="C47" s="5" t="s">
        <v>587</v>
      </c>
      <c r="D47" s="5" t="s">
        <v>648</v>
      </c>
      <c r="E47" s="6" t="s">
        <v>618</v>
      </c>
      <c r="F47" s="5" t="s">
        <v>649</v>
      </c>
    </row>
    <row r="48" spans="1:6" ht="26.4" x14ac:dyDescent="0.3">
      <c r="A48" s="6">
        <v>534</v>
      </c>
      <c r="B48" s="1" t="s">
        <v>592</v>
      </c>
      <c r="C48" s="5" t="s">
        <v>587</v>
      </c>
      <c r="D48" s="5" t="s">
        <v>650</v>
      </c>
      <c r="E48" s="6" t="s">
        <v>618</v>
      </c>
      <c r="F48" s="5" t="s">
        <v>649</v>
      </c>
    </row>
    <row r="49" spans="1:6" ht="39.6" x14ac:dyDescent="0.3">
      <c r="A49" s="6">
        <v>535</v>
      </c>
      <c r="B49" s="1" t="s">
        <v>594</v>
      </c>
      <c r="C49" s="5" t="s">
        <v>587</v>
      </c>
      <c r="D49" s="5" t="s">
        <v>648</v>
      </c>
      <c r="E49" s="6" t="s">
        <v>618</v>
      </c>
      <c r="F49" s="5" t="s">
        <v>649</v>
      </c>
    </row>
    <row r="50" spans="1:6" ht="26.4" x14ac:dyDescent="0.3">
      <c r="A50" s="6">
        <v>536</v>
      </c>
      <c r="B50" s="1" t="s">
        <v>596</v>
      </c>
      <c r="C50" s="5" t="s">
        <v>587</v>
      </c>
      <c r="D50" s="5" t="s">
        <v>648</v>
      </c>
      <c r="E50" s="6" t="s">
        <v>618</v>
      </c>
      <c r="F50" s="5" t="s">
        <v>649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71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/>
    </sheetView>
  </sheetViews>
  <sheetFormatPr baseColWidth="10" defaultColWidth="8.6640625" defaultRowHeight="14.4" x14ac:dyDescent="0.3"/>
  <cols>
    <col min="1" max="1" width="6" customWidth="1"/>
    <col min="2" max="2" width="22" customWidth="1"/>
    <col min="3" max="3" width="26" customWidth="1"/>
    <col min="4" max="4" width="9" customWidth="1"/>
    <col min="5" max="5" width="10" customWidth="1"/>
    <col min="6" max="6" width="40" customWidth="1"/>
    <col min="7" max="7" width="13" customWidth="1"/>
    <col min="8" max="8" width="38" customWidth="1"/>
    <col min="9" max="9" width="24" customWidth="1"/>
    <col min="10" max="10" width="12" customWidth="1"/>
    <col min="11" max="11" width="28" customWidth="1"/>
    <col min="12" max="12" width="50" customWidth="1"/>
  </cols>
  <sheetData>
    <row r="1" spans="1:12" ht="39.75" customHeight="1" x14ac:dyDescent="0.3">
      <c r="A1" s="2" t="s">
        <v>651</v>
      </c>
      <c r="B1" s="2" t="s">
        <v>652</v>
      </c>
      <c r="C1" s="2" t="s">
        <v>653</v>
      </c>
      <c r="D1" s="2" t="s">
        <v>654</v>
      </c>
      <c r="E1" s="2" t="s">
        <v>655</v>
      </c>
      <c r="F1" s="2" t="s">
        <v>656</v>
      </c>
      <c r="G1" s="2" t="s">
        <v>657</v>
      </c>
      <c r="H1" s="2" t="s">
        <v>658</v>
      </c>
      <c r="I1" s="2" t="s">
        <v>659</v>
      </c>
      <c r="J1" s="2" t="s">
        <v>660</v>
      </c>
      <c r="K1" s="2" t="s">
        <v>661</v>
      </c>
      <c r="L1" s="2" t="s">
        <v>662</v>
      </c>
    </row>
    <row r="2" spans="1:12" ht="26.4" x14ac:dyDescent="0.3">
      <c r="A2" s="6">
        <v>2</v>
      </c>
      <c r="B2" s="5" t="s">
        <v>663</v>
      </c>
      <c r="C2" s="5" t="s">
        <v>664</v>
      </c>
      <c r="D2" s="6"/>
      <c r="E2" s="6"/>
      <c r="F2" s="1" t="s">
        <v>665</v>
      </c>
      <c r="G2" s="6" t="s">
        <v>304</v>
      </c>
      <c r="H2" s="5"/>
      <c r="I2" s="5" t="s">
        <v>666</v>
      </c>
      <c r="J2" s="6"/>
      <c r="K2" s="5" t="s">
        <v>667</v>
      </c>
      <c r="L2" s="5"/>
    </row>
    <row r="3" spans="1:12" ht="66" x14ac:dyDescent="0.3">
      <c r="A3" s="6">
        <v>3</v>
      </c>
      <c r="B3" s="5" t="s">
        <v>663</v>
      </c>
      <c r="C3" s="5" t="s">
        <v>668</v>
      </c>
      <c r="D3" s="6"/>
      <c r="E3" s="6"/>
      <c r="F3" s="1" t="s">
        <v>669</v>
      </c>
      <c r="G3" s="6" t="s">
        <v>304</v>
      </c>
      <c r="H3" s="5"/>
      <c r="I3" s="5" t="s">
        <v>666</v>
      </c>
      <c r="J3" s="6"/>
      <c r="K3" s="5" t="s">
        <v>667</v>
      </c>
      <c r="L3" s="5"/>
    </row>
    <row r="4" spans="1:12" ht="39.6" x14ac:dyDescent="0.3">
      <c r="A4" s="6">
        <v>4</v>
      </c>
      <c r="B4" s="5" t="s">
        <v>663</v>
      </c>
      <c r="C4" s="5" t="s">
        <v>670</v>
      </c>
      <c r="D4" s="6"/>
      <c r="E4" s="6"/>
      <c r="F4" s="1" t="s">
        <v>671</v>
      </c>
      <c r="G4" s="6" t="s">
        <v>672</v>
      </c>
      <c r="H4" s="5"/>
      <c r="I4" s="5" t="s">
        <v>666</v>
      </c>
      <c r="J4" s="6"/>
      <c r="K4" s="5" t="s">
        <v>667</v>
      </c>
      <c r="L4" s="5"/>
    </row>
    <row r="5" spans="1:12" ht="39.6" x14ac:dyDescent="0.3">
      <c r="A5" s="6">
        <v>5</v>
      </c>
      <c r="B5" s="5" t="s">
        <v>663</v>
      </c>
      <c r="C5" s="5" t="s">
        <v>670</v>
      </c>
      <c r="D5" s="6"/>
      <c r="E5" s="6"/>
      <c r="F5" s="1" t="s">
        <v>673</v>
      </c>
      <c r="G5" s="6" t="s">
        <v>672</v>
      </c>
      <c r="H5" s="5"/>
      <c r="I5" s="5" t="s">
        <v>666</v>
      </c>
      <c r="J5" s="6"/>
      <c r="K5" s="5" t="s">
        <v>667</v>
      </c>
      <c r="L5" s="5"/>
    </row>
    <row r="6" spans="1:12" ht="39.6" x14ac:dyDescent="0.3">
      <c r="A6" s="6">
        <v>6</v>
      </c>
      <c r="B6" s="5" t="s">
        <v>674</v>
      </c>
      <c r="C6" s="5" t="s">
        <v>675</v>
      </c>
      <c r="D6" s="6"/>
      <c r="E6" s="6"/>
      <c r="F6" s="1" t="s">
        <v>676</v>
      </c>
      <c r="G6" s="6" t="s">
        <v>672</v>
      </c>
      <c r="H6" s="5"/>
      <c r="I6" s="5" t="s">
        <v>677</v>
      </c>
      <c r="J6" s="6" t="s">
        <v>678</v>
      </c>
      <c r="K6" s="5" t="s">
        <v>679</v>
      </c>
      <c r="L6" s="5"/>
    </row>
    <row r="7" spans="1:12" ht="39.6" x14ac:dyDescent="0.3">
      <c r="A7" s="6">
        <v>7</v>
      </c>
      <c r="B7" s="5" t="s">
        <v>674</v>
      </c>
      <c r="C7" s="5" t="s">
        <v>680</v>
      </c>
      <c r="D7" s="6">
        <v>527</v>
      </c>
      <c r="E7" s="6">
        <v>527</v>
      </c>
      <c r="F7" s="1" t="s">
        <v>532</v>
      </c>
      <c r="G7" s="6" t="s">
        <v>681</v>
      </c>
      <c r="H7" s="5" t="str">
        <f>IFERROR(INDEX('Indicadores POLISIGS'!$B$2:$B$351,MATCH(E7,'Indicadores POLISIGS'!$A$2:$A$351,0)),"No existe en la lista")</f>
        <v>Participación de Grupos de Interés en la construcción del nuevo plan de desarrollo (PDI)</v>
      </c>
      <c r="I7" s="5" t="s">
        <v>682</v>
      </c>
      <c r="J7" s="6"/>
      <c r="K7" s="5" t="s">
        <v>683</v>
      </c>
      <c r="L7" s="5"/>
    </row>
    <row r="8" spans="1:12" ht="66" x14ac:dyDescent="0.3">
      <c r="A8" s="6">
        <v>8</v>
      </c>
      <c r="B8" s="5" t="s">
        <v>674</v>
      </c>
      <c r="C8" s="5" t="s">
        <v>680</v>
      </c>
      <c r="D8" s="6"/>
      <c r="E8" s="6"/>
      <c r="F8" s="1" t="s">
        <v>684</v>
      </c>
      <c r="G8" s="6" t="s">
        <v>672</v>
      </c>
      <c r="H8" s="5"/>
      <c r="I8" s="5" t="s">
        <v>677</v>
      </c>
      <c r="J8" s="6" t="s">
        <v>685</v>
      </c>
      <c r="K8" s="5" t="s">
        <v>686</v>
      </c>
      <c r="L8" s="5"/>
    </row>
    <row r="9" spans="1:12" ht="39.6" x14ac:dyDescent="0.3">
      <c r="A9" s="6">
        <v>9</v>
      </c>
      <c r="B9" s="5" t="s">
        <v>674</v>
      </c>
      <c r="C9" s="5" t="s">
        <v>687</v>
      </c>
      <c r="D9" s="6">
        <v>528</v>
      </c>
      <c r="E9" s="6">
        <v>528</v>
      </c>
      <c r="F9" s="1" t="s">
        <v>688</v>
      </c>
      <c r="G9" s="6" t="s">
        <v>681</v>
      </c>
      <c r="H9" s="5" t="str">
        <f>IFERROR(INDEX('Indicadores POLISIGS'!$B$2:$B$351,MATCH(E9,'Indicadores POLISIGS'!$A$2:$A$351,0)),"No existe en la lista")</f>
        <v>Participación de la comunidad en la jornada de Balance Institucional</v>
      </c>
      <c r="I9" s="5" t="s">
        <v>682</v>
      </c>
      <c r="J9" s="6"/>
      <c r="K9" s="5" t="s">
        <v>683</v>
      </c>
      <c r="L9" s="5"/>
    </row>
    <row r="10" spans="1:12" ht="39.6" x14ac:dyDescent="0.3">
      <c r="A10" s="6">
        <v>10</v>
      </c>
      <c r="B10" s="5" t="s">
        <v>674</v>
      </c>
      <c r="C10" s="5" t="s">
        <v>687</v>
      </c>
      <c r="D10" s="6"/>
      <c r="E10" s="6"/>
      <c r="F10" s="1" t="s">
        <v>689</v>
      </c>
      <c r="G10" s="6" t="s">
        <v>672</v>
      </c>
      <c r="H10" s="5"/>
      <c r="I10" s="5" t="s">
        <v>666</v>
      </c>
      <c r="J10" s="6"/>
      <c r="K10" s="5" t="s">
        <v>667</v>
      </c>
      <c r="L10" s="5"/>
    </row>
    <row r="11" spans="1:12" ht="39.6" x14ac:dyDescent="0.3">
      <c r="A11" s="6">
        <v>11</v>
      </c>
      <c r="B11" s="5" t="s">
        <v>674</v>
      </c>
      <c r="C11" s="5" t="s">
        <v>687</v>
      </c>
      <c r="D11" s="6"/>
      <c r="E11" s="6"/>
      <c r="F11" s="1" t="s">
        <v>690</v>
      </c>
      <c r="G11" s="6" t="s">
        <v>672</v>
      </c>
      <c r="H11" s="5"/>
      <c r="I11" s="5" t="s">
        <v>666</v>
      </c>
      <c r="J11" s="6"/>
      <c r="K11" s="5" t="s">
        <v>667</v>
      </c>
      <c r="L11" s="5"/>
    </row>
    <row r="12" spans="1:12" ht="39.6" x14ac:dyDescent="0.3">
      <c r="A12" s="6">
        <v>12</v>
      </c>
      <c r="B12" s="5" t="s">
        <v>691</v>
      </c>
      <c r="C12" s="5" t="s">
        <v>692</v>
      </c>
      <c r="D12" s="6">
        <v>456</v>
      </c>
      <c r="E12" s="6">
        <v>456</v>
      </c>
      <c r="F12" s="1" t="s">
        <v>693</v>
      </c>
      <c r="G12" s="6" t="s">
        <v>681</v>
      </c>
      <c r="H12" s="5" t="str">
        <f>IFERROR(INDEX('Indicadores POLISIGS'!$B$2:$B$351,MATCH(E12,'Indicadores POLISIGS'!$A$2:$A$351,0)),"No existe en la lista")</f>
        <v>Impacto de campañas de Mailing</v>
      </c>
      <c r="I12" s="5" t="s">
        <v>682</v>
      </c>
      <c r="J12" s="6"/>
      <c r="K12" s="5" t="s">
        <v>683</v>
      </c>
      <c r="L12" s="5"/>
    </row>
    <row r="13" spans="1:12" ht="39.6" x14ac:dyDescent="0.3">
      <c r="A13" s="6">
        <v>13</v>
      </c>
      <c r="B13" s="5" t="s">
        <v>691</v>
      </c>
      <c r="C13" s="5" t="s">
        <v>692</v>
      </c>
      <c r="D13" s="6">
        <v>457</v>
      </c>
      <c r="E13" s="6">
        <v>457</v>
      </c>
      <c r="F13" s="1" t="s">
        <v>694</v>
      </c>
      <c r="G13" s="6" t="s">
        <v>681</v>
      </c>
      <c r="H13" s="5" t="str">
        <f>IFERROR(INDEX('Indicadores POLISIGS'!$B$2:$B$351,MATCH(E13,'Indicadores POLISIGS'!$A$2:$A$351,0)),"No existe en la lista")</f>
        <v>Apertura de enlaces en mensajes de texto</v>
      </c>
      <c r="I13" s="5" t="s">
        <v>682</v>
      </c>
      <c r="J13" s="6"/>
      <c r="K13" s="5" t="s">
        <v>683</v>
      </c>
      <c r="L13" s="5"/>
    </row>
    <row r="14" spans="1:12" ht="39.6" x14ac:dyDescent="0.3">
      <c r="A14" s="6">
        <v>14</v>
      </c>
      <c r="B14" s="5" t="s">
        <v>691</v>
      </c>
      <c r="C14" s="5" t="s">
        <v>692</v>
      </c>
      <c r="D14" s="6">
        <v>524</v>
      </c>
      <c r="E14" s="6">
        <v>524</v>
      </c>
      <c r="F14" s="1" t="s">
        <v>480</v>
      </c>
      <c r="G14" s="6" t="s">
        <v>681</v>
      </c>
      <c r="H14" s="5" t="str">
        <f>IFERROR(INDEX('Indicadores POLISIGS'!$B$2:$B$351,MATCH(E14,'Indicadores POLISIGS'!$A$2:$A$351,0)),"No existe en la lista")</f>
        <v>Total Leads por canales de captación</v>
      </c>
      <c r="I14" s="5" t="s">
        <v>682</v>
      </c>
      <c r="J14" s="6"/>
      <c r="K14" s="5" t="s">
        <v>683</v>
      </c>
      <c r="L14" s="5"/>
    </row>
    <row r="15" spans="1:12" ht="39.6" x14ac:dyDescent="0.3">
      <c r="A15" s="6">
        <v>15</v>
      </c>
      <c r="B15" s="5" t="s">
        <v>691</v>
      </c>
      <c r="C15" s="5" t="s">
        <v>695</v>
      </c>
      <c r="D15" s="6">
        <v>626</v>
      </c>
      <c r="E15" s="6">
        <v>626</v>
      </c>
      <c r="F15" s="1" t="s">
        <v>696</v>
      </c>
      <c r="G15" s="6" t="s">
        <v>681</v>
      </c>
      <c r="H15" s="5" t="str">
        <f>IFERROR(INDEX('Indicadores POLISIGS'!$B$2:$B$351,MATCH(E15,'Indicadores POLISIGS'!$A$2:$A$351,0)),"No existe en la lista")</f>
        <v>Consulta de Experiencias de Aprendizaje CREA</v>
      </c>
      <c r="I15" s="5" t="s">
        <v>682</v>
      </c>
      <c r="J15" s="6"/>
      <c r="K15" s="5" t="s">
        <v>683</v>
      </c>
      <c r="L15" s="5"/>
    </row>
    <row r="16" spans="1:12" ht="39.6" x14ac:dyDescent="0.3">
      <c r="A16" s="6">
        <v>16</v>
      </c>
      <c r="B16" s="5" t="s">
        <v>691</v>
      </c>
      <c r="C16" s="5" t="s">
        <v>695</v>
      </c>
      <c r="D16" s="6"/>
      <c r="E16" s="6"/>
      <c r="F16" s="1" t="s">
        <v>697</v>
      </c>
      <c r="G16" s="6"/>
      <c r="H16" s="5"/>
      <c r="I16" s="5" t="s">
        <v>677</v>
      </c>
      <c r="J16" s="6" t="s">
        <v>698</v>
      </c>
      <c r="K16" s="5" t="s">
        <v>699</v>
      </c>
      <c r="L16" s="5"/>
    </row>
    <row r="17" spans="1:12" ht="39.6" x14ac:dyDescent="0.3">
      <c r="A17" s="6">
        <v>17</v>
      </c>
      <c r="B17" s="5" t="s">
        <v>691</v>
      </c>
      <c r="C17" s="5" t="s">
        <v>695</v>
      </c>
      <c r="D17" s="6">
        <v>109</v>
      </c>
      <c r="E17" s="9">
        <v>632</v>
      </c>
      <c r="F17" s="1" t="s">
        <v>700</v>
      </c>
      <c r="G17" s="6" t="s">
        <v>681</v>
      </c>
      <c r="H17" s="5" t="str">
        <f>IFERROR(INDEX('Indicadores POLISIGS'!$B$2:$B$351,MATCH(E17,'Indicadores POLISIGS'!$A$2:$A$351,0)),"No existe en la lista")</f>
        <v>Nivel de Satisfacción Servicios Prestados - Comunicaciones Internas</v>
      </c>
      <c r="I17" s="5" t="s">
        <v>701</v>
      </c>
      <c r="J17" s="6"/>
      <c r="K17" s="5" t="s">
        <v>683</v>
      </c>
      <c r="L17" s="5" t="s">
        <v>702</v>
      </c>
    </row>
    <row r="18" spans="1:12" ht="39.6" x14ac:dyDescent="0.3">
      <c r="A18" s="6">
        <v>18</v>
      </c>
      <c r="B18" s="5" t="s">
        <v>691</v>
      </c>
      <c r="C18" s="5" t="s">
        <v>703</v>
      </c>
      <c r="D18" s="6"/>
      <c r="E18" s="6"/>
      <c r="F18" s="1" t="s">
        <v>704</v>
      </c>
      <c r="G18" s="6" t="s">
        <v>672</v>
      </c>
      <c r="H18" s="5"/>
      <c r="I18" s="5" t="s">
        <v>677</v>
      </c>
      <c r="J18" s="6" t="s">
        <v>705</v>
      </c>
      <c r="K18" s="5" t="s">
        <v>686</v>
      </c>
      <c r="L18" s="5"/>
    </row>
    <row r="19" spans="1:12" ht="39.6" x14ac:dyDescent="0.3">
      <c r="A19" s="6">
        <v>19</v>
      </c>
      <c r="B19" s="5" t="s">
        <v>691</v>
      </c>
      <c r="C19" s="5" t="s">
        <v>703</v>
      </c>
      <c r="D19" s="6"/>
      <c r="E19" s="6"/>
      <c r="F19" s="1" t="s">
        <v>706</v>
      </c>
      <c r="G19" s="6" t="s">
        <v>672</v>
      </c>
      <c r="H19" s="5"/>
      <c r="I19" s="5" t="s">
        <v>666</v>
      </c>
      <c r="J19" s="6"/>
      <c r="K19" s="5" t="s">
        <v>667</v>
      </c>
      <c r="L19" s="5"/>
    </row>
    <row r="20" spans="1:12" ht="39.6" x14ac:dyDescent="0.3">
      <c r="A20" s="6">
        <v>20</v>
      </c>
      <c r="B20" s="5" t="s">
        <v>707</v>
      </c>
      <c r="C20" s="5" t="s">
        <v>708</v>
      </c>
      <c r="D20" s="6"/>
      <c r="E20" s="6"/>
      <c r="F20" s="1" t="s">
        <v>709</v>
      </c>
      <c r="G20" s="6" t="s">
        <v>672</v>
      </c>
      <c r="H20" s="5"/>
      <c r="I20" s="5" t="s">
        <v>677</v>
      </c>
      <c r="J20" s="6" t="s">
        <v>710</v>
      </c>
      <c r="K20" s="5" t="s">
        <v>711</v>
      </c>
      <c r="L20" s="5"/>
    </row>
    <row r="21" spans="1:12" ht="39.6" x14ac:dyDescent="0.3">
      <c r="A21" s="6">
        <v>21</v>
      </c>
      <c r="B21" s="5" t="s">
        <v>707</v>
      </c>
      <c r="C21" s="5" t="s">
        <v>712</v>
      </c>
      <c r="D21" s="6"/>
      <c r="E21" s="6"/>
      <c r="F21" s="1" t="s">
        <v>713</v>
      </c>
      <c r="G21" s="6" t="s">
        <v>714</v>
      </c>
      <c r="H21" s="5"/>
      <c r="I21" s="5" t="s">
        <v>677</v>
      </c>
      <c r="J21" s="6" t="s">
        <v>715</v>
      </c>
      <c r="K21" s="5" t="s">
        <v>716</v>
      </c>
      <c r="L21" s="5"/>
    </row>
    <row r="22" spans="1:12" ht="39.6" x14ac:dyDescent="0.3">
      <c r="A22" s="6">
        <v>22</v>
      </c>
      <c r="B22" s="5" t="s">
        <v>707</v>
      </c>
      <c r="C22" s="5" t="s">
        <v>717</v>
      </c>
      <c r="D22" s="6"/>
      <c r="E22" s="6"/>
      <c r="F22" s="1" t="s">
        <v>85</v>
      </c>
      <c r="G22" s="6" t="s">
        <v>672</v>
      </c>
      <c r="H22" s="5"/>
      <c r="I22" s="5" t="s">
        <v>677</v>
      </c>
      <c r="J22" s="6" t="s">
        <v>718</v>
      </c>
      <c r="K22" s="5" t="s">
        <v>719</v>
      </c>
      <c r="L22" s="5"/>
    </row>
    <row r="23" spans="1:12" ht="39.6" x14ac:dyDescent="0.3">
      <c r="A23" s="6">
        <v>23</v>
      </c>
      <c r="B23" s="5" t="s">
        <v>707</v>
      </c>
      <c r="C23" s="5" t="s">
        <v>717</v>
      </c>
      <c r="D23" s="6">
        <v>339</v>
      </c>
      <c r="E23" s="6">
        <v>339</v>
      </c>
      <c r="F23" s="1" t="s">
        <v>720</v>
      </c>
      <c r="G23" s="6" t="s">
        <v>681</v>
      </c>
      <c r="H23" s="5" t="str">
        <f>IFERROR(INDEX('Indicadores POLISIGS'!$B$2:$B$351,MATCH(E23,'Indicadores POLISIGS'!$A$2:$A$351,0)),"No existe en la lista")</f>
        <v>Programas acreditables acreditados Sede Bogotá</v>
      </c>
      <c r="I23" s="5" t="s">
        <v>682</v>
      </c>
      <c r="J23" s="6"/>
      <c r="K23" s="5" t="s">
        <v>683</v>
      </c>
      <c r="L23" s="5"/>
    </row>
    <row r="24" spans="1:12" ht="39.6" x14ac:dyDescent="0.3">
      <c r="A24" s="6">
        <v>24</v>
      </c>
      <c r="B24" s="5" t="s">
        <v>707</v>
      </c>
      <c r="C24" s="5" t="s">
        <v>721</v>
      </c>
      <c r="D24" s="6">
        <v>334</v>
      </c>
      <c r="E24" s="6">
        <v>334</v>
      </c>
      <c r="F24" s="1" t="s">
        <v>722</v>
      </c>
      <c r="G24" s="6" t="s">
        <v>723</v>
      </c>
      <c r="H24" s="5" t="str">
        <f>IFERROR(INDEX('Indicadores POLISIGS'!$B$2:$B$351,MATCH(E24,'Indicadores POLISIGS'!$A$2:$A$351,0)),"No existe en la lista")</f>
        <v>Resultado de la evaluación 360 (evaluación por competencias)</v>
      </c>
      <c r="I24" s="5" t="s">
        <v>682</v>
      </c>
      <c r="J24" s="6"/>
      <c r="K24" s="5" t="s">
        <v>683</v>
      </c>
      <c r="L24" s="5"/>
    </row>
    <row r="25" spans="1:12" ht="39.6" x14ac:dyDescent="0.3">
      <c r="A25" s="6">
        <v>25</v>
      </c>
      <c r="B25" s="5" t="s">
        <v>707</v>
      </c>
      <c r="C25" s="5" t="s">
        <v>721</v>
      </c>
      <c r="D25" s="6">
        <v>283</v>
      </c>
      <c r="E25" s="6">
        <v>283</v>
      </c>
      <c r="F25" s="1" t="s">
        <v>370</v>
      </c>
      <c r="G25" s="6" t="s">
        <v>681</v>
      </c>
      <c r="H25" s="5" t="str">
        <f>IFERROR(INDEX('Indicadores POLISIGS'!$B$2:$B$351,MATCH(E25,'Indicadores POLISIGS'!$A$2:$A$351,0)),"No existe en la lista")</f>
        <v>Resultados de evaluación de desempeño docente 360°</v>
      </c>
      <c r="I25" s="5" t="s">
        <v>682</v>
      </c>
      <c r="J25" s="6"/>
      <c r="K25" s="5" t="s">
        <v>683</v>
      </c>
      <c r="L25" s="5"/>
    </row>
    <row r="26" spans="1:12" ht="66" x14ac:dyDescent="0.3">
      <c r="A26" s="6">
        <v>26</v>
      </c>
      <c r="B26" s="5" t="s">
        <v>724</v>
      </c>
      <c r="C26" s="5" t="s">
        <v>725</v>
      </c>
      <c r="D26" s="6"/>
      <c r="E26" s="6"/>
      <c r="F26" s="1" t="s">
        <v>726</v>
      </c>
      <c r="G26" s="6" t="s">
        <v>672</v>
      </c>
      <c r="H26" s="5"/>
      <c r="I26" s="5" t="s">
        <v>677</v>
      </c>
      <c r="J26" s="6" t="s">
        <v>727</v>
      </c>
      <c r="K26" s="5" t="s">
        <v>686</v>
      </c>
      <c r="L26" s="5"/>
    </row>
    <row r="27" spans="1:12" ht="26.4" x14ac:dyDescent="0.3">
      <c r="A27" s="6">
        <v>27</v>
      </c>
      <c r="B27" s="5" t="s">
        <v>724</v>
      </c>
      <c r="C27" s="5" t="s">
        <v>725</v>
      </c>
      <c r="D27" s="6"/>
      <c r="E27" s="6"/>
      <c r="F27" s="1" t="s">
        <v>728</v>
      </c>
      <c r="G27" s="6"/>
      <c r="H27" s="5"/>
      <c r="I27" s="5" t="s">
        <v>677</v>
      </c>
      <c r="J27" s="6" t="s">
        <v>729</v>
      </c>
      <c r="K27" s="5" t="s">
        <v>686</v>
      </c>
      <c r="L27" s="5"/>
    </row>
    <row r="28" spans="1:12" ht="26.4" x14ac:dyDescent="0.3">
      <c r="A28" s="6">
        <v>28</v>
      </c>
      <c r="B28" s="5" t="s">
        <v>724</v>
      </c>
      <c r="C28" s="5" t="s">
        <v>725</v>
      </c>
      <c r="D28" s="6"/>
      <c r="E28" s="6"/>
      <c r="F28" s="1" t="s">
        <v>730</v>
      </c>
      <c r="G28" s="6" t="s">
        <v>672</v>
      </c>
      <c r="H28" s="5"/>
      <c r="I28" s="5" t="s">
        <v>666</v>
      </c>
      <c r="J28" s="6"/>
      <c r="K28" s="5" t="s">
        <v>667</v>
      </c>
      <c r="L28" s="5"/>
    </row>
    <row r="29" spans="1:12" ht="39.6" x14ac:dyDescent="0.3">
      <c r="A29" s="6">
        <v>29</v>
      </c>
      <c r="B29" s="5" t="s">
        <v>724</v>
      </c>
      <c r="C29" s="5" t="s">
        <v>731</v>
      </c>
      <c r="D29" s="6"/>
      <c r="E29" s="6"/>
      <c r="F29" s="1" t="s">
        <v>732</v>
      </c>
      <c r="G29" s="6" t="s">
        <v>672</v>
      </c>
      <c r="H29" s="5"/>
      <c r="I29" s="5" t="s">
        <v>677</v>
      </c>
      <c r="J29" s="6" t="s">
        <v>733</v>
      </c>
      <c r="K29" s="5" t="s">
        <v>686</v>
      </c>
      <c r="L29" s="5"/>
    </row>
    <row r="30" spans="1:12" ht="52.8" x14ac:dyDescent="0.3">
      <c r="A30" s="6">
        <v>30</v>
      </c>
      <c r="B30" s="5" t="s">
        <v>724</v>
      </c>
      <c r="C30" s="5" t="s">
        <v>734</v>
      </c>
      <c r="D30" s="6">
        <v>325</v>
      </c>
      <c r="E30" s="6">
        <v>325</v>
      </c>
      <c r="F30" s="1" t="s">
        <v>735</v>
      </c>
      <c r="G30" s="6" t="s">
        <v>681</v>
      </c>
      <c r="H30" s="5" t="str">
        <f>IFERROR(INDEX('Indicadores POLISIGS'!$B$2:$B$351,MATCH(E30,'Indicadores POLISIGS'!$A$2:$A$351,0)),"No existe en la lista")</f>
        <v>Número de programas nuevos con registro calificado aprobado - Metrica</v>
      </c>
      <c r="I30" s="5" t="s">
        <v>682</v>
      </c>
      <c r="J30" s="6"/>
      <c r="K30" s="5" t="s">
        <v>683</v>
      </c>
      <c r="L30" s="5"/>
    </row>
    <row r="31" spans="1:12" ht="52.8" x14ac:dyDescent="0.3">
      <c r="A31" s="6">
        <v>31</v>
      </c>
      <c r="B31" s="5" t="s">
        <v>724</v>
      </c>
      <c r="C31" s="5" t="s">
        <v>734</v>
      </c>
      <c r="D31" s="6">
        <v>323</v>
      </c>
      <c r="E31" s="6">
        <v>323</v>
      </c>
      <c r="F31" s="1" t="s">
        <v>736</v>
      </c>
      <c r="G31" s="6" t="s">
        <v>681</v>
      </c>
      <c r="H31" s="5" t="str">
        <f>IFERROR(INDEX('Indicadores POLISIGS'!$B$2:$B$351,MATCH(E31,'Indicadores POLISIGS'!$A$2:$A$351,0)),"No existe en la lista")</f>
        <v>Número de programas con renovación de registro calificado</v>
      </c>
      <c r="I31" s="5" t="s">
        <v>682</v>
      </c>
      <c r="J31" s="6"/>
      <c r="K31" s="5" t="s">
        <v>683</v>
      </c>
      <c r="L31" s="5"/>
    </row>
    <row r="32" spans="1:12" ht="52.8" x14ac:dyDescent="0.3">
      <c r="A32" s="6">
        <v>32</v>
      </c>
      <c r="B32" s="5" t="s">
        <v>737</v>
      </c>
      <c r="C32" s="5" t="s">
        <v>738</v>
      </c>
      <c r="D32" s="6">
        <v>148</v>
      </c>
      <c r="E32" s="6">
        <v>148</v>
      </c>
      <c r="F32" s="1" t="s">
        <v>739</v>
      </c>
      <c r="G32" s="6" t="s">
        <v>681</v>
      </c>
      <c r="H32" s="5" t="str">
        <f>IFERROR(INDEX('Indicadores POLISIGS'!$B$2:$B$351,MATCH(E32,'Indicadores POLISIGS'!$A$2:$A$351,0)),"No existe en la lista")</f>
        <v>Estudiantes vinculados a investigación</v>
      </c>
      <c r="I32" s="5" t="s">
        <v>682</v>
      </c>
      <c r="J32" s="6"/>
      <c r="K32" s="5" t="s">
        <v>683</v>
      </c>
      <c r="L32" s="5"/>
    </row>
    <row r="33" spans="1:12" ht="52.8" x14ac:dyDescent="0.3">
      <c r="A33" s="6">
        <v>33</v>
      </c>
      <c r="B33" s="5" t="s">
        <v>737</v>
      </c>
      <c r="C33" s="5" t="s">
        <v>740</v>
      </c>
      <c r="D33" s="6">
        <v>635</v>
      </c>
      <c r="E33" s="6">
        <v>635</v>
      </c>
      <c r="F33" s="1" t="s">
        <v>741</v>
      </c>
      <c r="G33" s="6" t="s">
        <v>672</v>
      </c>
      <c r="H33" s="5" t="str">
        <f>IFERROR(INDEX('Indicadores POLISIGS'!$B$2:$B$351,MATCH(E33,'Indicadores POLISIGS'!$A$2:$A$351,0)),"No existe en la lista")</f>
        <v>% de grupos de investigación clasificados en A1, A y B</v>
      </c>
      <c r="I33" s="5" t="s">
        <v>682</v>
      </c>
      <c r="J33" s="6"/>
      <c r="K33" s="5" t="s">
        <v>683</v>
      </c>
      <c r="L33" s="5"/>
    </row>
    <row r="34" spans="1:12" ht="52.8" x14ac:dyDescent="0.3">
      <c r="A34" s="6">
        <v>34</v>
      </c>
      <c r="B34" s="5" t="s">
        <v>737</v>
      </c>
      <c r="C34" s="5" t="s">
        <v>740</v>
      </c>
      <c r="D34" s="6"/>
      <c r="E34" s="6"/>
      <c r="F34" s="1" t="s">
        <v>742</v>
      </c>
      <c r="G34" s="6" t="s">
        <v>672</v>
      </c>
      <c r="H34" s="5"/>
      <c r="I34" s="5" t="s">
        <v>677</v>
      </c>
      <c r="J34" s="6" t="s">
        <v>743</v>
      </c>
      <c r="K34" s="5" t="s">
        <v>686</v>
      </c>
      <c r="L34" s="5"/>
    </row>
    <row r="35" spans="1:12" ht="66" x14ac:dyDescent="0.3">
      <c r="A35" s="6">
        <v>35</v>
      </c>
      <c r="B35" s="5" t="s">
        <v>737</v>
      </c>
      <c r="C35" s="5" t="s">
        <v>740</v>
      </c>
      <c r="D35" s="6"/>
      <c r="E35" s="6"/>
      <c r="F35" s="1" t="s">
        <v>744</v>
      </c>
      <c r="G35" s="6" t="s">
        <v>672</v>
      </c>
      <c r="H35" s="5"/>
      <c r="I35" s="5" t="s">
        <v>677</v>
      </c>
      <c r="J35" s="6" t="s">
        <v>745</v>
      </c>
      <c r="K35" s="5" t="s">
        <v>686</v>
      </c>
      <c r="L35" s="5"/>
    </row>
    <row r="36" spans="1:12" ht="52.8" x14ac:dyDescent="0.3">
      <c r="A36" s="6">
        <v>36</v>
      </c>
      <c r="B36" s="5" t="s">
        <v>737</v>
      </c>
      <c r="C36" s="5" t="s">
        <v>740</v>
      </c>
      <c r="D36" s="6"/>
      <c r="E36" s="6"/>
      <c r="F36" s="1" t="s">
        <v>746</v>
      </c>
      <c r="G36" s="6" t="s">
        <v>672</v>
      </c>
      <c r="H36" s="5"/>
      <c r="I36" s="5" t="s">
        <v>677</v>
      </c>
      <c r="J36" s="6" t="s">
        <v>747</v>
      </c>
      <c r="K36" s="5" t="s">
        <v>686</v>
      </c>
      <c r="L36" s="5"/>
    </row>
    <row r="37" spans="1:12" ht="26.4" x14ac:dyDescent="0.3">
      <c r="A37" s="6">
        <v>37</v>
      </c>
      <c r="B37" s="5" t="s">
        <v>748</v>
      </c>
      <c r="C37" s="5" t="s">
        <v>749</v>
      </c>
      <c r="D37" s="6"/>
      <c r="E37" s="6"/>
      <c r="F37" s="1" t="s">
        <v>750</v>
      </c>
      <c r="G37" s="6" t="s">
        <v>672</v>
      </c>
      <c r="H37" s="5"/>
      <c r="I37" s="5" t="s">
        <v>666</v>
      </c>
      <c r="J37" s="6"/>
      <c r="K37" s="5" t="s">
        <v>667</v>
      </c>
      <c r="L37" s="5"/>
    </row>
    <row r="38" spans="1:12" ht="66" x14ac:dyDescent="0.3">
      <c r="A38" s="6">
        <v>38</v>
      </c>
      <c r="B38" s="5" t="s">
        <v>748</v>
      </c>
      <c r="C38" s="5" t="s">
        <v>749</v>
      </c>
      <c r="D38" s="6"/>
      <c r="E38" s="6"/>
      <c r="F38" s="1" t="s">
        <v>751</v>
      </c>
      <c r="G38" s="6" t="s">
        <v>672</v>
      </c>
      <c r="H38" s="5"/>
      <c r="I38" s="5" t="s">
        <v>677</v>
      </c>
      <c r="J38" s="6" t="s">
        <v>752</v>
      </c>
      <c r="K38" s="5" t="s">
        <v>686</v>
      </c>
      <c r="L38" s="5"/>
    </row>
    <row r="39" spans="1:12" ht="52.8" x14ac:dyDescent="0.3">
      <c r="A39" s="6">
        <v>39</v>
      </c>
      <c r="B39" s="5" t="s">
        <v>753</v>
      </c>
      <c r="C39" s="5" t="s">
        <v>754</v>
      </c>
      <c r="D39" s="6">
        <v>318</v>
      </c>
      <c r="E39" s="6">
        <v>318</v>
      </c>
      <c r="F39" s="1" t="s">
        <v>586</v>
      </c>
      <c r="G39" s="6" t="s">
        <v>304</v>
      </c>
      <c r="H39" s="5" t="str">
        <f>IFERROR(INDEX('Indicadores POLISIGS'!$B$2:$B$351,MATCH(E39,'Indicadores POLISIGS'!$A$2:$A$351,0)),"No existe en la lista")</f>
        <v>Convenios, alianzas activas con actividades en los últimos 5 años</v>
      </c>
      <c r="I39" s="5" t="s">
        <v>682</v>
      </c>
      <c r="J39" s="6"/>
      <c r="K39" s="5" t="s">
        <v>683</v>
      </c>
      <c r="L39" s="5"/>
    </row>
    <row r="40" spans="1:12" ht="52.8" x14ac:dyDescent="0.3">
      <c r="A40" s="6">
        <v>40</v>
      </c>
      <c r="B40" s="5" t="s">
        <v>753</v>
      </c>
      <c r="C40" s="5" t="s">
        <v>754</v>
      </c>
      <c r="D40" s="6">
        <v>532</v>
      </c>
      <c r="E40" s="6">
        <v>532</v>
      </c>
      <c r="F40" s="1" t="s">
        <v>590</v>
      </c>
      <c r="G40" s="6" t="s">
        <v>681</v>
      </c>
      <c r="H40" s="5" t="str">
        <f>IFERROR(INDEX('Indicadores POLISIGS'!$B$2:$B$351,MATCH(E40,'Indicadores POLISIGS'!$A$2:$A$351,0)),"No existe en la lista")</f>
        <v>Actividades de Cooperación en Internacionalización</v>
      </c>
      <c r="I40" s="5" t="s">
        <v>682</v>
      </c>
      <c r="J40" s="6"/>
      <c r="K40" s="5" t="s">
        <v>683</v>
      </c>
      <c r="L40" s="5"/>
    </row>
    <row r="41" spans="1:12" ht="39.6" x14ac:dyDescent="0.3">
      <c r="A41" s="6">
        <v>41</v>
      </c>
      <c r="B41" s="5" t="s">
        <v>753</v>
      </c>
      <c r="C41" s="5" t="s">
        <v>755</v>
      </c>
      <c r="D41" s="6">
        <v>533</v>
      </c>
      <c r="E41" s="6">
        <v>533</v>
      </c>
      <c r="F41" s="1" t="s">
        <v>756</v>
      </c>
      <c r="G41" s="6" t="s">
        <v>681</v>
      </c>
      <c r="H41" s="5" t="str">
        <f>IFERROR(INDEX('Indicadores POLISIGS'!$B$2:$B$351,MATCH(E41,'Indicadores POLISIGS'!$A$2:$A$351,0)),"No existe en la lista")</f>
        <v>Participación de estudiantes externos invitados a actividades de cooperación nacional e internacional</v>
      </c>
      <c r="I41" s="5" t="s">
        <v>682</v>
      </c>
      <c r="J41" s="6"/>
      <c r="K41" s="5" t="s">
        <v>683</v>
      </c>
      <c r="L41" s="5"/>
    </row>
    <row r="42" spans="1:12" ht="39.6" x14ac:dyDescent="0.3">
      <c r="A42" s="6">
        <v>42</v>
      </c>
      <c r="B42" s="5" t="s">
        <v>753</v>
      </c>
      <c r="C42" s="5" t="s">
        <v>755</v>
      </c>
      <c r="D42" s="6">
        <v>534</v>
      </c>
      <c r="E42" s="6">
        <v>534</v>
      </c>
      <c r="F42" s="1" t="s">
        <v>757</v>
      </c>
      <c r="G42" s="6" t="s">
        <v>681</v>
      </c>
      <c r="H42" s="5" t="str">
        <f>IFERROR(INDEX('Indicadores POLISIGS'!$B$2:$B$351,MATCH(E42,'Indicadores POLISIGS'!$A$2:$A$351,0)),"No existe en la lista")</f>
        <v>Participación de estudiantes POLI en actividades de cooperación nacional e internacional</v>
      </c>
      <c r="I42" s="5" t="s">
        <v>682</v>
      </c>
      <c r="J42" s="6"/>
      <c r="K42" s="5" t="s">
        <v>683</v>
      </c>
      <c r="L42" s="5"/>
    </row>
    <row r="43" spans="1:12" ht="39.6" x14ac:dyDescent="0.3">
      <c r="A43" s="6">
        <v>43</v>
      </c>
      <c r="B43" s="5" t="s">
        <v>753</v>
      </c>
      <c r="C43" s="5" t="s">
        <v>755</v>
      </c>
      <c r="D43" s="6">
        <v>535</v>
      </c>
      <c r="E43" s="9">
        <v>536</v>
      </c>
      <c r="F43" s="1" t="s">
        <v>758</v>
      </c>
      <c r="G43" s="6" t="s">
        <v>681</v>
      </c>
      <c r="H43" s="5" t="str">
        <f>IFERROR(INDEX('Indicadores POLISIGS'!$B$2:$B$351,MATCH(E43,'Indicadores POLISIGS'!$A$2:$A$351,0)),"No existe en la lista")</f>
        <v>Participación de profesores POLI en actividades de cooperación nacional e internacional</v>
      </c>
      <c r="I43" s="5" t="s">
        <v>701</v>
      </c>
      <c r="J43" s="6"/>
      <c r="K43" s="5" t="s">
        <v>683</v>
      </c>
      <c r="L43" s="5" t="s">
        <v>759</v>
      </c>
    </row>
    <row r="44" spans="1:12" ht="39.6" x14ac:dyDescent="0.3">
      <c r="A44" s="6">
        <v>44</v>
      </c>
      <c r="B44" s="5" t="s">
        <v>753</v>
      </c>
      <c r="C44" s="5" t="s">
        <v>755</v>
      </c>
      <c r="D44" s="6">
        <v>536</v>
      </c>
      <c r="E44" s="9">
        <v>535</v>
      </c>
      <c r="F44" s="1" t="s">
        <v>760</v>
      </c>
      <c r="G44" s="6" t="s">
        <v>681</v>
      </c>
      <c r="H44" s="5" t="str">
        <f>IFERROR(INDEX('Indicadores POLISIGS'!$B$2:$B$351,MATCH(E44,'Indicadores POLISIGS'!$A$2:$A$351,0)),"No existe en la lista")</f>
        <v>Participación de profesores externos invitados a actividades de cooperación nacional e internacional</v>
      </c>
      <c r="I44" s="5" t="s">
        <v>701</v>
      </c>
      <c r="J44" s="6"/>
      <c r="K44" s="5" t="s">
        <v>683</v>
      </c>
      <c r="L44" s="5" t="s">
        <v>761</v>
      </c>
    </row>
    <row r="45" spans="1:12" ht="52.8" x14ac:dyDescent="0.3">
      <c r="A45" s="6">
        <v>45</v>
      </c>
      <c r="B45" s="5" t="s">
        <v>762</v>
      </c>
      <c r="C45" s="5" t="s">
        <v>763</v>
      </c>
      <c r="D45" s="6"/>
      <c r="E45" s="6"/>
      <c r="F45" s="1" t="s">
        <v>764</v>
      </c>
      <c r="G45" s="6" t="s">
        <v>672</v>
      </c>
      <c r="H45" s="5"/>
      <c r="I45" s="5" t="s">
        <v>677</v>
      </c>
      <c r="J45" s="6" t="s">
        <v>765</v>
      </c>
      <c r="K45" s="5" t="s">
        <v>686</v>
      </c>
      <c r="L45" s="5"/>
    </row>
    <row r="46" spans="1:12" ht="39.6" x14ac:dyDescent="0.3">
      <c r="A46" s="6">
        <v>46</v>
      </c>
      <c r="B46" s="5" t="s">
        <v>762</v>
      </c>
      <c r="C46" s="5" t="s">
        <v>763</v>
      </c>
      <c r="D46" s="6">
        <v>597</v>
      </c>
      <c r="E46" s="6">
        <v>597</v>
      </c>
      <c r="F46" s="1" t="s">
        <v>86</v>
      </c>
      <c r="G46" s="6" t="s">
        <v>672</v>
      </c>
      <c r="H46" s="5" t="str">
        <f>IFERROR(INDEX('Indicadores POLISIGS'!$B$2:$B$351,MATCH(E46,'Indicadores POLISIGS'!$A$2:$A$351,0)),"No existe en la lista")</f>
        <v>Indice de impacto Psicosocial de las actividades de bienestar</v>
      </c>
      <c r="I46" s="5" t="s">
        <v>682</v>
      </c>
      <c r="J46" s="6"/>
      <c r="K46" s="5" t="s">
        <v>683</v>
      </c>
      <c r="L46" s="5"/>
    </row>
    <row r="47" spans="1:12" ht="79.2" x14ac:dyDescent="0.3">
      <c r="A47" s="6">
        <v>47</v>
      </c>
      <c r="B47" s="5" t="s">
        <v>762</v>
      </c>
      <c r="C47" s="5" t="s">
        <v>763</v>
      </c>
      <c r="D47" s="6">
        <v>500</v>
      </c>
      <c r="E47" s="6">
        <v>500</v>
      </c>
      <c r="F47" s="1" t="s">
        <v>766</v>
      </c>
      <c r="G47" s="6" t="s">
        <v>304</v>
      </c>
      <c r="H47" s="5" t="str">
        <f>IFERROR(INDEX('Indicadores POLISIGS'!$B$2:$B$351,MATCH(E47,'Indicadores POLISIGS'!$A$2:$A$351,0)),"No existe en la lista")</f>
        <v>Nivel de Satisfacción Servicios Prestados -Servicio de Salud</v>
      </c>
      <c r="I47" s="5" t="s">
        <v>767</v>
      </c>
      <c r="J47" s="6"/>
      <c r="K47" s="5" t="s">
        <v>683</v>
      </c>
      <c r="L47" s="5" t="s">
        <v>768</v>
      </c>
    </row>
    <row r="48" spans="1:12" ht="79.2" x14ac:dyDescent="0.3">
      <c r="A48" s="6">
        <v>48</v>
      </c>
      <c r="B48" s="5" t="s">
        <v>762</v>
      </c>
      <c r="C48" s="5" t="s">
        <v>763</v>
      </c>
      <c r="D48" s="6">
        <v>507</v>
      </c>
      <c r="E48" s="6">
        <v>507</v>
      </c>
      <c r="F48" s="1" t="s">
        <v>769</v>
      </c>
      <c r="G48" s="6" t="s">
        <v>304</v>
      </c>
      <c r="H48" s="5" t="str">
        <f>IFERROR(INDEX('Indicadores POLISIGS'!$B$2:$B$351,MATCH(E48,'Indicadores POLISIGS'!$A$2:$A$351,0)),"No existe en la lista")</f>
        <v>Nivel de Satisfacción Servicios Prestados -Cultura y Deporte</v>
      </c>
      <c r="I48" s="5" t="s">
        <v>767</v>
      </c>
      <c r="J48" s="6"/>
      <c r="K48" s="5" t="s">
        <v>683</v>
      </c>
      <c r="L48" s="5" t="s">
        <v>770</v>
      </c>
    </row>
    <row r="49" spans="1:12" ht="39.6" x14ac:dyDescent="0.3">
      <c r="A49" s="6">
        <v>49</v>
      </c>
      <c r="B49" s="5" t="s">
        <v>762</v>
      </c>
      <c r="C49" s="5" t="s">
        <v>763</v>
      </c>
      <c r="D49" s="6"/>
      <c r="E49" s="6"/>
      <c r="F49" s="1" t="s">
        <v>771</v>
      </c>
      <c r="G49" s="6" t="s">
        <v>672</v>
      </c>
      <c r="H49" s="5"/>
      <c r="I49" s="5" t="s">
        <v>666</v>
      </c>
      <c r="J49" s="6"/>
      <c r="K49" s="5" t="s">
        <v>667</v>
      </c>
      <c r="L49" s="5"/>
    </row>
    <row r="50" spans="1:12" ht="26.4" x14ac:dyDescent="0.3">
      <c r="A50" s="6">
        <v>50</v>
      </c>
      <c r="B50" s="5" t="s">
        <v>772</v>
      </c>
      <c r="C50" s="5" t="s">
        <v>773</v>
      </c>
      <c r="D50" s="6">
        <v>576</v>
      </c>
      <c r="E50" s="6">
        <v>576</v>
      </c>
      <c r="F50" s="1" t="s">
        <v>378</v>
      </c>
      <c r="G50" s="6" t="s">
        <v>681</v>
      </c>
      <c r="H50" s="5" t="str">
        <f>IFERROR(INDEX('Indicadores POLISIGS'!$B$2:$B$351,MATCH(E50,'Indicadores POLISIGS'!$A$2:$A$351,0)),"No existe en la lista")</f>
        <v>Cobertura de socialización del reglamento docente a profesores nuevos</v>
      </c>
      <c r="I50" s="5" t="s">
        <v>682</v>
      </c>
      <c r="J50" s="6"/>
      <c r="K50" s="5" t="s">
        <v>683</v>
      </c>
      <c r="L50" s="5"/>
    </row>
    <row r="51" spans="1:12" ht="39.6" x14ac:dyDescent="0.3">
      <c r="A51" s="6">
        <v>51</v>
      </c>
      <c r="B51" s="5" t="s">
        <v>772</v>
      </c>
      <c r="C51" s="5" t="s">
        <v>774</v>
      </c>
      <c r="D51" s="6">
        <v>573</v>
      </c>
      <c r="E51" s="6">
        <v>573</v>
      </c>
      <c r="F51" s="1" t="s">
        <v>775</v>
      </c>
      <c r="G51" s="6" t="s">
        <v>681</v>
      </c>
      <c r="H51" s="5" t="str">
        <f>IFERROR(INDEX('Indicadores POLISIGS'!$B$2:$B$351,MATCH(E51,'Indicadores POLISIGS'!$A$2:$A$351,0)),"No existe en la lista")</f>
        <v>Relación Estudiante-Docente Tiempo completo  Equivalente (Población AAC/Institucional - Bogotá Virtual)</v>
      </c>
      <c r="I51" s="5" t="s">
        <v>682</v>
      </c>
      <c r="J51" s="6"/>
      <c r="K51" s="5" t="s">
        <v>683</v>
      </c>
      <c r="L51" s="5"/>
    </row>
    <row r="52" spans="1:12" ht="66" x14ac:dyDescent="0.3">
      <c r="A52" s="6">
        <v>52</v>
      </c>
      <c r="B52" s="5" t="s">
        <v>772</v>
      </c>
      <c r="C52" s="5" t="s">
        <v>774</v>
      </c>
      <c r="D52" s="6"/>
      <c r="E52" s="6"/>
      <c r="F52" s="1" t="s">
        <v>776</v>
      </c>
      <c r="G52" s="6" t="s">
        <v>777</v>
      </c>
      <c r="H52" s="5"/>
      <c r="I52" s="5" t="s">
        <v>677</v>
      </c>
      <c r="J52" s="6" t="s">
        <v>778</v>
      </c>
      <c r="K52" s="5" t="s">
        <v>686</v>
      </c>
      <c r="L52" s="5"/>
    </row>
    <row r="53" spans="1:12" ht="66" x14ac:dyDescent="0.3">
      <c r="A53" s="6">
        <v>53</v>
      </c>
      <c r="B53" s="5" t="s">
        <v>772</v>
      </c>
      <c r="C53" s="5" t="s">
        <v>774</v>
      </c>
      <c r="D53" s="6"/>
      <c r="E53" s="6"/>
      <c r="F53" s="1" t="s">
        <v>779</v>
      </c>
      <c r="G53" s="6" t="s">
        <v>777</v>
      </c>
      <c r="H53" s="5"/>
      <c r="I53" s="5" t="s">
        <v>677</v>
      </c>
      <c r="J53" s="6" t="s">
        <v>780</v>
      </c>
      <c r="K53" s="5" t="s">
        <v>781</v>
      </c>
      <c r="L53" s="5"/>
    </row>
    <row r="54" spans="1:12" ht="26.4" x14ac:dyDescent="0.3">
      <c r="A54" s="6">
        <v>54</v>
      </c>
      <c r="B54" s="5" t="s">
        <v>772</v>
      </c>
      <c r="C54" s="5" t="s">
        <v>782</v>
      </c>
      <c r="D54" s="6"/>
      <c r="E54" s="6"/>
      <c r="F54" s="1" t="s">
        <v>783</v>
      </c>
      <c r="G54" s="6" t="s">
        <v>672</v>
      </c>
      <c r="H54" s="5"/>
      <c r="I54" s="5" t="s">
        <v>677</v>
      </c>
      <c r="J54" s="6" t="s">
        <v>784</v>
      </c>
      <c r="K54" s="5" t="s">
        <v>686</v>
      </c>
      <c r="L54" s="5"/>
    </row>
    <row r="55" spans="1:12" ht="26.4" x14ac:dyDescent="0.3">
      <c r="A55" s="6">
        <v>55</v>
      </c>
      <c r="B55" s="5" t="s">
        <v>772</v>
      </c>
      <c r="C55" s="5" t="s">
        <v>785</v>
      </c>
      <c r="D55" s="6">
        <v>460</v>
      </c>
      <c r="E55" s="6">
        <v>460</v>
      </c>
      <c r="F55" s="1" t="s">
        <v>786</v>
      </c>
      <c r="G55" s="6" t="s">
        <v>681</v>
      </c>
      <c r="H55" s="5" t="str">
        <f>IFERROR(INDEX('Indicadores POLISIGS'!$B$2:$B$351,MATCH(E55,'Indicadores POLISIGS'!$A$2:$A$351,0)),"No existe en la lista")</f>
        <v>% de profesores (Contrato Indefinido- Fijo) impactados plan de desarrollo docente</v>
      </c>
      <c r="I55" s="5" t="s">
        <v>682</v>
      </c>
      <c r="J55" s="6"/>
      <c r="K55" s="5" t="s">
        <v>683</v>
      </c>
      <c r="L55" s="5"/>
    </row>
    <row r="56" spans="1:12" ht="26.4" x14ac:dyDescent="0.3">
      <c r="A56" s="6">
        <v>56</v>
      </c>
      <c r="B56" s="5" t="s">
        <v>772</v>
      </c>
      <c r="C56" s="5" t="s">
        <v>787</v>
      </c>
      <c r="D56" s="6"/>
      <c r="E56" s="6"/>
      <c r="F56" s="1" t="s">
        <v>788</v>
      </c>
      <c r="G56" s="6" t="s">
        <v>672</v>
      </c>
      <c r="H56" s="5"/>
      <c r="I56" s="5" t="s">
        <v>677</v>
      </c>
      <c r="J56" s="6" t="s">
        <v>789</v>
      </c>
      <c r="K56" s="5" t="s">
        <v>686</v>
      </c>
      <c r="L56" s="5"/>
    </row>
    <row r="57" spans="1:12" ht="39.6" x14ac:dyDescent="0.3">
      <c r="A57" s="6">
        <v>57</v>
      </c>
      <c r="B57" s="5" t="s">
        <v>790</v>
      </c>
      <c r="C57" s="5" t="s">
        <v>791</v>
      </c>
      <c r="D57" s="6"/>
      <c r="E57" s="6"/>
      <c r="F57" s="1" t="s">
        <v>792</v>
      </c>
      <c r="G57" s="6" t="s">
        <v>672</v>
      </c>
      <c r="H57" s="5"/>
      <c r="I57" s="5" t="s">
        <v>666</v>
      </c>
      <c r="J57" s="6"/>
      <c r="K57" s="5" t="s">
        <v>667</v>
      </c>
      <c r="L57" s="5"/>
    </row>
    <row r="58" spans="1:12" ht="39.6" x14ac:dyDescent="0.3">
      <c r="A58" s="6">
        <v>58</v>
      </c>
      <c r="B58" s="5" t="s">
        <v>790</v>
      </c>
      <c r="C58" s="5" t="s">
        <v>793</v>
      </c>
      <c r="D58" s="6">
        <v>553</v>
      </c>
      <c r="E58" s="6">
        <v>553</v>
      </c>
      <c r="F58" s="1" t="s">
        <v>794</v>
      </c>
      <c r="G58" s="6" t="s">
        <v>672</v>
      </c>
      <c r="H58" s="5" t="str">
        <f>IFERROR(INDEX('Indicadores POLISIGS'!$B$2:$B$351,MATCH(E58,'Indicadores POLISIGS'!$A$2:$A$351,0)),"No existe en la lista")</f>
        <v>Nivel de Satisfacción Servicios Prestados -Inscripción, admisión y matrícula de estudiantes nuevos</v>
      </c>
      <c r="I58" s="5" t="s">
        <v>682</v>
      </c>
      <c r="J58" s="6"/>
      <c r="K58" s="5" t="s">
        <v>683</v>
      </c>
      <c r="L58" s="5"/>
    </row>
    <row r="59" spans="1:12" ht="26.4" x14ac:dyDescent="0.3">
      <c r="A59" s="6">
        <v>59</v>
      </c>
      <c r="B59" s="5" t="s">
        <v>790</v>
      </c>
      <c r="C59" s="5" t="s">
        <v>793</v>
      </c>
      <c r="D59" s="6">
        <v>468</v>
      </c>
      <c r="E59" s="9">
        <v>359</v>
      </c>
      <c r="F59" s="1" t="s">
        <v>795</v>
      </c>
      <c r="G59" s="6"/>
      <c r="H59" s="5" t="str">
        <f>IFERROR(INDEX('Indicadores POLISIGS'!$B$2:$B$351,MATCH(E59,'Indicadores POLISIGS'!$A$2:$A$351,0)),"No existe en la lista")</f>
        <v>Satisfacción Institucional CSAT</v>
      </c>
      <c r="I59" s="5" t="s">
        <v>701</v>
      </c>
      <c r="J59" s="6"/>
      <c r="K59" s="5" t="s">
        <v>683</v>
      </c>
      <c r="L59" s="5" t="s">
        <v>796</v>
      </c>
    </row>
    <row r="60" spans="1:12" ht="26.4" x14ac:dyDescent="0.3">
      <c r="A60" s="6">
        <v>60</v>
      </c>
      <c r="B60" s="5" t="s">
        <v>790</v>
      </c>
      <c r="C60" s="5" t="s">
        <v>793</v>
      </c>
      <c r="D60" s="6">
        <v>245</v>
      </c>
      <c r="E60" s="6">
        <v>245</v>
      </c>
      <c r="F60" s="1" t="s">
        <v>797</v>
      </c>
      <c r="G60" s="6" t="s">
        <v>681</v>
      </c>
      <c r="H60" s="5" t="str">
        <f>IFERROR(INDEX('Indicadores POLISIGS'!$B$2:$B$351,MATCH(E60,'Indicadores POLISIGS'!$A$2:$A$351,0)),"No existe en la lista")</f>
        <v>Tasa de Permanencia Intersemestral</v>
      </c>
      <c r="I60" s="5" t="s">
        <v>682</v>
      </c>
      <c r="J60" s="6"/>
      <c r="K60" s="5" t="s">
        <v>683</v>
      </c>
      <c r="L60" s="5"/>
    </row>
    <row r="61" spans="1:12" ht="26.4" x14ac:dyDescent="0.3">
      <c r="A61" s="6">
        <v>61</v>
      </c>
      <c r="B61" s="5" t="s">
        <v>790</v>
      </c>
      <c r="C61" s="5" t="s">
        <v>793</v>
      </c>
      <c r="D61" s="6"/>
      <c r="E61" s="6"/>
      <c r="F61" s="1" t="s">
        <v>798</v>
      </c>
      <c r="G61" s="6" t="s">
        <v>681</v>
      </c>
      <c r="H61" s="5"/>
      <c r="I61" s="5" t="s">
        <v>677</v>
      </c>
      <c r="J61" s="6" t="s">
        <v>799</v>
      </c>
      <c r="K61" s="5" t="s">
        <v>800</v>
      </c>
      <c r="L61" s="5"/>
    </row>
    <row r="62" spans="1:12" ht="26.4" x14ac:dyDescent="0.3">
      <c r="A62" s="6">
        <v>62</v>
      </c>
      <c r="B62" s="5" t="s">
        <v>790</v>
      </c>
      <c r="C62" s="5" t="s">
        <v>793</v>
      </c>
      <c r="D62" s="6"/>
      <c r="E62" s="6"/>
      <c r="F62" s="1" t="s">
        <v>801</v>
      </c>
      <c r="G62" s="6" t="s">
        <v>672</v>
      </c>
      <c r="H62" s="5"/>
      <c r="I62" s="5" t="s">
        <v>666</v>
      </c>
      <c r="J62" s="6"/>
      <c r="K62" s="5" t="s">
        <v>667</v>
      </c>
      <c r="L62" s="5"/>
    </row>
    <row r="63" spans="1:12" ht="26.4" x14ac:dyDescent="0.3">
      <c r="A63" s="6">
        <v>63</v>
      </c>
      <c r="B63" s="5" t="s">
        <v>790</v>
      </c>
      <c r="C63" s="5" t="s">
        <v>793</v>
      </c>
      <c r="D63" s="6">
        <v>252</v>
      </c>
      <c r="E63" s="6">
        <v>252</v>
      </c>
      <c r="F63" s="1" t="s">
        <v>802</v>
      </c>
      <c r="G63" s="6" t="s">
        <v>681</v>
      </c>
      <c r="H63" s="5" t="str">
        <f>IFERROR(INDEX('Indicadores POLISIGS'!$B$2:$B$351,MATCH(E63,'Indicadores POLISIGS'!$A$2:$A$351,0)),"No existe en la lista")</f>
        <v>Tasa de Permanencia Intersemestral de Estudiantes Ingresantes</v>
      </c>
      <c r="I63" s="5" t="s">
        <v>682</v>
      </c>
      <c r="J63" s="6"/>
      <c r="K63" s="5" t="s">
        <v>683</v>
      </c>
      <c r="L63" s="5"/>
    </row>
    <row r="64" spans="1:12" ht="26.4" x14ac:dyDescent="0.3">
      <c r="A64" s="6">
        <v>64</v>
      </c>
      <c r="B64" s="5" t="s">
        <v>790</v>
      </c>
      <c r="C64" s="5" t="s">
        <v>803</v>
      </c>
      <c r="D64" s="6"/>
      <c r="E64" s="6"/>
      <c r="F64" s="1" t="s">
        <v>804</v>
      </c>
      <c r="G64" s="6" t="s">
        <v>672</v>
      </c>
      <c r="H64" s="5"/>
      <c r="I64" s="5" t="s">
        <v>677</v>
      </c>
      <c r="J64" s="6" t="s">
        <v>805</v>
      </c>
      <c r="K64" s="5" t="s">
        <v>806</v>
      </c>
      <c r="L64" s="5"/>
    </row>
    <row r="65" spans="1:12" ht="39.6" x14ac:dyDescent="0.3">
      <c r="A65" s="6">
        <v>65</v>
      </c>
      <c r="B65" s="5" t="s">
        <v>807</v>
      </c>
      <c r="C65" s="5" t="s">
        <v>808</v>
      </c>
      <c r="D65" s="6">
        <v>546</v>
      </c>
      <c r="E65" s="6">
        <v>546</v>
      </c>
      <c r="F65" s="1" t="s">
        <v>809</v>
      </c>
      <c r="G65" s="6" t="s">
        <v>681</v>
      </c>
      <c r="H65" s="5" t="str">
        <f>IFERROR(INDEX('Indicadores POLISIGS'!$B$2:$B$351,MATCH(E65,'Indicadores POLISIGS'!$A$2:$A$351,0)),"No existe en la lista")</f>
        <v>Tasa de participación de graduados en instrumentos de seguimiento (M0, M1, M5)</v>
      </c>
      <c r="I65" s="5" t="s">
        <v>682</v>
      </c>
      <c r="J65" s="6"/>
      <c r="K65" s="5" t="s">
        <v>683</v>
      </c>
      <c r="L65" s="5"/>
    </row>
    <row r="66" spans="1:12" ht="26.4" x14ac:dyDescent="0.3">
      <c r="A66" s="6">
        <v>66</v>
      </c>
      <c r="B66" s="5" t="s">
        <v>807</v>
      </c>
      <c r="C66" s="5" t="s">
        <v>810</v>
      </c>
      <c r="D66" s="6">
        <v>542</v>
      </c>
      <c r="E66" s="6">
        <v>542</v>
      </c>
      <c r="F66" s="1" t="s">
        <v>811</v>
      </c>
      <c r="G66" s="6" t="s">
        <v>723</v>
      </c>
      <c r="H66" s="5" t="str">
        <f>IFERROR(INDEX('Indicadores POLISIGS'!$B$2:$B$351,MATCH(E66,'Indicadores POLISIGS'!$A$2:$A$351,0)),"No existe en la lista")</f>
        <v>Tasa de cotización del graduado - Metrica</v>
      </c>
      <c r="I66" s="5" t="s">
        <v>682</v>
      </c>
      <c r="J66" s="6"/>
      <c r="K66" s="5" t="s">
        <v>683</v>
      </c>
      <c r="L66" s="5"/>
    </row>
    <row r="67" spans="1:12" ht="105.6" x14ac:dyDescent="0.3">
      <c r="A67" s="6">
        <v>67</v>
      </c>
      <c r="B67" s="5" t="s">
        <v>807</v>
      </c>
      <c r="C67" s="5" t="s">
        <v>810</v>
      </c>
      <c r="D67" s="6">
        <v>541</v>
      </c>
      <c r="E67" s="6">
        <v>541</v>
      </c>
      <c r="F67" s="1" t="s">
        <v>812</v>
      </c>
      <c r="G67" s="6" t="s">
        <v>681</v>
      </c>
      <c r="H67" s="5" t="str">
        <f>IFERROR(INDEX('Indicadores POLISIGS'!$B$2:$B$351,MATCH(E67,'Indicadores POLISIGS'!$A$2:$A$351,0)),"No existe en la lista")</f>
        <v>% de Participación de graduados en actividades de empleabilidad y relacionamiento</v>
      </c>
      <c r="I67" s="5" t="s">
        <v>682</v>
      </c>
      <c r="J67" s="6"/>
      <c r="K67" s="5" t="s">
        <v>683</v>
      </c>
      <c r="L67" s="5"/>
    </row>
    <row r="68" spans="1:12" ht="39.6" x14ac:dyDescent="0.3">
      <c r="A68" s="6">
        <v>68</v>
      </c>
      <c r="B68" s="5" t="s">
        <v>807</v>
      </c>
      <c r="C68" s="5" t="s">
        <v>813</v>
      </c>
      <c r="D68" s="6">
        <v>547</v>
      </c>
      <c r="E68" s="6">
        <v>547</v>
      </c>
      <c r="F68" s="1" t="s">
        <v>814</v>
      </c>
      <c r="G68" s="6" t="s">
        <v>681</v>
      </c>
      <c r="H68" s="5" t="str">
        <f>IFERROR(INDEX('Indicadores POLISIGS'!$B$2:$B$351,MATCH(E68,'Indicadores POLISIGS'!$A$2:$A$351,0)),"No existe en la lista")</f>
        <v>Nivel de satisfacción del graduado con la institución</v>
      </c>
      <c r="I68" s="5" t="s">
        <v>682</v>
      </c>
      <c r="J68" s="6"/>
      <c r="K68" s="5" t="s">
        <v>683</v>
      </c>
      <c r="L68" s="5"/>
    </row>
    <row r="69" spans="1:12" ht="52.8" x14ac:dyDescent="0.3">
      <c r="A69" s="6">
        <v>69</v>
      </c>
      <c r="B69" s="5" t="s">
        <v>737</v>
      </c>
      <c r="C69" s="5" t="s">
        <v>740</v>
      </c>
      <c r="D69" s="6"/>
      <c r="E69" s="6"/>
      <c r="F69" s="1" t="s">
        <v>815</v>
      </c>
      <c r="G69" s="6"/>
      <c r="H69" s="5"/>
      <c r="I69" s="5" t="s">
        <v>666</v>
      </c>
      <c r="J69" s="6"/>
      <c r="K69" s="5" t="s">
        <v>667</v>
      </c>
      <c r="L69" s="5"/>
    </row>
    <row r="70" spans="1:12" ht="26.4" x14ac:dyDescent="0.3">
      <c r="A70" s="6">
        <v>70</v>
      </c>
      <c r="B70" s="5" t="s">
        <v>772</v>
      </c>
      <c r="C70" s="5" t="s">
        <v>787</v>
      </c>
      <c r="D70" s="6"/>
      <c r="E70" s="6"/>
      <c r="F70" s="1" t="s">
        <v>816</v>
      </c>
      <c r="G70" s="6"/>
      <c r="H70" s="5"/>
      <c r="I70" s="5" t="s">
        <v>666</v>
      </c>
      <c r="J70" s="6"/>
      <c r="K70" s="5" t="s">
        <v>667</v>
      </c>
      <c r="L70" s="5"/>
    </row>
    <row r="71" spans="1:12" ht="39.6" x14ac:dyDescent="0.3">
      <c r="A71" s="6">
        <v>71</v>
      </c>
      <c r="B71" s="5" t="s">
        <v>807</v>
      </c>
      <c r="C71" s="5" t="s">
        <v>813</v>
      </c>
      <c r="D71" s="6"/>
      <c r="E71" s="6"/>
      <c r="F71" s="1" t="s">
        <v>817</v>
      </c>
      <c r="G71" s="6"/>
      <c r="H71" s="5"/>
      <c r="I71" s="5" t="s">
        <v>677</v>
      </c>
      <c r="J71" s="6" t="s">
        <v>818</v>
      </c>
      <c r="K71" s="5" t="s">
        <v>686</v>
      </c>
      <c r="L71" s="5"/>
    </row>
  </sheetData>
  <autoFilter ref="A1:L71" xr:uid="{00000000-0009-0000-0000-000004000000}"/>
  <conditionalFormatting sqref="I2:I71">
    <cfRule type="expression" dxfId="2" priority="4">
      <formula>LEFT(I2,6)="Nombre"</formula>
    </cfRule>
  </conditionalFormatting>
  <conditionalFormatting sqref="K2:K71">
    <cfRule type="expression" dxfId="1" priority="2">
      <formula>LEFT(K2,8)="Asociado"</formula>
    </cfRule>
    <cfRule type="expression" dxfId="0" priority="3">
      <formula>OR(LEFT(K2,2)="No",LEFT(K2,7)="Omitido")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Indicadores POLISIGS</vt:lpstr>
      <vt:lpstr>Resumen</vt:lpstr>
      <vt:lpstr>Parámetros</vt:lpstr>
      <vt:lpstr>Obj. 1 – Revisión medias</vt:lpstr>
      <vt:lpstr>Validación Plan CNA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Ximena Silva</cp:lastModifiedBy>
  <cp:revision>0</cp:revision>
  <dcterms:created xsi:type="dcterms:W3CDTF">2026-10-07T00:07:07Z</dcterms:created>
  <dcterms:modified xsi:type="dcterms:W3CDTF">2026-10-08T06:22:03Z</dcterms:modified>
  <dc:language>en-US</dc:language>
</cp:coreProperties>
</file>