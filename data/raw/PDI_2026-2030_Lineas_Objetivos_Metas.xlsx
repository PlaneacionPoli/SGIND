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GING/data/raw/"/>
    </mc:Choice>
  </mc:AlternateContent>
  <xr:revisionPtr revIDLastSave="0" documentId="8_{F4808CFE-17D7-4796-B7C7-4480C13D1B0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DI 2026-2030" sheetId="1" r:id="rId1"/>
    <sheet name="Resumen" sheetId="2" r:id="rId2"/>
  </sheets>
  <definedNames>
    <definedName name="_xlnm.Print_Titles" localSheetId="0">'PDI 2026-2030'!$4:$4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" i="2" l="1"/>
  <c r="C7" i="2"/>
  <c r="D6" i="2"/>
  <c r="C6" i="2"/>
  <c r="D5" i="2"/>
  <c r="C5" i="2"/>
  <c r="D4" i="2"/>
  <c r="D8" i="2" s="1"/>
  <c r="C4" i="2"/>
  <c r="C8" i="2" l="1"/>
</calcChain>
</file>

<file path=xl/sharedStrings.xml><?xml version="1.0" encoding="utf-8"?>
<sst xmlns="http://schemas.openxmlformats.org/spreadsheetml/2006/main" count="156" uniqueCount="87">
  <si>
    <t>Plan de Desarrollo Institucional 2026-2030</t>
  </si>
  <si>
    <t>Líneas Estratégicas, Objetivos Estratégicos y Metas Estratégicas — Politécnico Grancolombiano</t>
  </si>
  <si>
    <t>Cód. Línea</t>
  </si>
  <si>
    <t>Línea Estratégica</t>
  </si>
  <si>
    <t>Cód. Objetivo</t>
  </si>
  <si>
    <t>Objetivo Estratégico</t>
  </si>
  <si>
    <t>Cód. Meta</t>
  </si>
  <si>
    <t>Meta Estratégica</t>
  </si>
  <si>
    <t>L1</t>
  </si>
  <si>
    <t>Calidad e Innovación Educativa</t>
  </si>
  <si>
    <t>L1-OI</t>
  </si>
  <si>
    <t>Consolidar el Modelo Educativo Intergeneracional, Innovador y Multimodal.</t>
  </si>
  <si>
    <t>L1-OI-M1</t>
  </si>
  <si>
    <t>Diseñar e implementar el Modelo Educativo Intergeneracional, Innovador y Multimodal.</t>
  </si>
  <si>
    <t>L1-OI-M2</t>
  </si>
  <si>
    <t>Actualizar los programas académicos con el nuevo Modelo.</t>
  </si>
  <si>
    <t>L1-OII</t>
  </si>
  <si>
    <t>Fortalecer la enseñanza y el aprendizaje mediante nuevas tendencias tecnológicas.</t>
  </si>
  <si>
    <t>L1-OII-M1</t>
  </si>
  <si>
    <t>Diseñar e implementar estrategias pedagógicas innovadoras que incorporen el uso ético de la IA y las nuevas tendencias.</t>
  </si>
  <si>
    <t>L1-OII-M2</t>
  </si>
  <si>
    <t>Capacitar y certificar a la comunidad de profesores en competencias intergeneracionales, uso de IA y nuevas tecnologías.</t>
  </si>
  <si>
    <t>L1-OIII</t>
  </si>
  <si>
    <t>Promover una cultura de mejoramiento continuo en las labores misionales y los procesos.</t>
  </si>
  <si>
    <t>L1-OIII-M1</t>
  </si>
  <si>
    <t>Avanzar en procesos de acreditación con estándares internacionales a nivel institucional y de programas.</t>
  </si>
  <si>
    <t>L1-OIII-M2</t>
  </si>
  <si>
    <t>Impulsar la acreditación de programas a nivel nacional.</t>
  </si>
  <si>
    <t>L1-OIII-M3</t>
  </si>
  <si>
    <t>Optimizar los procesos con la aplicación de nuevas tendencias tecnológicas y fortalecer la toma de decisiones a partir del análisis de las fuentes de mejoramiento institucional.</t>
  </si>
  <si>
    <t>L1-OIII-M4</t>
  </si>
  <si>
    <t>Consolidar procesos de autoevaluación permanente e implementación de acciones que contribuyan a seguir mejorando el impacto de las labores misionales.</t>
  </si>
  <si>
    <t>L2</t>
  </si>
  <si>
    <t>Experiencia Centrada en las Personas</t>
  </si>
  <si>
    <t>L2-OI</t>
  </si>
  <si>
    <t>Consolidar una comunidad Poli feliz y apasionada por transformar vidas de manera positiva.</t>
  </si>
  <si>
    <t>L2-OI-M1</t>
  </si>
  <si>
    <t>Consolidar el ADN Poli como pilar de la experiencia institucional, asegurando su apropiación e interiorización.</t>
  </si>
  <si>
    <t>L2-OI-M2</t>
  </si>
  <si>
    <t>L2-OII</t>
  </si>
  <si>
    <t>Diseñar experiencias empáticas e incluyentes que integren tecnología y calidez humana con los grupos de interés.</t>
  </si>
  <si>
    <t>L2-OII-M1</t>
  </si>
  <si>
    <t>Impulsar un modelo de madurez de la experiencia en la comunidad universitaria que integre el bienestar, la toma de decisiones basada en datos y la optimización de los procesos.</t>
  </si>
  <si>
    <t>L2-OII-M2</t>
  </si>
  <si>
    <t>Consolidar el Ecosistema Digital centrado en las personas, apalancado por las tecnologías emergentes.</t>
  </si>
  <si>
    <t>L2-OII-M3</t>
  </si>
  <si>
    <t>Potenciar la madurez institucional en datos y analítica, incorporando tecnologías emergentes —incluida la IA— para habilitar decisiones inteligentes.</t>
  </si>
  <si>
    <t>L3</t>
  </si>
  <si>
    <t>Expansión con Compromiso Social</t>
  </si>
  <si>
    <t>L3-OI</t>
  </si>
  <si>
    <t>Fortalecer el relacionamiento, posicionamiento y crecimiento en el país.</t>
  </si>
  <si>
    <t>L3-OI-M1</t>
  </si>
  <si>
    <t>Potenciar el posicionamiento nacional por medio de la gestión estratégica de convenios y alianzas con los sectores público y privado, asegurando un crecimiento sostenido.</t>
  </si>
  <si>
    <t>L3-OI-M2</t>
  </si>
  <si>
    <t>Implementar iniciativas de posicionamiento que proyecten una identidad de marca con sentido social, fortaleciendo la reputación y reconocimiento en el país.</t>
  </si>
  <si>
    <t>L3-OII</t>
  </si>
  <si>
    <t>Ampliar la presencia en América.</t>
  </si>
  <si>
    <t>L3-OII-M1</t>
  </si>
  <si>
    <t>Posicionar la marca Poli en países priorizados de América.</t>
  </si>
  <si>
    <t>L3-OIII</t>
  </si>
  <si>
    <t>Desarrollar un portafolio intergeneracional de servicios educativos pertinente y flexible para toda la vida.</t>
  </si>
  <si>
    <t>L3-OIII-M1</t>
  </si>
  <si>
    <t>Consolidar un portafolio de educación formal pertinente en Colombia y América.</t>
  </si>
  <si>
    <t>L3-OIII-M2</t>
  </si>
  <si>
    <t>Contar con una oferta de educación no formal que incluya cursos, seminarios y talleres alineados con las dinámicas del entorno.</t>
  </si>
  <si>
    <t>L4</t>
  </si>
  <si>
    <t>Desarrollo Sostenible</t>
  </si>
  <si>
    <t>L4-OI</t>
  </si>
  <si>
    <t>Garantizar una gestión sostenible que impacte positivamente en la comunidad y el ambiente.</t>
  </si>
  <si>
    <t>L4-OI-M1</t>
  </si>
  <si>
    <t>Posicionar la Institución como referente en Responsabilidad Social Universitaria, mediante la generación de valor social sostenible y la transformación positiva de la comunidad.</t>
  </si>
  <si>
    <t>L4-OI-M2</t>
  </si>
  <si>
    <t>Diseñar, implementar y consolidar el Modelo de Sostenibilidad Poli que integre de manera articulada la sostenibilidad ambiental, social y económica en su gestión, con indicadores medibles de impacto.</t>
  </si>
  <si>
    <t>L4-OII</t>
  </si>
  <si>
    <t>Diversificar y optimizar los recursos financieros como apalancadores de la estrategia.</t>
  </si>
  <si>
    <t>L4-OII-M1</t>
  </si>
  <si>
    <t>Incrementar la participación de otros ingresos provenientes de fuentes diferentes a matrículas.</t>
  </si>
  <si>
    <t>L4-OII-M2</t>
  </si>
  <si>
    <t>Asignar los recursos necesarios para el desarrollo de planes y proyectos, priorizados por su impacto social, ambiental y económico, en el marco de las Líneas Estratégicas.</t>
  </si>
  <si>
    <t>Fuente: Plan de Desarrollo Institucional 2026-2030, Politécnico Grancolombiano (textos oficiales sin parafrasear). Códigos asignados para facilitar el filtrado.</t>
  </si>
  <si>
    <t>Resumen por Línea Estratégica</t>
  </si>
  <si>
    <t>Cód.</t>
  </si>
  <si>
    <t>N° Objetivos</t>
  </si>
  <si>
    <t>N° Metas</t>
  </si>
  <si>
    <t>Total</t>
  </si>
  <si>
    <t>Conteos calculados con fórmulas a partir de la hoja 'PDI 2026-2030'.</t>
  </si>
  <si>
    <t>Garantizar el bienestar integral y el desarrollo de nuestra comunidad universitaria, a través de un modelo con enfoque intergeneracional que responda a las necesidades reales de las personas.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</si>
</sst>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  <charset val="1"/>
    </font>
    <font>
      <b/>
      <sz val="16"/>
      <color rgb="FF263A58"/>
      <name val="Montserrat"/>
    </font>
    <font>
      <sz val="10"/>
      <color rgb="FF595959"/>
      <name val="Montserrat"/>
    </font>
    <font>
      <b/>
      <sz val="10"/>
      <color rgb="FFFFFFFF"/>
      <name val="Montserrat"/>
    </font>
    <font>
      <sz val="9"/>
      <color rgb="FF263A58"/>
      <name val="Montserrat"/>
    </font>
    <font>
      <b/>
      <sz val="9"/>
      <color rgb="FF263A58"/>
      <name val="Montserrat"/>
    </font>
    <font>
      <sz val="9"/>
      <color rgb="FF262626"/>
      <name val="Montserrat"/>
    </font>
    <font>
      <i/>
      <sz val="8"/>
      <color rgb="FF595959"/>
      <name val="Montserrat"/>
    </font>
    <font>
      <b/>
      <sz val="14"/>
      <color rgb="FF263A58"/>
      <name val="Montserrat"/>
    </font>
    <font>
      <sz val="10"/>
      <color rgb="FF263A58"/>
      <name val="Montserrat"/>
    </font>
    <font>
      <b/>
      <sz val="11"/>
      <color rgb="FF263A58"/>
      <name val="Montserrat"/>
    </font>
  </fonts>
  <fills count="5">
    <fill>
      <patternFill patternType="none"/>
    </fill>
    <fill>
      <patternFill patternType="gray125"/>
    </fill>
    <fill>
      <patternFill patternType="solid">
        <fgColor rgb="FF263A58"/>
        <bgColor rgb="FF262626"/>
      </patternFill>
    </fill>
    <fill>
      <patternFill patternType="solid">
        <fgColor rgb="FFEAF6FB"/>
        <bgColor rgb="FFFFFFFF"/>
      </patternFill>
    </fill>
    <fill>
      <patternFill patternType="solid">
        <fgColor rgb="FFFFFFFF"/>
        <bgColor rgb="FFEAF6FB"/>
      </patternFill>
    </fill>
  </fills>
  <borders count="2">
    <border>
      <left/>
      <right/>
      <top/>
      <bottom/>
      <diagonal/>
    </border>
    <border>
      <left style="thin">
        <color rgb="FFBFC7D1"/>
      </left>
      <right style="thin">
        <color rgb="FFBFC7D1"/>
      </right>
      <top style="thin">
        <color rgb="FFBFC7D1"/>
      </top>
      <bottom style="thin">
        <color rgb="FFBFC7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left" vertical="top" wrapText="1"/>
    </xf>
    <xf numFmtId="0" fontId="7" fillId="0" borderId="0" xfId="0" applyFont="1"/>
    <xf numFmtId="0" fontId="8" fillId="0" borderId="0" xfId="0" applyFont="1"/>
    <xf numFmtId="0" fontId="3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5995116-F0E1-4836-A310-C5B030F13DEF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7D1"/>
      <rgbColor rgb="FF808080"/>
      <rgbColor rgb="FF9999FF"/>
      <rgbColor rgb="FF993366"/>
      <rgbColor rgb="FFFFFFCC"/>
      <rgbColor rgb="FFEAF6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263A58"/>
      <rgbColor rgb="FF339966"/>
      <rgbColor rgb="FF003300"/>
      <rgbColor rgb="FF333300"/>
      <rgbColor rgb="FF993300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7</xdr:col>
      <xdr:colOff>217080</xdr:colOff>
      <xdr:row>1</xdr:row>
      <xdr:rowOff>151920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687480" y="0"/>
          <a:ext cx="828360" cy="47592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DI_2026_2030" displayName="PDI_2026_2030" ref="A4:F26" totalsRowShown="0">
  <autoFilter ref="A4:F26" xr:uid="{00000000-000C-0000-FFFF-FFFF00000000}"/>
  <tableColumns count="6">
    <tableColumn id="1" xr3:uid="{00000000-0010-0000-0000-000001000000}" name="Cód. Línea"/>
    <tableColumn id="2" xr3:uid="{00000000-0010-0000-0000-000002000000}" name="Línea Estratégica"/>
    <tableColumn id="3" xr3:uid="{00000000-0010-0000-0000-000003000000}" name="Cód. Objetivo"/>
    <tableColumn id="4" xr3:uid="{00000000-0010-0000-0000-000004000000}" name="Objetivo Estratégico"/>
    <tableColumn id="5" xr3:uid="{00000000-0010-0000-0000-000005000000}" name="Cód. Meta"/>
    <tableColumn id="6" xr3:uid="{00000000-0010-0000-0000-000006000000}" name="Meta Estratégic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8"/>
  <sheetViews>
    <sheetView showGridLines="0" tabSelected="1" zoomScaleNormal="100" workbookViewId="0">
      <pane ySplit="4" topLeftCell="A5" activePane="bottomLeft" state="frozen"/>
      <selection pane="bottomLeft" activeCell="A4" sqref="A4"/>
    </sheetView>
  </sheetViews>
  <sheetFormatPr baseColWidth="10" defaultColWidth="8.6640625" defaultRowHeight="14.4" x14ac:dyDescent="0.3"/>
  <cols>
    <col min="1" max="1" width="9" customWidth="1"/>
    <col min="2" max="2" width="28" customWidth="1"/>
    <col min="3" max="3" width="12" customWidth="1"/>
    <col min="4" max="4" width="48" customWidth="1"/>
    <col min="5" max="5" width="13" customWidth="1"/>
    <col min="6" max="6" width="70" customWidth="1"/>
  </cols>
  <sheetData>
    <row r="1" spans="1:6" ht="25.5" customHeight="1" x14ac:dyDescent="0.8">
      <c r="A1" s="1" t="s">
        <v>0</v>
      </c>
    </row>
    <row r="2" spans="1:6" ht="19.5" customHeight="1" x14ac:dyDescent="0.55000000000000004">
      <c r="A2" s="2" t="s">
        <v>1</v>
      </c>
    </row>
    <row r="4" spans="1:6" ht="30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32.4" x14ac:dyDescent="0.3">
      <c r="A5" s="4" t="s">
        <v>8</v>
      </c>
      <c r="B5" s="5" t="s">
        <v>9</v>
      </c>
      <c r="C5" s="6" t="s">
        <v>10</v>
      </c>
      <c r="D5" s="7" t="s">
        <v>11</v>
      </c>
      <c r="E5" s="6" t="s">
        <v>12</v>
      </c>
      <c r="F5" s="7" t="s">
        <v>13</v>
      </c>
    </row>
    <row r="6" spans="1:6" ht="32.4" x14ac:dyDescent="0.3">
      <c r="A6" s="4" t="s">
        <v>8</v>
      </c>
      <c r="B6" s="5" t="s">
        <v>9</v>
      </c>
      <c r="C6" s="6" t="s">
        <v>10</v>
      </c>
      <c r="D6" s="7" t="s">
        <v>11</v>
      </c>
      <c r="E6" s="6" t="s">
        <v>14</v>
      </c>
      <c r="F6" s="7" t="s">
        <v>15</v>
      </c>
    </row>
    <row r="7" spans="1:6" ht="32.4" x14ac:dyDescent="0.3">
      <c r="A7" s="4" t="s">
        <v>8</v>
      </c>
      <c r="B7" s="5" t="s">
        <v>9</v>
      </c>
      <c r="C7" s="6" t="s">
        <v>16</v>
      </c>
      <c r="D7" s="7" t="s">
        <v>17</v>
      </c>
      <c r="E7" s="6" t="s">
        <v>18</v>
      </c>
      <c r="F7" s="7" t="s">
        <v>19</v>
      </c>
    </row>
    <row r="8" spans="1:6" ht="32.4" x14ac:dyDescent="0.3">
      <c r="A8" s="4" t="s">
        <v>8</v>
      </c>
      <c r="B8" s="5" t="s">
        <v>9</v>
      </c>
      <c r="C8" s="6" t="s">
        <v>16</v>
      </c>
      <c r="D8" s="7" t="s">
        <v>17</v>
      </c>
      <c r="E8" s="6" t="s">
        <v>20</v>
      </c>
      <c r="F8" s="7" t="s">
        <v>21</v>
      </c>
    </row>
    <row r="9" spans="1:6" ht="32.4" x14ac:dyDescent="0.3">
      <c r="A9" s="4" t="s">
        <v>8</v>
      </c>
      <c r="B9" s="5" t="s">
        <v>9</v>
      </c>
      <c r="C9" s="6" t="s">
        <v>22</v>
      </c>
      <c r="D9" s="7" t="s">
        <v>23</v>
      </c>
      <c r="E9" s="6" t="s">
        <v>24</v>
      </c>
      <c r="F9" s="7" t="s">
        <v>25</v>
      </c>
    </row>
    <row r="10" spans="1:6" ht="32.4" x14ac:dyDescent="0.3">
      <c r="A10" s="4" t="s">
        <v>8</v>
      </c>
      <c r="B10" s="5" t="s">
        <v>9</v>
      </c>
      <c r="C10" s="6" t="s">
        <v>22</v>
      </c>
      <c r="D10" s="7" t="s">
        <v>23</v>
      </c>
      <c r="E10" s="6" t="s">
        <v>26</v>
      </c>
      <c r="F10" s="7" t="s">
        <v>27</v>
      </c>
    </row>
    <row r="11" spans="1:6" ht="48.6" x14ac:dyDescent="0.3">
      <c r="A11" s="4" t="s">
        <v>8</v>
      </c>
      <c r="B11" s="5" t="s">
        <v>9</v>
      </c>
      <c r="C11" s="6" t="s">
        <v>22</v>
      </c>
      <c r="D11" s="7" t="s">
        <v>23</v>
      </c>
      <c r="E11" s="6" t="s">
        <v>28</v>
      </c>
      <c r="F11" s="7" t="s">
        <v>29</v>
      </c>
    </row>
    <row r="12" spans="1:6" ht="48.6" x14ac:dyDescent="0.3">
      <c r="A12" s="4" t="s">
        <v>8</v>
      </c>
      <c r="B12" s="5" t="s">
        <v>9</v>
      </c>
      <c r="C12" s="6" t="s">
        <v>22</v>
      </c>
      <c r="D12" s="7" t="s">
        <v>23</v>
      </c>
      <c r="E12" s="6" t="s">
        <v>30</v>
      </c>
      <c r="F12" s="7" t="s">
        <v>31</v>
      </c>
    </row>
    <row r="13" spans="1:6" ht="32.4" x14ac:dyDescent="0.3">
      <c r="A13" s="8" t="s">
        <v>32</v>
      </c>
      <c r="B13" s="9" t="s">
        <v>33</v>
      </c>
      <c r="C13" s="10" t="s">
        <v>34</v>
      </c>
      <c r="D13" s="11" t="s">
        <v>35</v>
      </c>
      <c r="E13" s="10" t="s">
        <v>36</v>
      </c>
      <c r="F13" s="11" t="s">
        <v>37</v>
      </c>
    </row>
    <row r="14" spans="1:6" ht="48.6" x14ac:dyDescent="0.3">
      <c r="A14" s="8" t="s">
        <v>32</v>
      </c>
      <c r="B14" s="9" t="s">
        <v>33</v>
      </c>
      <c r="C14" s="10" t="s">
        <v>34</v>
      </c>
      <c r="D14" s="11" t="s">
        <v>35</v>
      </c>
      <c r="E14" s="10" t="s">
        <v>38</v>
      </c>
      <c r="F14" s="11" t="s">
        <v>86</v>
      </c>
    </row>
    <row r="15" spans="1:6" ht="48.6" x14ac:dyDescent="0.3">
      <c r="A15" s="8" t="s">
        <v>32</v>
      </c>
      <c r="B15" s="9" t="s">
        <v>33</v>
      </c>
      <c r="C15" s="10" t="s">
        <v>39</v>
      </c>
      <c r="D15" s="11" t="s">
        <v>40</v>
      </c>
      <c r="E15" s="10" t="s">
        <v>41</v>
      </c>
      <c r="F15" s="11" t="s">
        <v>42</v>
      </c>
    </row>
    <row r="16" spans="1:6" ht="48.6" x14ac:dyDescent="0.3">
      <c r="A16" s="8" t="s">
        <v>32</v>
      </c>
      <c r="B16" s="9" t="s">
        <v>33</v>
      </c>
      <c r="C16" s="10" t="s">
        <v>39</v>
      </c>
      <c r="D16" s="11" t="s">
        <v>40</v>
      </c>
      <c r="E16" s="10" t="s">
        <v>43</v>
      </c>
      <c r="F16" s="11" t="s">
        <v>44</v>
      </c>
    </row>
    <row r="17" spans="1:6" ht="48.6" x14ac:dyDescent="0.3">
      <c r="A17" s="8" t="s">
        <v>32</v>
      </c>
      <c r="B17" s="9" t="s">
        <v>33</v>
      </c>
      <c r="C17" s="10" t="s">
        <v>39</v>
      </c>
      <c r="D17" s="11" t="s">
        <v>40</v>
      </c>
      <c r="E17" s="10" t="s">
        <v>45</v>
      </c>
      <c r="F17" s="11" t="s">
        <v>46</v>
      </c>
    </row>
    <row r="18" spans="1:6" ht="48.6" x14ac:dyDescent="0.3">
      <c r="A18" s="4" t="s">
        <v>47</v>
      </c>
      <c r="B18" s="5" t="s">
        <v>48</v>
      </c>
      <c r="C18" s="6" t="s">
        <v>49</v>
      </c>
      <c r="D18" s="7" t="s">
        <v>50</v>
      </c>
      <c r="E18" s="6" t="s">
        <v>51</v>
      </c>
      <c r="F18" s="7" t="s">
        <v>52</v>
      </c>
    </row>
    <row r="19" spans="1:6" ht="32.4" x14ac:dyDescent="0.3">
      <c r="A19" s="4" t="s">
        <v>47</v>
      </c>
      <c r="B19" s="5" t="s">
        <v>48</v>
      </c>
      <c r="C19" s="6" t="s">
        <v>49</v>
      </c>
      <c r="D19" s="7" t="s">
        <v>50</v>
      </c>
      <c r="E19" s="6" t="s">
        <v>53</v>
      </c>
      <c r="F19" s="7" t="s">
        <v>54</v>
      </c>
    </row>
    <row r="20" spans="1:6" ht="32.4" x14ac:dyDescent="0.3">
      <c r="A20" s="4" t="s">
        <v>47</v>
      </c>
      <c r="B20" s="5" t="s">
        <v>48</v>
      </c>
      <c r="C20" s="6" t="s">
        <v>55</v>
      </c>
      <c r="D20" s="7" t="s">
        <v>56</v>
      </c>
      <c r="E20" s="6" t="s">
        <v>57</v>
      </c>
      <c r="F20" s="7" t="s">
        <v>58</v>
      </c>
    </row>
    <row r="21" spans="1:6" ht="32.4" x14ac:dyDescent="0.3">
      <c r="A21" s="4" t="s">
        <v>47</v>
      </c>
      <c r="B21" s="5" t="s">
        <v>48</v>
      </c>
      <c r="C21" s="6" t="s">
        <v>59</v>
      </c>
      <c r="D21" s="7" t="s">
        <v>60</v>
      </c>
      <c r="E21" s="6" t="s">
        <v>61</v>
      </c>
      <c r="F21" s="7" t="s">
        <v>62</v>
      </c>
    </row>
    <row r="22" spans="1:6" ht="32.4" x14ac:dyDescent="0.3">
      <c r="A22" s="4" t="s">
        <v>47</v>
      </c>
      <c r="B22" s="5" t="s">
        <v>48</v>
      </c>
      <c r="C22" s="6" t="s">
        <v>59</v>
      </c>
      <c r="D22" s="7" t="s">
        <v>60</v>
      </c>
      <c r="E22" s="6" t="s">
        <v>63</v>
      </c>
      <c r="F22" s="7" t="s">
        <v>64</v>
      </c>
    </row>
    <row r="23" spans="1:6" ht="48.6" x14ac:dyDescent="0.3">
      <c r="A23" s="8" t="s">
        <v>65</v>
      </c>
      <c r="B23" s="9" t="s">
        <v>66</v>
      </c>
      <c r="C23" s="10" t="s">
        <v>67</v>
      </c>
      <c r="D23" s="11" t="s">
        <v>68</v>
      </c>
      <c r="E23" s="10" t="s">
        <v>69</v>
      </c>
      <c r="F23" s="11" t="s">
        <v>70</v>
      </c>
    </row>
    <row r="24" spans="1:6" ht="48.6" x14ac:dyDescent="0.3">
      <c r="A24" s="8" t="s">
        <v>65</v>
      </c>
      <c r="B24" s="9" t="s">
        <v>66</v>
      </c>
      <c r="C24" s="10" t="s">
        <v>67</v>
      </c>
      <c r="D24" s="11" t="s">
        <v>68</v>
      </c>
      <c r="E24" s="10" t="s">
        <v>71</v>
      </c>
      <c r="F24" s="11" t="s">
        <v>72</v>
      </c>
    </row>
    <row r="25" spans="1:6" ht="32.4" x14ac:dyDescent="0.3">
      <c r="A25" s="8" t="s">
        <v>65</v>
      </c>
      <c r="B25" s="9" t="s">
        <v>66</v>
      </c>
      <c r="C25" s="10" t="s">
        <v>73</v>
      </c>
      <c r="D25" s="11" t="s">
        <v>74</v>
      </c>
      <c r="E25" s="10" t="s">
        <v>75</v>
      </c>
      <c r="F25" s="11" t="s">
        <v>76</v>
      </c>
    </row>
    <row r="26" spans="1:6" ht="48.6" x14ac:dyDescent="0.3">
      <c r="A26" s="8" t="s">
        <v>65</v>
      </c>
      <c r="B26" s="9" t="s">
        <v>66</v>
      </c>
      <c r="C26" s="10" t="s">
        <v>73</v>
      </c>
      <c r="D26" s="11" t="s">
        <v>74</v>
      </c>
      <c r="E26" s="10" t="s">
        <v>77</v>
      </c>
      <c r="F26" s="11" t="s">
        <v>78</v>
      </c>
    </row>
    <row r="28" spans="1:6" ht="15.6" x14ac:dyDescent="0.4">
      <c r="A28" s="12" t="s">
        <v>79</v>
      </c>
    </row>
  </sheetData>
  <printOptions horizontalCentered="1"/>
  <pageMargins left="0.75" right="0.75" top="1" bottom="1" header="0.511811023622047" footer="0.511811023622047"/>
  <pageSetup fitToHeight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showGridLines="0" zoomScaleNormal="100" workbookViewId="0"/>
  </sheetViews>
  <sheetFormatPr baseColWidth="10" defaultColWidth="8.6640625" defaultRowHeight="14.4" x14ac:dyDescent="0.3"/>
  <cols>
    <col min="1" max="1" width="8" customWidth="1"/>
    <col min="2" max="2" width="40" customWidth="1"/>
    <col min="3" max="3" width="14" customWidth="1"/>
    <col min="4" max="4" width="12" customWidth="1"/>
  </cols>
  <sheetData>
    <row r="1" spans="1:4" ht="24" x14ac:dyDescent="0.7">
      <c r="A1" s="13" t="s">
        <v>80</v>
      </c>
    </row>
    <row r="3" spans="1:4" ht="18" x14ac:dyDescent="0.3">
      <c r="A3" s="14" t="s">
        <v>81</v>
      </c>
      <c r="B3" s="14" t="s">
        <v>3</v>
      </c>
      <c r="C3" s="14" t="s">
        <v>82</v>
      </c>
      <c r="D3" s="14" t="s">
        <v>83</v>
      </c>
    </row>
    <row r="4" spans="1:4" ht="18" x14ac:dyDescent="0.3">
      <c r="A4" s="15" t="s">
        <v>8</v>
      </c>
      <c r="B4" s="16" t="s">
        <v>9</v>
      </c>
      <c r="C4" s="15">
        <f>SUMPRODUCT(('PDI 2026-2030'!$A$5:$A$26=A4)/COUNTIF('PDI 2026-2030'!$C$5:$C$26,'PDI 2026-2030'!$C$5:$C$26))</f>
        <v>3</v>
      </c>
      <c r="D4" s="15">
        <f>COUNTIF('PDI 2026-2030'!$A$5:$A$26,A4)</f>
        <v>8</v>
      </c>
    </row>
    <row r="5" spans="1:4" ht="18" x14ac:dyDescent="0.3">
      <c r="A5" s="15" t="s">
        <v>32</v>
      </c>
      <c r="B5" s="16" t="s">
        <v>33</v>
      </c>
      <c r="C5" s="15">
        <f>SUMPRODUCT(('PDI 2026-2030'!$A$5:$A$26=A5)/COUNTIF('PDI 2026-2030'!$C$5:$C$26,'PDI 2026-2030'!$C$5:$C$26))</f>
        <v>1.9999999999999998</v>
      </c>
      <c r="D5" s="15">
        <f>COUNTIF('PDI 2026-2030'!$A$5:$A$26,A5)</f>
        <v>5</v>
      </c>
    </row>
    <row r="6" spans="1:4" ht="18" x14ac:dyDescent="0.3">
      <c r="A6" s="15" t="s">
        <v>47</v>
      </c>
      <c r="B6" s="16" t="s">
        <v>48</v>
      </c>
      <c r="C6" s="15">
        <f>SUMPRODUCT(('PDI 2026-2030'!$A$5:$A$26=A6)/COUNTIF('PDI 2026-2030'!$C$5:$C$26,'PDI 2026-2030'!$C$5:$C$26))</f>
        <v>3</v>
      </c>
      <c r="D6" s="15">
        <f>COUNTIF('PDI 2026-2030'!$A$5:$A$26,A6)</f>
        <v>5</v>
      </c>
    </row>
    <row r="7" spans="1:4" ht="18" x14ac:dyDescent="0.3">
      <c r="A7" s="15" t="s">
        <v>65</v>
      </c>
      <c r="B7" s="16" t="s">
        <v>66</v>
      </c>
      <c r="C7" s="15">
        <f>SUMPRODUCT(('PDI 2026-2030'!$A$5:$A$26=A7)/COUNTIF('PDI 2026-2030'!$C$5:$C$26,'PDI 2026-2030'!$C$5:$C$26))</f>
        <v>2</v>
      </c>
      <c r="D7" s="15">
        <f>COUNTIF('PDI 2026-2030'!$A$5:$A$26,A7)</f>
        <v>4</v>
      </c>
    </row>
    <row r="8" spans="1:4" ht="18.600000000000001" x14ac:dyDescent="0.55000000000000004">
      <c r="A8" s="17"/>
      <c r="B8" s="18" t="s">
        <v>84</v>
      </c>
      <c r="C8" s="17">
        <f>SUM(C4:C7)</f>
        <v>10</v>
      </c>
      <c r="D8" s="17">
        <f>SUM(D4:D7)</f>
        <v>22</v>
      </c>
    </row>
    <row r="10" spans="1:4" ht="15.6" x14ac:dyDescent="0.4">
      <c r="A10" s="12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PDI 2026-2030</vt:lpstr>
      <vt:lpstr>Resumen</vt:lpstr>
      <vt:lpstr>'PDI 2026-2030'!Títulos_a_imprimir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Ximena Silva</cp:lastModifiedBy>
  <cp:revision>0</cp:revision>
  <dcterms:created xsi:type="dcterms:W3CDTF">2026-10-08T04:53:12Z</dcterms:created>
  <dcterms:modified xsi:type="dcterms:W3CDTF">2026-10-08T05:05:26Z</dcterms:modified>
  <dc:language>en-US</dc:language>
</cp:coreProperties>
</file>